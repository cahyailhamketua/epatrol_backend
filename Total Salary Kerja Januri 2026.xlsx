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kevin/Downloads/"/>
    </mc:Choice>
  </mc:AlternateContent>
  <xr:revisionPtr revIDLastSave="0" documentId="8_{DFA0DBEE-D051-3C4A-83B2-D13C64087B4C}" xr6:coauthVersionLast="47" xr6:coauthVersionMax="47" xr10:uidLastSave="{00000000-0000-0000-0000-000000000000}"/>
  <bookViews>
    <workbookView xWindow="0" yWindow="620" windowWidth="28800" windowHeight="16160" activeTab="1" xr2:uid="{00000000-000D-0000-FFFF-FFFF00000000}"/>
  </bookViews>
  <sheets>
    <sheet name="TER" sheetId="1" r:id="rId1"/>
    <sheet name="01. Januari 26" sheetId="18" r:id="rId2"/>
  </sheets>
  <definedNames>
    <definedName name="PINAJAMAN_KAI_NOV_24">#REF!</definedName>
    <definedName name="PINJAMAN_ATS_DES24">#REF!</definedName>
    <definedName name="PINJAMAN_ATS_FEB25">#REF!</definedName>
    <definedName name="PINJAMAN_ATS_JAN25">#REF!</definedName>
    <definedName name="PINJAMAN_ATS_NOV_24">#REF!</definedName>
    <definedName name="PINJAMAN_KAI_APR_25">#REF!</definedName>
    <definedName name="Pinjaman_KAI_Des24">#REF!</definedName>
    <definedName name="PINJAMAN_KAI_FEB25">#REF!</definedName>
    <definedName name="Pinjaman_KAI_Jan25">#REF!</definedName>
    <definedName name="PINJAMAN_KAI_JULI_25">#REF!</definedName>
    <definedName name="PINJAMAN_KAI_JUNI_25">#REF!</definedName>
    <definedName name="PINJAMAN_KAI_MAR25">#REF!</definedName>
    <definedName name="PINJAMAN_KAI_MEI_25">#REF!</definedName>
    <definedName name="TER">TER!$B$2:$U$47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90" i="18" l="1"/>
  <c r="AF490" i="18"/>
  <c r="K490" i="18"/>
  <c r="J490" i="18"/>
  <c r="AW489" i="18"/>
  <c r="AM489" i="18"/>
  <c r="AD489" i="18"/>
  <c r="AC489" i="18"/>
  <c r="AB489" i="18"/>
  <c r="AA489" i="18"/>
  <c r="Z489" i="18"/>
  <c r="V489" i="18"/>
  <c r="W489" i="18" s="1"/>
  <c r="AX489" i="18" s="1"/>
  <c r="O489" i="18"/>
  <c r="N489" i="18"/>
  <c r="I489" i="18"/>
  <c r="AV489" i="18" s="1"/>
  <c r="AW488" i="18"/>
  <c r="AV488" i="18"/>
  <c r="BB488" i="18" s="1"/>
  <c r="AM488" i="18"/>
  <c r="AD488" i="18"/>
  <c r="AC488" i="18"/>
  <c r="AB488" i="18"/>
  <c r="AA488" i="18"/>
  <c r="Z488" i="18"/>
  <c r="V488" i="18"/>
  <c r="W488" i="18" s="1"/>
  <c r="AX488" i="18" s="1"/>
  <c r="S488" i="18"/>
  <c r="O488" i="18"/>
  <c r="N488" i="18"/>
  <c r="I488" i="18"/>
  <c r="Y488" i="18" s="1"/>
  <c r="AN488" i="18" s="1"/>
  <c r="BB487" i="18"/>
  <c r="AW487" i="18"/>
  <c r="AV487" i="18"/>
  <c r="BA487" i="18" s="1"/>
  <c r="AM487" i="18"/>
  <c r="AM490" i="18" s="1"/>
  <c r="AD487" i="18"/>
  <c r="AC487" i="18"/>
  <c r="AB487" i="18"/>
  <c r="AA487" i="18"/>
  <c r="Z487" i="18"/>
  <c r="Z490" i="18" s="1"/>
  <c r="V487" i="18"/>
  <c r="V490" i="18" s="1"/>
  <c r="S487" i="18"/>
  <c r="R487" i="18"/>
  <c r="T487" i="18" s="1"/>
  <c r="O487" i="18"/>
  <c r="N487" i="18"/>
  <c r="I487" i="18"/>
  <c r="AL481" i="18"/>
  <c r="AJ481" i="18"/>
  <c r="AI481" i="18"/>
  <c r="AH481" i="18"/>
  <c r="AG481" i="18"/>
  <c r="AF481" i="18"/>
  <c r="AA481" i="18"/>
  <c r="X481" i="18"/>
  <c r="W481" i="18"/>
  <c r="V481" i="18"/>
  <c r="P481" i="18"/>
  <c r="O481" i="18"/>
  <c r="N481" i="18"/>
  <c r="L481" i="18"/>
  <c r="K481" i="18"/>
  <c r="J481" i="18"/>
  <c r="AY480" i="18"/>
  <c r="AW480" i="18"/>
  <c r="AU480" i="18"/>
  <c r="AK480" i="18"/>
  <c r="AE480" i="18"/>
  <c r="AM480" i="18" s="1"/>
  <c r="W480" i="18"/>
  <c r="AX480" i="18" s="1"/>
  <c r="I480" i="18"/>
  <c r="AV480" i="18" s="1"/>
  <c r="AY479" i="18"/>
  <c r="AW479" i="18"/>
  <c r="AV479" i="18"/>
  <c r="AU479" i="18"/>
  <c r="AK479" i="18"/>
  <c r="AE479" i="18"/>
  <c r="AM479" i="18" s="1"/>
  <c r="W479" i="18"/>
  <c r="AX479" i="18" s="1"/>
  <c r="I479" i="18"/>
  <c r="R479" i="18" s="1"/>
  <c r="AY478" i="18"/>
  <c r="AW478" i="18"/>
  <c r="AV478" i="18"/>
  <c r="AU478" i="18"/>
  <c r="AK478" i="18"/>
  <c r="AD478" i="18"/>
  <c r="AC478" i="18"/>
  <c r="AB478" i="18"/>
  <c r="Z478" i="18"/>
  <c r="AE478" i="18" s="1"/>
  <c r="AM478" i="18" s="1"/>
  <c r="W478" i="18"/>
  <c r="T478" i="18"/>
  <c r="S478" i="18"/>
  <c r="S481" i="18" s="1"/>
  <c r="R478" i="18"/>
  <c r="R481" i="18" s="1"/>
  <c r="I478" i="18"/>
  <c r="BB477" i="18"/>
  <c r="AY477" i="18"/>
  <c r="AW477" i="18"/>
  <c r="AU477" i="18"/>
  <c r="AK477" i="18"/>
  <c r="AK481" i="18" s="1"/>
  <c r="AD477" i="18"/>
  <c r="AC477" i="18"/>
  <c r="AB477" i="18"/>
  <c r="Z477" i="18"/>
  <c r="W477" i="18"/>
  <c r="AX477" i="18" s="1"/>
  <c r="R477" i="18"/>
  <c r="I477" i="18"/>
  <c r="AV477" i="18" s="1"/>
  <c r="X471" i="18"/>
  <c r="L471" i="18"/>
  <c r="K471" i="18"/>
  <c r="J471" i="18"/>
  <c r="K470" i="18"/>
  <c r="J470" i="18"/>
  <c r="X469" i="18"/>
  <c r="K469" i="18"/>
  <c r="J469" i="18"/>
  <c r="AO468" i="18"/>
  <c r="V468" i="18"/>
  <c r="W468" i="18" s="1"/>
  <c r="P468" i="18"/>
  <c r="I468" i="18"/>
  <c r="BB467" i="18"/>
  <c r="AY467" i="18"/>
  <c r="AU467" i="18"/>
  <c r="V467" i="18"/>
  <c r="W467" i="18" s="1"/>
  <c r="AX467" i="18" s="1"/>
  <c r="O467" i="18"/>
  <c r="N467" i="18"/>
  <c r="M467" i="18"/>
  <c r="I467" i="18"/>
  <c r="BB466" i="18"/>
  <c r="AY466" i="18"/>
  <c r="AU466" i="18"/>
  <c r="V466" i="18"/>
  <c r="W466" i="18" s="1"/>
  <c r="AX466" i="18" s="1"/>
  <c r="O466" i="18"/>
  <c r="N466" i="18"/>
  <c r="M466" i="18"/>
  <c r="I466" i="18"/>
  <c r="BB465" i="18"/>
  <c r="AY465" i="18"/>
  <c r="AU465" i="18"/>
  <c r="V465" i="18"/>
  <c r="W465" i="18" s="1"/>
  <c r="AX465" i="18" s="1"/>
  <c r="O465" i="18"/>
  <c r="N465" i="18"/>
  <c r="M465" i="18"/>
  <c r="I465" i="18"/>
  <c r="BB464" i="18"/>
  <c r="AY464" i="18"/>
  <c r="AV464" i="18"/>
  <c r="AU464" i="18"/>
  <c r="W464" i="18"/>
  <c r="AX464" i="18" s="1"/>
  <c r="V464" i="18"/>
  <c r="O464" i="18"/>
  <c r="N464" i="18"/>
  <c r="M464" i="18"/>
  <c r="P464" i="18" s="1"/>
  <c r="I464" i="18"/>
  <c r="BB463" i="18"/>
  <c r="AY463" i="18"/>
  <c r="AV463" i="18"/>
  <c r="AU463" i="18"/>
  <c r="W463" i="18"/>
  <c r="AX463" i="18" s="1"/>
  <c r="V463" i="18"/>
  <c r="O463" i="18"/>
  <c r="N463" i="18"/>
  <c r="P463" i="18" s="1"/>
  <c r="S463" i="18" s="1"/>
  <c r="T463" i="18" s="1"/>
  <c r="M463" i="18"/>
  <c r="R463" i="18" s="1"/>
  <c r="I463" i="18"/>
  <c r="BB462" i="18"/>
  <c r="AY462" i="18"/>
  <c r="AV462" i="18"/>
  <c r="AU462" i="18"/>
  <c r="V462" i="18"/>
  <c r="W462" i="18" s="1"/>
  <c r="AX462" i="18" s="1"/>
  <c r="O462" i="18"/>
  <c r="N462" i="18"/>
  <c r="M462" i="18"/>
  <c r="I462" i="18"/>
  <c r="BB461" i="18"/>
  <c r="AY461" i="18"/>
  <c r="AU461" i="18"/>
  <c r="V461" i="18"/>
  <c r="W461" i="18" s="1"/>
  <c r="AX461" i="18" s="1"/>
  <c r="O461" i="18"/>
  <c r="N461" i="18"/>
  <c r="P461" i="18" s="1"/>
  <c r="AW461" i="18" s="1"/>
  <c r="M461" i="18"/>
  <c r="I461" i="18"/>
  <c r="BB460" i="18"/>
  <c r="AY460" i="18"/>
  <c r="AW460" i="18"/>
  <c r="AU460" i="18"/>
  <c r="V460" i="18"/>
  <c r="W460" i="18" s="1"/>
  <c r="AX460" i="18" s="1"/>
  <c r="R460" i="18"/>
  <c r="O460" i="18"/>
  <c r="N460" i="18"/>
  <c r="P460" i="18" s="1"/>
  <c r="M460" i="18"/>
  <c r="I460" i="18"/>
  <c r="BB459" i="18"/>
  <c r="AY459" i="18"/>
  <c r="AX459" i="18"/>
  <c r="AU459" i="18"/>
  <c r="V459" i="18"/>
  <c r="W459" i="18" s="1"/>
  <c r="O459" i="18"/>
  <c r="N459" i="18"/>
  <c r="M459" i="18"/>
  <c r="P459" i="18" s="1"/>
  <c r="I459" i="18"/>
  <c r="AY458" i="18"/>
  <c r="AX458" i="18"/>
  <c r="AV458" i="18"/>
  <c r="AU458" i="18"/>
  <c r="V458" i="18"/>
  <c r="W458" i="18" s="1"/>
  <c r="R458" i="18"/>
  <c r="O458" i="18"/>
  <c r="N458" i="18"/>
  <c r="M458" i="18"/>
  <c r="I458" i="18"/>
  <c r="AY457" i="18"/>
  <c r="AV457" i="18"/>
  <c r="AU457" i="18"/>
  <c r="V457" i="18"/>
  <c r="W457" i="18" s="1"/>
  <c r="AX457" i="18" s="1"/>
  <c r="O457" i="18"/>
  <c r="N457" i="18"/>
  <c r="M457" i="18"/>
  <c r="I457" i="18"/>
  <c r="AY456" i="18"/>
  <c r="AU456" i="18"/>
  <c r="V456" i="18"/>
  <c r="W456" i="18" s="1"/>
  <c r="AX456" i="18" s="1"/>
  <c r="O456" i="18"/>
  <c r="N456" i="18"/>
  <c r="P456" i="18" s="1"/>
  <c r="AW456" i="18" s="1"/>
  <c r="M456" i="18"/>
  <c r="L456" i="18"/>
  <c r="I456" i="18"/>
  <c r="AY455" i="18"/>
  <c r="AU455" i="18"/>
  <c r="V455" i="18"/>
  <c r="W455" i="18" s="1"/>
  <c r="AX455" i="18" s="1"/>
  <c r="R455" i="18"/>
  <c r="O455" i="18"/>
  <c r="N455" i="18"/>
  <c r="P455" i="18" s="1"/>
  <c r="AW455" i="18" s="1"/>
  <c r="M455" i="18"/>
  <c r="I455" i="18"/>
  <c r="AY454" i="18"/>
  <c r="AU454" i="18"/>
  <c r="V454" i="18"/>
  <c r="W454" i="18" s="1"/>
  <c r="AX454" i="18" s="1"/>
  <c r="R454" i="18"/>
  <c r="O454" i="18"/>
  <c r="N454" i="18"/>
  <c r="M454" i="18"/>
  <c r="I454" i="18"/>
  <c r="AY453" i="18"/>
  <c r="AU453" i="18"/>
  <c r="V453" i="18"/>
  <c r="W453" i="18" s="1"/>
  <c r="O453" i="18"/>
  <c r="N453" i="18"/>
  <c r="P453" i="18" s="1"/>
  <c r="AW453" i="18" s="1"/>
  <c r="M453" i="18"/>
  <c r="I453" i="18"/>
  <c r="AY452" i="18"/>
  <c r="AU452" i="18"/>
  <c r="V452" i="18"/>
  <c r="W452" i="18" s="1"/>
  <c r="AX452" i="18" s="1"/>
  <c r="O452" i="18"/>
  <c r="N452" i="18"/>
  <c r="M452" i="18"/>
  <c r="I452" i="18"/>
  <c r="AY451" i="18"/>
  <c r="AV451" i="18"/>
  <c r="AU451" i="18"/>
  <c r="V451" i="18"/>
  <c r="W451" i="18" s="1"/>
  <c r="AX451" i="18" s="1"/>
  <c r="O451" i="18"/>
  <c r="N451" i="18"/>
  <c r="P451" i="18" s="1"/>
  <c r="M451" i="18"/>
  <c r="I451" i="18"/>
  <c r="AZ450" i="18"/>
  <c r="AY450" i="18"/>
  <c r="AV450" i="18"/>
  <c r="AU450" i="18"/>
  <c r="V450" i="18"/>
  <c r="W450" i="18" s="1"/>
  <c r="AX450" i="18" s="1"/>
  <c r="O450" i="18"/>
  <c r="N450" i="18"/>
  <c r="M450" i="18"/>
  <c r="I450" i="18"/>
  <c r="AZ449" i="18"/>
  <c r="AY449" i="18"/>
  <c r="AU449" i="18"/>
  <c r="V449" i="18"/>
  <c r="W449" i="18" s="1"/>
  <c r="AX449" i="18" s="1"/>
  <c r="R449" i="18"/>
  <c r="O449" i="18"/>
  <c r="N449" i="18"/>
  <c r="P449" i="18" s="1"/>
  <c r="M449" i="18"/>
  <c r="I449" i="18"/>
  <c r="AV449" i="18" s="1"/>
  <c r="BB448" i="18"/>
  <c r="AY448" i="18"/>
  <c r="AV448" i="18"/>
  <c r="BA448" i="18" s="1"/>
  <c r="AU448" i="18"/>
  <c r="V448" i="18"/>
  <c r="W448" i="18" s="1"/>
  <c r="AX448" i="18" s="1"/>
  <c r="R448" i="18"/>
  <c r="O448" i="18"/>
  <c r="N448" i="18"/>
  <c r="P448" i="18" s="1"/>
  <c r="AW448" i="18" s="1"/>
  <c r="M448" i="18"/>
  <c r="I448" i="18"/>
  <c r="BB447" i="18"/>
  <c r="BA447" i="18"/>
  <c r="AZ447" i="18"/>
  <c r="AY447" i="18"/>
  <c r="AU447" i="18"/>
  <c r="V447" i="18"/>
  <c r="W447" i="18" s="1"/>
  <c r="AX447" i="18" s="1"/>
  <c r="R447" i="18"/>
  <c r="O447" i="18"/>
  <c r="N447" i="18"/>
  <c r="P447" i="18" s="1"/>
  <c r="M447" i="18"/>
  <c r="I447" i="18"/>
  <c r="AV447" i="18" s="1"/>
  <c r="AY446" i="18"/>
  <c r="AV446" i="18"/>
  <c r="AU446" i="18"/>
  <c r="V446" i="18"/>
  <c r="W446" i="18" s="1"/>
  <c r="AX446" i="18" s="1"/>
  <c r="R446" i="18"/>
  <c r="O446" i="18"/>
  <c r="N446" i="18"/>
  <c r="M446" i="18"/>
  <c r="P446" i="18" s="1"/>
  <c r="S446" i="18" s="1"/>
  <c r="T446" i="18" s="1"/>
  <c r="I446" i="18"/>
  <c r="AY445" i="18"/>
  <c r="AU445" i="18"/>
  <c r="V445" i="18"/>
  <c r="W445" i="18" s="1"/>
  <c r="AX445" i="18" s="1"/>
  <c r="O445" i="18"/>
  <c r="N445" i="18"/>
  <c r="P445" i="18" s="1"/>
  <c r="AW445" i="18" s="1"/>
  <c r="M445" i="18"/>
  <c r="I445" i="18"/>
  <c r="AY444" i="18"/>
  <c r="AU444" i="18"/>
  <c r="V444" i="18"/>
  <c r="W444" i="18" s="1"/>
  <c r="O444" i="18"/>
  <c r="N444" i="18"/>
  <c r="M444" i="18"/>
  <c r="I444" i="18"/>
  <c r="AY443" i="18"/>
  <c r="AV443" i="18"/>
  <c r="AU443" i="18"/>
  <c r="V443" i="18"/>
  <c r="W443" i="18" s="1"/>
  <c r="AX443" i="18" s="1"/>
  <c r="O443" i="18"/>
  <c r="N443" i="18"/>
  <c r="M443" i="18"/>
  <c r="I443" i="18"/>
  <c r="AY442" i="18"/>
  <c r="AU442" i="18"/>
  <c r="V442" i="18"/>
  <c r="W442" i="18" s="1"/>
  <c r="AX442" i="18" s="1"/>
  <c r="O442" i="18"/>
  <c r="N442" i="18"/>
  <c r="M442" i="18"/>
  <c r="I442" i="18"/>
  <c r="AY441" i="18"/>
  <c r="AU441" i="18"/>
  <c r="V441" i="18"/>
  <c r="W441" i="18" s="1"/>
  <c r="AX441" i="18" s="1"/>
  <c r="O441" i="18"/>
  <c r="N441" i="18"/>
  <c r="M441" i="18"/>
  <c r="I441" i="18"/>
  <c r="AY440" i="18"/>
  <c r="AV440" i="18"/>
  <c r="AU440" i="18"/>
  <c r="W440" i="18"/>
  <c r="AX440" i="18" s="1"/>
  <c r="V440" i="18"/>
  <c r="O440" i="18"/>
  <c r="N440" i="18"/>
  <c r="M440" i="18"/>
  <c r="I440" i="18"/>
  <c r="AY439" i="18"/>
  <c r="AU439" i="18"/>
  <c r="W439" i="18"/>
  <c r="AX439" i="18" s="1"/>
  <c r="V439" i="18"/>
  <c r="O439" i="18"/>
  <c r="N439" i="18"/>
  <c r="M439" i="18"/>
  <c r="P439" i="18" s="1"/>
  <c r="I439" i="18"/>
  <c r="R439" i="18" s="1"/>
  <c r="AY438" i="18"/>
  <c r="AX438" i="18"/>
  <c r="AU438" i="18"/>
  <c r="W438" i="18"/>
  <c r="V438" i="18"/>
  <c r="O438" i="18"/>
  <c r="N438" i="18"/>
  <c r="L438" i="18"/>
  <c r="P438" i="18" s="1"/>
  <c r="I438" i="18"/>
  <c r="BA437" i="18"/>
  <c r="AZ437" i="18"/>
  <c r="AY437" i="18"/>
  <c r="AU437" i="18"/>
  <c r="V437" i="18"/>
  <c r="W437" i="18" s="1"/>
  <c r="AX437" i="18" s="1"/>
  <c r="O437" i="18"/>
  <c r="N437" i="18"/>
  <c r="P437" i="18" s="1"/>
  <c r="M437" i="18"/>
  <c r="I437" i="18"/>
  <c r="AV437" i="18" s="1"/>
  <c r="BB437" i="18" s="1"/>
  <c r="BB436" i="18"/>
  <c r="BA436" i="18"/>
  <c r="AZ436" i="18"/>
  <c r="AY436" i="18"/>
  <c r="AV436" i="18"/>
  <c r="AU436" i="18"/>
  <c r="V436" i="18"/>
  <c r="W436" i="18" s="1"/>
  <c r="AX436" i="18" s="1"/>
  <c r="R436" i="18"/>
  <c r="O436" i="18"/>
  <c r="N436" i="18"/>
  <c r="M436" i="18"/>
  <c r="I436" i="18"/>
  <c r="BA435" i="18"/>
  <c r="AZ435" i="18"/>
  <c r="AY435" i="18"/>
  <c r="AV435" i="18"/>
  <c r="BB435" i="18" s="1"/>
  <c r="AU435" i="18"/>
  <c r="V435" i="18"/>
  <c r="W435" i="18" s="1"/>
  <c r="AX435" i="18" s="1"/>
  <c r="R435" i="18"/>
  <c r="O435" i="18"/>
  <c r="N435" i="18"/>
  <c r="P435" i="18" s="1"/>
  <c r="M435" i="18"/>
  <c r="I435" i="18"/>
  <c r="AY434" i="18"/>
  <c r="AU434" i="18"/>
  <c r="V434" i="18"/>
  <c r="W434" i="18" s="1"/>
  <c r="AX434" i="18" s="1"/>
  <c r="R434" i="18"/>
  <c r="O434" i="18"/>
  <c r="N434" i="18"/>
  <c r="P434" i="18" s="1"/>
  <c r="M434" i="18"/>
  <c r="I434" i="18"/>
  <c r="AY433" i="18"/>
  <c r="AV433" i="18"/>
  <c r="AU433" i="18"/>
  <c r="V433" i="18"/>
  <c r="W433" i="18" s="1"/>
  <c r="AX433" i="18" s="1"/>
  <c r="P433" i="18"/>
  <c r="AW433" i="18" s="1"/>
  <c r="O433" i="18"/>
  <c r="N433" i="18"/>
  <c r="M433" i="18"/>
  <c r="L433" i="18"/>
  <c r="I433" i="18"/>
  <c r="AY432" i="18"/>
  <c r="AU432" i="18"/>
  <c r="V432" i="18"/>
  <c r="W432" i="18" s="1"/>
  <c r="AX432" i="18" s="1"/>
  <c r="O432" i="18"/>
  <c r="N432" i="18"/>
  <c r="P432" i="18" s="1"/>
  <c r="AW432" i="18" s="1"/>
  <c r="M432" i="18"/>
  <c r="I432" i="18"/>
  <c r="AY431" i="18"/>
  <c r="AV431" i="18"/>
  <c r="AU431" i="18"/>
  <c r="V431" i="18"/>
  <c r="W431" i="18" s="1"/>
  <c r="R431" i="18"/>
  <c r="O431" i="18"/>
  <c r="N431" i="18"/>
  <c r="M431" i="18"/>
  <c r="I431" i="18"/>
  <c r="BA430" i="18"/>
  <c r="AY430" i="18"/>
  <c r="AV430" i="18"/>
  <c r="BB430" i="18" s="1"/>
  <c r="AU430" i="18"/>
  <c r="V430" i="18"/>
  <c r="W430" i="18" s="1"/>
  <c r="AX430" i="18" s="1"/>
  <c r="O430" i="18"/>
  <c r="N430" i="18"/>
  <c r="M430" i="18"/>
  <c r="R430" i="18" s="1"/>
  <c r="I430" i="18"/>
  <c r="AY429" i="18"/>
  <c r="AX429" i="18"/>
  <c r="AU429" i="18"/>
  <c r="W429" i="18"/>
  <c r="V429" i="18"/>
  <c r="O429" i="18"/>
  <c r="N429" i="18"/>
  <c r="M429" i="18"/>
  <c r="I429" i="18"/>
  <c r="AY428" i="18"/>
  <c r="AU428" i="18"/>
  <c r="V428" i="18"/>
  <c r="W428" i="18" s="1"/>
  <c r="AX428" i="18" s="1"/>
  <c r="P428" i="18"/>
  <c r="AW428" i="18" s="1"/>
  <c r="O428" i="18"/>
  <c r="N428" i="18"/>
  <c r="M428" i="18"/>
  <c r="L428" i="18"/>
  <c r="I428" i="18"/>
  <c r="BB427" i="18"/>
  <c r="AY427" i="18"/>
  <c r="AV427" i="18"/>
  <c r="AU427" i="18"/>
  <c r="V427" i="18"/>
  <c r="W427" i="18" s="1"/>
  <c r="AX427" i="18" s="1"/>
  <c r="R427" i="18"/>
  <c r="O427" i="18"/>
  <c r="N427" i="18"/>
  <c r="M427" i="18"/>
  <c r="P427" i="18" s="1"/>
  <c r="AW427" i="18" s="1"/>
  <c r="I427" i="18"/>
  <c r="AY426" i="18"/>
  <c r="AU426" i="18"/>
  <c r="V426" i="18"/>
  <c r="W426" i="18" s="1"/>
  <c r="AX426" i="18" s="1"/>
  <c r="O426" i="18"/>
  <c r="N426" i="18"/>
  <c r="P426" i="18" s="1"/>
  <c r="M426" i="18"/>
  <c r="I426" i="18"/>
  <c r="AY425" i="18"/>
  <c r="AU425" i="18"/>
  <c r="V425" i="18"/>
  <c r="W425" i="18" s="1"/>
  <c r="AX425" i="18" s="1"/>
  <c r="O425" i="18"/>
  <c r="N425" i="18"/>
  <c r="M425" i="18"/>
  <c r="P425" i="18" s="1"/>
  <c r="AW425" i="18" s="1"/>
  <c r="I425" i="18"/>
  <c r="AY424" i="18"/>
  <c r="AV424" i="18"/>
  <c r="AU424" i="18"/>
  <c r="V424" i="18"/>
  <c r="W424" i="18" s="1"/>
  <c r="AX424" i="18" s="1"/>
  <c r="O424" i="18"/>
  <c r="N424" i="18"/>
  <c r="P424" i="18" s="1"/>
  <c r="M424" i="18"/>
  <c r="I424" i="18"/>
  <c r="R424" i="18" s="1"/>
  <c r="AY423" i="18"/>
  <c r="AU423" i="18"/>
  <c r="V423" i="18"/>
  <c r="W423" i="18" s="1"/>
  <c r="AX423" i="18" s="1"/>
  <c r="R423" i="18"/>
  <c r="P423" i="18"/>
  <c r="O423" i="18"/>
  <c r="N423" i="18"/>
  <c r="M423" i="18"/>
  <c r="I423" i="18"/>
  <c r="BB422" i="18"/>
  <c r="BA422" i="18"/>
  <c r="AY422" i="18"/>
  <c r="AV422" i="18"/>
  <c r="AZ422" i="18" s="1"/>
  <c r="AU422" i="18"/>
  <c r="V422" i="18"/>
  <c r="W422" i="18" s="1"/>
  <c r="AX422" i="18" s="1"/>
  <c r="O422" i="18"/>
  <c r="N422" i="18"/>
  <c r="P422" i="18" s="1"/>
  <c r="M422" i="18"/>
  <c r="I422" i="18"/>
  <c r="R422" i="18" s="1"/>
  <c r="BB421" i="18"/>
  <c r="BA421" i="18"/>
  <c r="AZ421" i="18"/>
  <c r="AY421" i="18"/>
  <c r="AV421" i="18"/>
  <c r="AU421" i="18"/>
  <c r="V421" i="18"/>
  <c r="W421" i="18" s="1"/>
  <c r="AX421" i="18" s="1"/>
  <c r="R421" i="18"/>
  <c r="O421" i="18"/>
  <c r="N421" i="18"/>
  <c r="P421" i="18" s="1"/>
  <c r="M421" i="18"/>
  <c r="I421" i="18"/>
  <c r="BB420" i="18"/>
  <c r="AY420" i="18"/>
  <c r="AV420" i="18"/>
  <c r="AU420" i="18"/>
  <c r="V420" i="18"/>
  <c r="W420" i="18" s="1"/>
  <c r="AX420" i="18" s="1"/>
  <c r="R420" i="18"/>
  <c r="O420" i="18"/>
  <c r="N420" i="18"/>
  <c r="M420" i="18"/>
  <c r="I420" i="18"/>
  <c r="AY419" i="18"/>
  <c r="AV419" i="18"/>
  <c r="AU419" i="18"/>
  <c r="V419" i="18"/>
  <c r="W419" i="18" s="1"/>
  <c r="AX419" i="18" s="1"/>
  <c r="R419" i="18"/>
  <c r="O419" i="18"/>
  <c r="N419" i="18"/>
  <c r="M419" i="18"/>
  <c r="I419" i="18"/>
  <c r="AY418" i="18"/>
  <c r="AU418" i="18"/>
  <c r="V418" i="18"/>
  <c r="W418" i="18" s="1"/>
  <c r="AX418" i="18" s="1"/>
  <c r="S418" i="18"/>
  <c r="T418" i="18" s="1"/>
  <c r="R418" i="18"/>
  <c r="O418" i="18"/>
  <c r="N418" i="18"/>
  <c r="P418" i="18" s="1"/>
  <c r="AW418" i="18" s="1"/>
  <c r="L418" i="18"/>
  <c r="I418" i="18"/>
  <c r="AY417" i="18"/>
  <c r="AU417" i="18"/>
  <c r="V417" i="18"/>
  <c r="W417" i="18" s="1"/>
  <c r="AX417" i="18" s="1"/>
  <c r="O417" i="18"/>
  <c r="N417" i="18"/>
  <c r="M417" i="18"/>
  <c r="I417" i="18"/>
  <c r="AY416" i="18"/>
  <c r="AX416" i="18"/>
  <c r="AV416" i="18"/>
  <c r="AU416" i="18"/>
  <c r="V416" i="18"/>
  <c r="W416" i="18" s="1"/>
  <c r="O416" i="18"/>
  <c r="N416" i="18"/>
  <c r="M416" i="18"/>
  <c r="P416" i="18" s="1"/>
  <c r="S416" i="18" s="1"/>
  <c r="I416" i="18"/>
  <c r="AY415" i="18"/>
  <c r="AV415" i="18"/>
  <c r="AU415" i="18"/>
  <c r="V415" i="18"/>
  <c r="W415" i="18" s="1"/>
  <c r="AX415" i="18" s="1"/>
  <c r="O415" i="18"/>
  <c r="N415" i="18"/>
  <c r="M415" i="18"/>
  <c r="I415" i="18"/>
  <c r="AY414" i="18"/>
  <c r="AV414" i="18"/>
  <c r="AU414" i="18"/>
  <c r="V414" i="18"/>
  <c r="W414" i="18" s="1"/>
  <c r="AX414" i="18" s="1"/>
  <c r="O414" i="18"/>
  <c r="N414" i="18"/>
  <c r="L414" i="18"/>
  <c r="I414" i="18"/>
  <c r="BB413" i="18"/>
  <c r="AY413" i="18"/>
  <c r="AV413" i="18"/>
  <c r="AU413" i="18"/>
  <c r="W413" i="18"/>
  <c r="AX413" i="18" s="1"/>
  <c r="V413" i="18"/>
  <c r="O413" i="18"/>
  <c r="N413" i="18"/>
  <c r="M413" i="18"/>
  <c r="I413" i="18"/>
  <c r="BB412" i="18"/>
  <c r="AY412" i="18"/>
  <c r="AU412" i="18"/>
  <c r="V412" i="18"/>
  <c r="W412" i="18" s="1"/>
  <c r="AX412" i="18" s="1"/>
  <c r="R412" i="18"/>
  <c r="O412" i="18"/>
  <c r="N412" i="18"/>
  <c r="P412" i="18" s="1"/>
  <c r="M412" i="18"/>
  <c r="I412" i="18"/>
  <c r="AV412" i="18" s="1"/>
  <c r="AZ412" i="18" s="1"/>
  <c r="BB411" i="18"/>
  <c r="AZ411" i="18"/>
  <c r="AY411" i="18"/>
  <c r="AV411" i="18"/>
  <c r="BA411" i="18" s="1"/>
  <c r="AU411" i="18"/>
  <c r="V411" i="18"/>
  <c r="W411" i="18" s="1"/>
  <c r="R411" i="18"/>
  <c r="P411" i="18"/>
  <c r="AW411" i="18" s="1"/>
  <c r="O411" i="18"/>
  <c r="N411" i="18"/>
  <c r="M411" i="18"/>
  <c r="I411" i="18"/>
  <c r="BB410" i="18"/>
  <c r="BA410" i="18"/>
  <c r="AZ410" i="18"/>
  <c r="AY410" i="18"/>
  <c r="AX410" i="18"/>
  <c r="AU410" i="18"/>
  <c r="V410" i="18"/>
  <c r="W410" i="18" s="1"/>
  <c r="R410" i="18"/>
  <c r="O410" i="18"/>
  <c r="N410" i="18"/>
  <c r="P410" i="18" s="1"/>
  <c r="Y410" i="18" s="1"/>
  <c r="AN410" i="18" s="1"/>
  <c r="M410" i="18"/>
  <c r="I410" i="18"/>
  <c r="AV410" i="18" s="1"/>
  <c r="BB409" i="18"/>
  <c r="BA409" i="18"/>
  <c r="AZ409" i="18"/>
  <c r="AY409" i="18"/>
  <c r="AV409" i="18"/>
  <c r="AU409" i="18"/>
  <c r="V409" i="18"/>
  <c r="W409" i="18" s="1"/>
  <c r="AX409" i="18" s="1"/>
  <c r="R409" i="18"/>
  <c r="O409" i="18"/>
  <c r="N409" i="18"/>
  <c r="M409" i="18"/>
  <c r="I409" i="18"/>
  <c r="BA408" i="18"/>
  <c r="AZ408" i="18"/>
  <c r="AY408" i="18"/>
  <c r="AV408" i="18"/>
  <c r="BB408" i="18" s="1"/>
  <c r="AU408" i="18"/>
  <c r="V408" i="18"/>
  <c r="W408" i="18" s="1"/>
  <c r="AX408" i="18" s="1"/>
  <c r="R408" i="18"/>
  <c r="O408" i="18"/>
  <c r="N408" i="18"/>
  <c r="P408" i="18" s="1"/>
  <c r="M408" i="18"/>
  <c r="I408" i="18"/>
  <c r="BB407" i="18"/>
  <c r="BA407" i="18"/>
  <c r="AY407" i="18"/>
  <c r="AU407" i="18"/>
  <c r="V407" i="18"/>
  <c r="W407" i="18" s="1"/>
  <c r="AX407" i="18" s="1"/>
  <c r="R407" i="18"/>
  <c r="O407" i="18"/>
  <c r="N407" i="18"/>
  <c r="P407" i="18" s="1"/>
  <c r="AW407" i="18" s="1"/>
  <c r="M407" i="18"/>
  <c r="I407" i="18"/>
  <c r="AV407" i="18" s="1"/>
  <c r="AZ407" i="18" s="1"/>
  <c r="AY406" i="18"/>
  <c r="AU406" i="18"/>
  <c r="V406" i="18"/>
  <c r="W406" i="18" s="1"/>
  <c r="AX406" i="18" s="1"/>
  <c r="O406" i="18"/>
  <c r="N406" i="18"/>
  <c r="M406" i="18"/>
  <c r="L406" i="18"/>
  <c r="I406" i="18"/>
  <c r="AY405" i="18"/>
  <c r="AU405" i="18"/>
  <c r="V405" i="18"/>
  <c r="W405" i="18" s="1"/>
  <c r="AX405" i="18" s="1"/>
  <c r="O405" i="18"/>
  <c r="N405" i="18"/>
  <c r="M405" i="18"/>
  <c r="I405" i="18"/>
  <c r="AY404" i="18"/>
  <c r="AU404" i="18"/>
  <c r="V404" i="18"/>
  <c r="W404" i="18" s="1"/>
  <c r="O404" i="18"/>
  <c r="N404" i="18"/>
  <c r="M404" i="18"/>
  <c r="P404" i="18" s="1"/>
  <c r="AW404" i="18" s="1"/>
  <c r="I404" i="18"/>
  <c r="AY403" i="18"/>
  <c r="AV403" i="18"/>
  <c r="AU403" i="18"/>
  <c r="V403" i="18"/>
  <c r="W403" i="18" s="1"/>
  <c r="AX403" i="18" s="1"/>
  <c r="O403" i="18"/>
  <c r="N403" i="18"/>
  <c r="P403" i="18" s="1"/>
  <c r="M403" i="18"/>
  <c r="R403" i="18" s="1"/>
  <c r="I403" i="18"/>
  <c r="BA402" i="18"/>
  <c r="AZ402" i="18"/>
  <c r="AY402" i="18"/>
  <c r="AU402" i="18"/>
  <c r="V402" i="18"/>
  <c r="W402" i="18" s="1"/>
  <c r="AX402" i="18" s="1"/>
  <c r="R402" i="18"/>
  <c r="P402" i="18"/>
  <c r="O402" i="18"/>
  <c r="N402" i="18"/>
  <c r="M402" i="18"/>
  <c r="I402" i="18"/>
  <c r="AV402" i="18" s="1"/>
  <c r="BB401" i="18"/>
  <c r="AZ401" i="18"/>
  <c r="AY401" i="18"/>
  <c r="AU401" i="18"/>
  <c r="V401" i="18"/>
  <c r="W401" i="18" s="1"/>
  <c r="AX401" i="18" s="1"/>
  <c r="R401" i="18"/>
  <c r="O401" i="18"/>
  <c r="N401" i="18"/>
  <c r="P401" i="18" s="1"/>
  <c r="M401" i="18"/>
  <c r="I401" i="18"/>
  <c r="AV401" i="18" s="1"/>
  <c r="BA401" i="18" s="1"/>
  <c r="BB400" i="18"/>
  <c r="BA400" i="18"/>
  <c r="AZ400" i="18"/>
  <c r="AY400" i="18"/>
  <c r="AU400" i="18"/>
  <c r="V400" i="18"/>
  <c r="W400" i="18" s="1"/>
  <c r="AX400" i="18" s="1"/>
  <c r="R400" i="18"/>
  <c r="O400" i="18"/>
  <c r="N400" i="18"/>
  <c r="P400" i="18" s="1"/>
  <c r="M400" i="18"/>
  <c r="I400" i="18"/>
  <c r="AV400" i="18" s="1"/>
  <c r="AY399" i="18"/>
  <c r="AU399" i="18"/>
  <c r="V399" i="18"/>
  <c r="W399" i="18" s="1"/>
  <c r="AX399" i="18" s="1"/>
  <c r="R399" i="18"/>
  <c r="O399" i="18"/>
  <c r="N399" i="18"/>
  <c r="M399" i="18"/>
  <c r="I399" i="18"/>
  <c r="AY398" i="18"/>
  <c r="AU398" i="18"/>
  <c r="W398" i="18"/>
  <c r="AX398" i="18" s="1"/>
  <c r="V398" i="18"/>
  <c r="R398" i="18"/>
  <c r="O398" i="18"/>
  <c r="N398" i="18"/>
  <c r="P398" i="18" s="1"/>
  <c r="M398" i="18"/>
  <c r="I398" i="18"/>
  <c r="AY397" i="18"/>
  <c r="AU397" i="18"/>
  <c r="V397" i="18"/>
  <c r="W397" i="18" s="1"/>
  <c r="AX397" i="18" s="1"/>
  <c r="O397" i="18"/>
  <c r="I397" i="18" s="1"/>
  <c r="N397" i="18"/>
  <c r="M397" i="18"/>
  <c r="AY396" i="18"/>
  <c r="AU396" i="18"/>
  <c r="W396" i="18"/>
  <c r="V396" i="18"/>
  <c r="O396" i="18"/>
  <c r="N396" i="18"/>
  <c r="M396" i="18"/>
  <c r="I396" i="18"/>
  <c r="AZ395" i="18"/>
  <c r="AY395" i="18"/>
  <c r="AV395" i="18"/>
  <c r="AU395" i="18"/>
  <c r="V395" i="18"/>
  <c r="W395" i="18" s="1"/>
  <c r="AX395" i="18" s="1"/>
  <c r="R395" i="18"/>
  <c r="O395" i="18"/>
  <c r="N395" i="18"/>
  <c r="P395" i="18" s="1"/>
  <c r="AW395" i="18" s="1"/>
  <c r="M395" i="18"/>
  <c r="I395" i="18"/>
  <c r="AY394" i="18"/>
  <c r="AU394" i="18"/>
  <c r="V394" i="18"/>
  <c r="W394" i="18" s="1"/>
  <c r="AX394" i="18" s="1"/>
  <c r="P394" i="18"/>
  <c r="AW394" i="18" s="1"/>
  <c r="O394" i="18"/>
  <c r="N394" i="18"/>
  <c r="M394" i="18"/>
  <c r="I394" i="18"/>
  <c r="AY393" i="18"/>
  <c r="AU393" i="18"/>
  <c r="V393" i="18"/>
  <c r="W393" i="18" s="1"/>
  <c r="AX393" i="18" s="1"/>
  <c r="O393" i="18"/>
  <c r="N393" i="18"/>
  <c r="M393" i="18"/>
  <c r="I393" i="18"/>
  <c r="AZ392" i="18"/>
  <c r="AY392" i="18"/>
  <c r="AU392" i="18"/>
  <c r="V392" i="18"/>
  <c r="W392" i="18" s="1"/>
  <c r="AX392" i="18" s="1"/>
  <c r="R392" i="18"/>
  <c r="O392" i="18"/>
  <c r="N392" i="18"/>
  <c r="P392" i="18" s="1"/>
  <c r="M392" i="18"/>
  <c r="I392" i="18"/>
  <c r="AV392" i="18" s="1"/>
  <c r="AY391" i="18"/>
  <c r="AV391" i="18"/>
  <c r="AU391" i="18"/>
  <c r="V391" i="18"/>
  <c r="W391" i="18" s="1"/>
  <c r="AX391" i="18" s="1"/>
  <c r="O391" i="18"/>
  <c r="N391" i="18"/>
  <c r="M391" i="18"/>
  <c r="P391" i="18" s="1"/>
  <c r="AW391" i="18" s="1"/>
  <c r="I391" i="18"/>
  <c r="AY390" i="18"/>
  <c r="AV390" i="18"/>
  <c r="AU390" i="18"/>
  <c r="V390" i="18"/>
  <c r="W390" i="18" s="1"/>
  <c r="AX390" i="18" s="1"/>
  <c r="O390" i="18"/>
  <c r="N390" i="18"/>
  <c r="P390" i="18" s="1"/>
  <c r="M390" i="18"/>
  <c r="I390" i="18"/>
  <c r="BB389" i="18"/>
  <c r="BA389" i="18"/>
  <c r="AZ389" i="18"/>
  <c r="AY389" i="18"/>
  <c r="AV389" i="18"/>
  <c r="AU389" i="18"/>
  <c r="W389" i="18"/>
  <c r="AX389" i="18" s="1"/>
  <c r="V389" i="18"/>
  <c r="R389" i="18"/>
  <c r="O389" i="18"/>
  <c r="N389" i="18"/>
  <c r="P389" i="18" s="1"/>
  <c r="M389" i="18"/>
  <c r="I389" i="18"/>
  <c r="AY388" i="18"/>
  <c r="AV388" i="18"/>
  <c r="AU388" i="18"/>
  <c r="V388" i="18"/>
  <c r="W388" i="18" s="1"/>
  <c r="AX388" i="18" s="1"/>
  <c r="O388" i="18"/>
  <c r="N388" i="18"/>
  <c r="M388" i="18"/>
  <c r="L388" i="18"/>
  <c r="I388" i="18"/>
  <c r="BA387" i="18"/>
  <c r="AZ387" i="18"/>
  <c r="AY387" i="18"/>
  <c r="AV387" i="18"/>
  <c r="BB387" i="18" s="1"/>
  <c r="AU387" i="18"/>
  <c r="V387" i="18"/>
  <c r="W387" i="18" s="1"/>
  <c r="AX387" i="18" s="1"/>
  <c r="R387" i="18"/>
  <c r="P387" i="18"/>
  <c r="O387" i="18"/>
  <c r="N387" i="18"/>
  <c r="M387" i="18"/>
  <c r="L387" i="18"/>
  <c r="I387" i="18"/>
  <c r="AY386" i="18"/>
  <c r="AU386" i="18"/>
  <c r="W386" i="18"/>
  <c r="AX386" i="18" s="1"/>
  <c r="V386" i="18"/>
  <c r="O386" i="18"/>
  <c r="N386" i="18"/>
  <c r="M386" i="18"/>
  <c r="I386" i="18"/>
  <c r="AZ385" i="18"/>
  <c r="AY385" i="18"/>
  <c r="AV385" i="18"/>
  <c r="AU385" i="18"/>
  <c r="W385" i="18"/>
  <c r="AX385" i="18" s="1"/>
  <c r="V385" i="18"/>
  <c r="R385" i="18"/>
  <c r="O385" i="18"/>
  <c r="N385" i="18"/>
  <c r="P385" i="18" s="1"/>
  <c r="M385" i="18"/>
  <c r="I385" i="18"/>
  <c r="AY384" i="18"/>
  <c r="AU384" i="18"/>
  <c r="V384" i="18"/>
  <c r="W384" i="18" s="1"/>
  <c r="AX384" i="18" s="1"/>
  <c r="R384" i="18"/>
  <c r="O384" i="18"/>
  <c r="N384" i="18"/>
  <c r="P384" i="18" s="1"/>
  <c r="M384" i="18"/>
  <c r="I384" i="18"/>
  <c r="AY383" i="18"/>
  <c r="AU383" i="18"/>
  <c r="V383" i="18"/>
  <c r="W383" i="18" s="1"/>
  <c r="O383" i="18"/>
  <c r="N383" i="18"/>
  <c r="M383" i="18"/>
  <c r="I383" i="18"/>
  <c r="BB382" i="18"/>
  <c r="BA382" i="18"/>
  <c r="AZ382" i="18"/>
  <c r="AY382" i="18"/>
  <c r="AV382" i="18"/>
  <c r="AU382" i="18"/>
  <c r="V382" i="18"/>
  <c r="W382" i="18" s="1"/>
  <c r="AX382" i="18" s="1"/>
  <c r="R382" i="18"/>
  <c r="O382" i="18"/>
  <c r="N382" i="18"/>
  <c r="P382" i="18" s="1"/>
  <c r="S382" i="18" s="1"/>
  <c r="M382" i="18"/>
  <c r="L382" i="18"/>
  <c r="I382" i="18"/>
  <c r="AY381" i="18"/>
  <c r="AU381" i="18"/>
  <c r="V381" i="18"/>
  <c r="W381" i="18" s="1"/>
  <c r="AX381" i="18" s="1"/>
  <c r="O381" i="18"/>
  <c r="N381" i="18"/>
  <c r="M381" i="18"/>
  <c r="I381" i="18"/>
  <c r="AZ380" i="18"/>
  <c r="AY380" i="18"/>
  <c r="AV380" i="18"/>
  <c r="AU380" i="18"/>
  <c r="V380" i="18"/>
  <c r="W380" i="18" s="1"/>
  <c r="AX380" i="18" s="1"/>
  <c r="R380" i="18"/>
  <c r="O380" i="18"/>
  <c r="N380" i="18"/>
  <c r="P380" i="18" s="1"/>
  <c r="AW380" i="18" s="1"/>
  <c r="M380" i="18"/>
  <c r="L380" i="18"/>
  <c r="I380" i="18"/>
  <c r="AY379" i="18"/>
  <c r="AU379" i="18"/>
  <c r="V379" i="18"/>
  <c r="W379" i="18" s="1"/>
  <c r="AX379" i="18" s="1"/>
  <c r="O379" i="18"/>
  <c r="N379" i="18"/>
  <c r="M379" i="18"/>
  <c r="I379" i="18"/>
  <c r="AY378" i="18"/>
  <c r="AV378" i="18"/>
  <c r="AU378" i="18"/>
  <c r="V378" i="18"/>
  <c r="W378" i="18" s="1"/>
  <c r="AX378" i="18" s="1"/>
  <c r="O378" i="18"/>
  <c r="N378" i="18"/>
  <c r="M378" i="18"/>
  <c r="I378" i="18"/>
  <c r="BB377" i="18"/>
  <c r="BA377" i="18"/>
  <c r="AZ377" i="18"/>
  <c r="AY377" i="18"/>
  <c r="AV377" i="18"/>
  <c r="AU377" i="18"/>
  <c r="W377" i="18"/>
  <c r="AX377" i="18" s="1"/>
  <c r="V377" i="18"/>
  <c r="R377" i="18"/>
  <c r="O377" i="18"/>
  <c r="N377" i="18"/>
  <c r="P377" i="18" s="1"/>
  <c r="S377" i="18" s="1"/>
  <c r="M377" i="18"/>
  <c r="I377" i="18"/>
  <c r="AY376" i="18"/>
  <c r="AU376" i="18"/>
  <c r="V376" i="18"/>
  <c r="W376" i="18" s="1"/>
  <c r="AX376" i="18" s="1"/>
  <c r="O376" i="18"/>
  <c r="N376" i="18"/>
  <c r="M376" i="18"/>
  <c r="I376" i="18"/>
  <c r="AY375" i="18"/>
  <c r="AU375" i="18"/>
  <c r="V375" i="18"/>
  <c r="W375" i="18" s="1"/>
  <c r="AX375" i="18" s="1"/>
  <c r="O375" i="18"/>
  <c r="N375" i="18"/>
  <c r="L375" i="18" s="1"/>
  <c r="P375" i="18" s="1"/>
  <c r="AW375" i="18" s="1"/>
  <c r="M375" i="18"/>
  <c r="AY374" i="18"/>
  <c r="AV374" i="18"/>
  <c r="AU374" i="18"/>
  <c r="V374" i="18"/>
  <c r="W374" i="18" s="1"/>
  <c r="AX374" i="18" s="1"/>
  <c r="R374" i="18"/>
  <c r="O374" i="18"/>
  <c r="N374" i="18"/>
  <c r="M374" i="18"/>
  <c r="I374" i="18"/>
  <c r="AY373" i="18"/>
  <c r="AU373" i="18"/>
  <c r="V373" i="18"/>
  <c r="W373" i="18" s="1"/>
  <c r="AX373" i="18" s="1"/>
  <c r="O373" i="18"/>
  <c r="N373" i="18"/>
  <c r="P373" i="18" s="1"/>
  <c r="AW373" i="18" s="1"/>
  <c r="M373" i="18"/>
  <c r="I373" i="18"/>
  <c r="BB372" i="18"/>
  <c r="BA372" i="18"/>
  <c r="AZ372" i="18"/>
  <c r="AY372" i="18"/>
  <c r="AV372" i="18"/>
  <c r="AU372" i="18"/>
  <c r="V372" i="18"/>
  <c r="W372" i="18" s="1"/>
  <c r="AX372" i="18" s="1"/>
  <c r="R372" i="18"/>
  <c r="P372" i="18"/>
  <c r="O372" i="18"/>
  <c r="N372" i="18"/>
  <c r="M372" i="18"/>
  <c r="I372" i="18"/>
  <c r="AY371" i="18"/>
  <c r="AU371" i="18"/>
  <c r="V371" i="18"/>
  <c r="W371" i="18" s="1"/>
  <c r="AX371" i="18" s="1"/>
  <c r="O371" i="18"/>
  <c r="N371" i="18"/>
  <c r="M371" i="18"/>
  <c r="I371" i="18"/>
  <c r="AY370" i="18"/>
  <c r="AV370" i="18"/>
  <c r="AU370" i="18"/>
  <c r="V370" i="18"/>
  <c r="W370" i="18" s="1"/>
  <c r="AX370" i="18" s="1"/>
  <c r="R370" i="18"/>
  <c r="O370" i="18"/>
  <c r="N370" i="18"/>
  <c r="P370" i="18" s="1"/>
  <c r="AW370" i="18" s="1"/>
  <c r="M370" i="18"/>
  <c r="I370" i="18"/>
  <c r="AY369" i="18"/>
  <c r="AU369" i="18"/>
  <c r="V369" i="18"/>
  <c r="W369" i="18" s="1"/>
  <c r="AX369" i="18" s="1"/>
  <c r="O369" i="18"/>
  <c r="N369" i="18"/>
  <c r="P369" i="18" s="1"/>
  <c r="AW369" i="18" s="1"/>
  <c r="M369" i="18"/>
  <c r="I369" i="18"/>
  <c r="AY368" i="18"/>
  <c r="AU368" i="18"/>
  <c r="V368" i="18"/>
  <c r="W368" i="18" s="1"/>
  <c r="AX368" i="18" s="1"/>
  <c r="O368" i="18"/>
  <c r="N368" i="18"/>
  <c r="M368" i="18"/>
  <c r="I368" i="18"/>
  <c r="AY367" i="18"/>
  <c r="AU367" i="18"/>
  <c r="V367" i="18"/>
  <c r="W367" i="18" s="1"/>
  <c r="O367" i="18"/>
  <c r="N367" i="18"/>
  <c r="M367" i="18"/>
  <c r="I367" i="18"/>
  <c r="AZ366" i="18"/>
  <c r="AY366" i="18"/>
  <c r="AV366" i="18"/>
  <c r="AU366" i="18"/>
  <c r="V366" i="18"/>
  <c r="W366" i="18" s="1"/>
  <c r="AX366" i="18" s="1"/>
  <c r="O366" i="18"/>
  <c r="N366" i="18"/>
  <c r="M366" i="18"/>
  <c r="L366" i="18"/>
  <c r="I366" i="18"/>
  <c r="BB365" i="18"/>
  <c r="AZ365" i="18"/>
  <c r="AY365" i="18"/>
  <c r="AV365" i="18"/>
  <c r="BA365" i="18" s="1"/>
  <c r="AU365" i="18"/>
  <c r="V365" i="18"/>
  <c r="W365" i="18" s="1"/>
  <c r="AX365" i="18" s="1"/>
  <c r="O365" i="18"/>
  <c r="N365" i="18"/>
  <c r="P365" i="18" s="1"/>
  <c r="AW365" i="18" s="1"/>
  <c r="M365" i="18"/>
  <c r="R365" i="18" s="1"/>
  <c r="I365" i="18"/>
  <c r="BB364" i="18"/>
  <c r="BA364" i="18"/>
  <c r="AZ364" i="18"/>
  <c r="AY364" i="18"/>
  <c r="AU364" i="18"/>
  <c r="V364" i="18"/>
  <c r="W364" i="18" s="1"/>
  <c r="AX364" i="18" s="1"/>
  <c r="R364" i="18"/>
  <c r="O364" i="18"/>
  <c r="N364" i="18"/>
  <c r="P364" i="18" s="1"/>
  <c r="Y364" i="18" s="1"/>
  <c r="AN364" i="18" s="1"/>
  <c r="M364" i="18"/>
  <c r="I364" i="18"/>
  <c r="AV364" i="18" s="1"/>
  <c r="BB363" i="18"/>
  <c r="BA363" i="18"/>
  <c r="AZ363" i="18"/>
  <c r="AY363" i="18"/>
  <c r="AV363" i="18"/>
  <c r="AU363" i="18"/>
  <c r="V363" i="18"/>
  <c r="W363" i="18" s="1"/>
  <c r="AX363" i="18" s="1"/>
  <c r="R363" i="18"/>
  <c r="O363" i="18"/>
  <c r="N363" i="18"/>
  <c r="M363" i="18"/>
  <c r="I363" i="18"/>
  <c r="BA362" i="18"/>
  <c r="AZ362" i="18"/>
  <c r="AY362" i="18"/>
  <c r="AV362" i="18"/>
  <c r="BB362" i="18" s="1"/>
  <c r="AU362" i="18"/>
  <c r="V362" i="18"/>
  <c r="W362" i="18" s="1"/>
  <c r="AX362" i="18" s="1"/>
  <c r="R362" i="18"/>
  <c r="O362" i="18"/>
  <c r="N362" i="18"/>
  <c r="P362" i="18" s="1"/>
  <c r="M362" i="18"/>
  <c r="I362" i="18"/>
  <c r="AY361" i="18"/>
  <c r="AU361" i="18"/>
  <c r="V361" i="18"/>
  <c r="W361" i="18" s="1"/>
  <c r="AX361" i="18" s="1"/>
  <c r="R361" i="18"/>
  <c r="P361" i="18"/>
  <c r="AW361" i="18" s="1"/>
  <c r="O361" i="18"/>
  <c r="N361" i="18"/>
  <c r="M361" i="18"/>
  <c r="I361" i="18"/>
  <c r="AY360" i="18"/>
  <c r="AU360" i="18"/>
  <c r="V360" i="18"/>
  <c r="W360" i="18" s="1"/>
  <c r="AX360" i="18" s="1"/>
  <c r="P360" i="18"/>
  <c r="AW360" i="18" s="1"/>
  <c r="O360" i="18"/>
  <c r="N360" i="18"/>
  <c r="M360" i="18"/>
  <c r="I360" i="18"/>
  <c r="BB359" i="18"/>
  <c r="AY359" i="18"/>
  <c r="AV359" i="18"/>
  <c r="AU359" i="18"/>
  <c r="V359" i="18"/>
  <c r="W359" i="18" s="1"/>
  <c r="AX359" i="18" s="1"/>
  <c r="O359" i="18"/>
  <c r="N359" i="18"/>
  <c r="M359" i="18"/>
  <c r="I359" i="18"/>
  <c r="BA358" i="18"/>
  <c r="AZ358" i="18"/>
  <c r="AY358" i="18"/>
  <c r="AU358" i="18"/>
  <c r="V358" i="18"/>
  <c r="W358" i="18" s="1"/>
  <c r="AX358" i="18" s="1"/>
  <c r="R358" i="18"/>
  <c r="O358" i="18"/>
  <c r="N358" i="18"/>
  <c r="P358" i="18" s="1"/>
  <c r="Y358" i="18" s="1"/>
  <c r="AN358" i="18" s="1"/>
  <c r="M358" i="18"/>
  <c r="I358" i="18"/>
  <c r="AV358" i="18" s="1"/>
  <c r="AY357" i="18"/>
  <c r="AV357" i="18"/>
  <c r="AU357" i="18"/>
  <c r="V357" i="18"/>
  <c r="W357" i="18" s="1"/>
  <c r="AX357" i="18" s="1"/>
  <c r="R357" i="18"/>
  <c r="O357" i="18"/>
  <c r="N357" i="18"/>
  <c r="M357" i="18"/>
  <c r="I357" i="18"/>
  <c r="AY356" i="18"/>
  <c r="AU356" i="18"/>
  <c r="V356" i="18"/>
  <c r="W356" i="18" s="1"/>
  <c r="AX356" i="18" s="1"/>
  <c r="O356" i="18"/>
  <c r="N356" i="18"/>
  <c r="M356" i="18"/>
  <c r="I356" i="18"/>
  <c r="AY355" i="18"/>
  <c r="AU355" i="18"/>
  <c r="V355" i="18"/>
  <c r="W355" i="18" s="1"/>
  <c r="AX355" i="18" s="1"/>
  <c r="R355" i="18"/>
  <c r="O355" i="18"/>
  <c r="N355" i="18"/>
  <c r="P355" i="18" s="1"/>
  <c r="M355" i="18"/>
  <c r="I355" i="18"/>
  <c r="AY354" i="18"/>
  <c r="AU354" i="18"/>
  <c r="V354" i="18"/>
  <c r="W354" i="18" s="1"/>
  <c r="AX354" i="18" s="1"/>
  <c r="O354" i="18"/>
  <c r="N354" i="18"/>
  <c r="M354" i="18"/>
  <c r="I354" i="18"/>
  <c r="AY353" i="18"/>
  <c r="AV353" i="18"/>
  <c r="AU353" i="18"/>
  <c r="V353" i="18"/>
  <c r="W353" i="18" s="1"/>
  <c r="AX353" i="18" s="1"/>
  <c r="R353" i="18"/>
  <c r="P353" i="18"/>
  <c r="O353" i="18"/>
  <c r="N353" i="18"/>
  <c r="M353" i="18"/>
  <c r="I353" i="18"/>
  <c r="AY352" i="18"/>
  <c r="AU352" i="18"/>
  <c r="V352" i="18"/>
  <c r="W352" i="18" s="1"/>
  <c r="AX352" i="18" s="1"/>
  <c r="P352" i="18"/>
  <c r="AW352" i="18" s="1"/>
  <c r="O352" i="18"/>
  <c r="N352" i="18"/>
  <c r="M352" i="18"/>
  <c r="I352" i="18"/>
  <c r="AY351" i="18"/>
  <c r="AU351" i="18"/>
  <c r="V351" i="18"/>
  <c r="W351" i="18" s="1"/>
  <c r="AX351" i="18" s="1"/>
  <c r="O351" i="18"/>
  <c r="N351" i="18"/>
  <c r="M351" i="18"/>
  <c r="I351" i="18"/>
  <c r="AY350" i="18"/>
  <c r="AW350" i="18"/>
  <c r="AU350" i="18"/>
  <c r="V350" i="18"/>
  <c r="W350" i="18" s="1"/>
  <c r="AX350" i="18" s="1"/>
  <c r="R350" i="18"/>
  <c r="O350" i="18"/>
  <c r="N350" i="18"/>
  <c r="P350" i="18" s="1"/>
  <c r="M350" i="18"/>
  <c r="I350" i="18"/>
  <c r="AV350" i="18" s="1"/>
  <c r="AY349" i="18"/>
  <c r="AU349" i="18"/>
  <c r="V349" i="18"/>
  <c r="W349" i="18" s="1"/>
  <c r="AX349" i="18" s="1"/>
  <c r="O349" i="18"/>
  <c r="N349" i="18"/>
  <c r="M349" i="18"/>
  <c r="I349" i="18"/>
  <c r="AY348" i="18"/>
  <c r="AV348" i="18"/>
  <c r="AU348" i="18"/>
  <c r="V348" i="18"/>
  <c r="W348" i="18" s="1"/>
  <c r="AX348" i="18" s="1"/>
  <c r="R348" i="18"/>
  <c r="O348" i="18"/>
  <c r="N348" i="18"/>
  <c r="P348" i="18" s="1"/>
  <c r="AW348" i="18" s="1"/>
  <c r="M348" i="18"/>
  <c r="I348" i="18"/>
  <c r="AY347" i="18"/>
  <c r="AU347" i="18"/>
  <c r="V347" i="18"/>
  <c r="W347" i="18" s="1"/>
  <c r="AX347" i="18" s="1"/>
  <c r="O347" i="18"/>
  <c r="N347" i="18"/>
  <c r="P347" i="18" s="1"/>
  <c r="AW347" i="18" s="1"/>
  <c r="M347" i="18"/>
  <c r="I347" i="18"/>
  <c r="AY346" i="18"/>
  <c r="AU346" i="18"/>
  <c r="V346" i="18"/>
  <c r="W346" i="18" s="1"/>
  <c r="AX346" i="18" s="1"/>
  <c r="O346" i="18"/>
  <c r="N346" i="18"/>
  <c r="M346" i="18"/>
  <c r="I346" i="18"/>
  <c r="AY345" i="18"/>
  <c r="AV345" i="18"/>
  <c r="AU345" i="18"/>
  <c r="V345" i="18"/>
  <c r="W345" i="18" s="1"/>
  <c r="AX345" i="18" s="1"/>
  <c r="R345" i="18"/>
  <c r="O345" i="18"/>
  <c r="N345" i="18"/>
  <c r="P345" i="18" s="1"/>
  <c r="M345" i="18"/>
  <c r="I345" i="18"/>
  <c r="AY344" i="18"/>
  <c r="AU344" i="18"/>
  <c r="V344" i="18"/>
  <c r="W344" i="18" s="1"/>
  <c r="AX344" i="18" s="1"/>
  <c r="R344" i="18"/>
  <c r="O344" i="18"/>
  <c r="N344" i="18"/>
  <c r="P344" i="18" s="1"/>
  <c r="AW344" i="18" s="1"/>
  <c r="M344" i="18"/>
  <c r="I344" i="18"/>
  <c r="AY343" i="18"/>
  <c r="AV343" i="18"/>
  <c r="AU343" i="18"/>
  <c r="V343" i="18"/>
  <c r="W343" i="18" s="1"/>
  <c r="AX343" i="18" s="1"/>
  <c r="R343" i="18"/>
  <c r="O343" i="18"/>
  <c r="N343" i="18"/>
  <c r="P343" i="18" s="1"/>
  <c r="AW343" i="18" s="1"/>
  <c r="M343" i="18"/>
  <c r="I343" i="18"/>
  <c r="BB342" i="18"/>
  <c r="BA342" i="18"/>
  <c r="AZ342" i="18"/>
  <c r="AY342" i="18"/>
  <c r="AU342" i="18"/>
  <c r="V342" i="18"/>
  <c r="W342" i="18" s="1"/>
  <c r="AX342" i="18" s="1"/>
  <c r="S342" i="18"/>
  <c r="T342" i="18" s="1"/>
  <c r="R342" i="18"/>
  <c r="P342" i="18"/>
  <c r="AW342" i="18" s="1"/>
  <c r="O342" i="18"/>
  <c r="N342" i="18"/>
  <c r="M342" i="18"/>
  <c r="I342" i="18"/>
  <c r="AV342" i="18" s="1"/>
  <c r="AY341" i="18"/>
  <c r="AU341" i="18"/>
  <c r="V341" i="18"/>
  <c r="W341" i="18" s="1"/>
  <c r="AX341" i="18" s="1"/>
  <c r="O341" i="18"/>
  <c r="N341" i="18"/>
  <c r="M341" i="18"/>
  <c r="L341" i="18"/>
  <c r="I341" i="18"/>
  <c r="AY340" i="18"/>
  <c r="AV340" i="18"/>
  <c r="AU340" i="18"/>
  <c r="V340" i="18"/>
  <c r="W340" i="18" s="1"/>
  <c r="AX340" i="18" s="1"/>
  <c r="O340" i="18"/>
  <c r="N340" i="18"/>
  <c r="M340" i="18"/>
  <c r="I340" i="18"/>
  <c r="AY339" i="18"/>
  <c r="AU339" i="18"/>
  <c r="V339" i="18"/>
  <c r="W339" i="18" s="1"/>
  <c r="O339" i="18"/>
  <c r="N339" i="18"/>
  <c r="P339" i="18" s="1"/>
  <c r="L339" i="18"/>
  <c r="I339" i="18"/>
  <c r="X332" i="18"/>
  <c r="L332" i="18"/>
  <c r="J332" i="18"/>
  <c r="B332" i="18"/>
  <c r="AZ331" i="18"/>
  <c r="AY331" i="18"/>
  <c r="AV331" i="18"/>
  <c r="AU331" i="18"/>
  <c r="V331" i="18"/>
  <c r="W331" i="18" s="1"/>
  <c r="AX331" i="18" s="1"/>
  <c r="R331" i="18"/>
  <c r="O331" i="18"/>
  <c r="N331" i="18"/>
  <c r="P331" i="18" s="1"/>
  <c r="M331" i="18"/>
  <c r="I331" i="18"/>
  <c r="AY330" i="18"/>
  <c r="AU330" i="18"/>
  <c r="V330" i="18"/>
  <c r="W330" i="18" s="1"/>
  <c r="AX330" i="18" s="1"/>
  <c r="O330" i="18"/>
  <c r="N330" i="18"/>
  <c r="P330" i="18" s="1"/>
  <c r="M330" i="18"/>
  <c r="I330" i="18"/>
  <c r="AY329" i="18"/>
  <c r="AV329" i="18"/>
  <c r="AU329" i="18"/>
  <c r="V329" i="18"/>
  <c r="W329" i="18" s="1"/>
  <c r="AX329" i="18" s="1"/>
  <c r="O329" i="18"/>
  <c r="N329" i="18"/>
  <c r="M329" i="18"/>
  <c r="K329" i="18"/>
  <c r="J329" i="18"/>
  <c r="I329" i="18"/>
  <c r="AY328" i="18"/>
  <c r="AU328" i="18"/>
  <c r="V328" i="18"/>
  <c r="W328" i="18" s="1"/>
  <c r="AX328" i="18" s="1"/>
  <c r="R328" i="18"/>
  <c r="P328" i="18"/>
  <c r="AW328" i="18" s="1"/>
  <c r="O328" i="18"/>
  <c r="N328" i="18"/>
  <c r="M328" i="18"/>
  <c r="I328" i="18"/>
  <c r="AY327" i="18"/>
  <c r="AV327" i="18"/>
  <c r="AU327" i="18"/>
  <c r="V327" i="18"/>
  <c r="W327" i="18" s="1"/>
  <c r="AX327" i="18" s="1"/>
  <c r="O327" i="18"/>
  <c r="N327" i="18"/>
  <c r="M327" i="18"/>
  <c r="I327" i="18"/>
  <c r="AY326" i="18"/>
  <c r="AX326" i="18"/>
  <c r="AU326" i="18"/>
  <c r="V326" i="18"/>
  <c r="W326" i="18" s="1"/>
  <c r="R326" i="18"/>
  <c r="O326" i="18"/>
  <c r="N326" i="18"/>
  <c r="P326" i="18" s="1"/>
  <c r="S326" i="18" s="1"/>
  <c r="M326" i="18"/>
  <c r="I326" i="18"/>
  <c r="AV326" i="18" s="1"/>
  <c r="AZ326" i="18" s="1"/>
  <c r="BB325" i="18"/>
  <c r="BA325" i="18"/>
  <c r="AY325" i="18"/>
  <c r="AV325" i="18"/>
  <c r="AZ325" i="18" s="1"/>
  <c r="AU325" i="18"/>
  <c r="V325" i="18"/>
  <c r="W325" i="18" s="1"/>
  <c r="AX325" i="18" s="1"/>
  <c r="O325" i="18"/>
  <c r="N325" i="18"/>
  <c r="M325" i="18"/>
  <c r="I325" i="18"/>
  <c r="AY324" i="18"/>
  <c r="AV324" i="18"/>
  <c r="AU324" i="18"/>
  <c r="V324" i="18"/>
  <c r="W324" i="18" s="1"/>
  <c r="AX324" i="18" s="1"/>
  <c r="P324" i="18"/>
  <c r="AW324" i="18" s="1"/>
  <c r="O324" i="18"/>
  <c r="N324" i="18"/>
  <c r="M324" i="18"/>
  <c r="I324" i="18"/>
  <c r="AY323" i="18"/>
  <c r="AU323" i="18"/>
  <c r="V323" i="18"/>
  <c r="W323" i="18" s="1"/>
  <c r="AX323" i="18" s="1"/>
  <c r="R323" i="18"/>
  <c r="P323" i="18"/>
  <c r="AW323" i="18" s="1"/>
  <c r="O323" i="18"/>
  <c r="N323" i="18"/>
  <c r="M323" i="18"/>
  <c r="I323" i="18"/>
  <c r="AY322" i="18"/>
  <c r="AV322" i="18"/>
  <c r="AU322" i="18"/>
  <c r="V322" i="18"/>
  <c r="W322" i="18" s="1"/>
  <c r="AX322" i="18" s="1"/>
  <c r="O322" i="18"/>
  <c r="N322" i="18"/>
  <c r="M322" i="18"/>
  <c r="I322" i="18"/>
  <c r="AZ321" i="18"/>
  <c r="AY321" i="18"/>
  <c r="AV321" i="18"/>
  <c r="AU321" i="18"/>
  <c r="V321" i="18"/>
  <c r="W321" i="18" s="1"/>
  <c r="AX321" i="18" s="1"/>
  <c r="R321" i="18"/>
  <c r="O321" i="18"/>
  <c r="N321" i="18"/>
  <c r="P321" i="18" s="1"/>
  <c r="AW321" i="18" s="1"/>
  <c r="M321" i="18"/>
  <c r="I321" i="18"/>
  <c r="AY320" i="18"/>
  <c r="AU320" i="18"/>
  <c r="V320" i="18"/>
  <c r="W320" i="18" s="1"/>
  <c r="AX320" i="18" s="1"/>
  <c r="R320" i="18"/>
  <c r="O320" i="18"/>
  <c r="N320" i="18"/>
  <c r="P320" i="18" s="1"/>
  <c r="M320" i="18"/>
  <c r="I320" i="18"/>
  <c r="AY319" i="18"/>
  <c r="AU319" i="18"/>
  <c r="V319" i="18"/>
  <c r="W319" i="18" s="1"/>
  <c r="AX319" i="18" s="1"/>
  <c r="O319" i="18"/>
  <c r="N319" i="18"/>
  <c r="M319" i="18"/>
  <c r="I319" i="18"/>
  <c r="AY318" i="18"/>
  <c r="AU318" i="18"/>
  <c r="V318" i="18"/>
  <c r="W318" i="18" s="1"/>
  <c r="AX318" i="18" s="1"/>
  <c r="R318" i="18"/>
  <c r="P318" i="18"/>
  <c r="S318" i="18" s="1"/>
  <c r="O318" i="18"/>
  <c r="N318" i="18"/>
  <c r="M318" i="18"/>
  <c r="I318" i="18"/>
  <c r="AV318" i="18" s="1"/>
  <c r="AY317" i="18"/>
  <c r="AU317" i="18"/>
  <c r="V317" i="18"/>
  <c r="W317" i="18" s="1"/>
  <c r="AX317" i="18" s="1"/>
  <c r="O317" i="18"/>
  <c r="N317" i="18"/>
  <c r="M317" i="18"/>
  <c r="I317" i="18"/>
  <c r="AY316" i="18"/>
  <c r="AV316" i="18"/>
  <c r="AU316" i="18"/>
  <c r="V316" i="18"/>
  <c r="W316" i="18" s="1"/>
  <c r="AX316" i="18" s="1"/>
  <c r="O316" i="18"/>
  <c r="N316" i="18"/>
  <c r="M316" i="18"/>
  <c r="I316" i="18"/>
  <c r="AY315" i="18"/>
  <c r="AU315" i="18"/>
  <c r="V315" i="18"/>
  <c r="W315" i="18" s="1"/>
  <c r="AX315" i="18" s="1"/>
  <c r="R315" i="18"/>
  <c r="O315" i="18"/>
  <c r="N315" i="18"/>
  <c r="P315" i="18" s="1"/>
  <c r="M315" i="18"/>
  <c r="I315" i="18"/>
  <c r="BB314" i="18"/>
  <c r="AY314" i="18"/>
  <c r="AV314" i="18"/>
  <c r="AU314" i="18"/>
  <c r="V314" i="18"/>
  <c r="W314" i="18" s="1"/>
  <c r="AX314" i="18" s="1"/>
  <c r="O314" i="18"/>
  <c r="N314" i="18"/>
  <c r="M314" i="18"/>
  <c r="I314" i="18"/>
  <c r="AZ313" i="18"/>
  <c r="AY313" i="18"/>
  <c r="AV313" i="18"/>
  <c r="AU313" i="18"/>
  <c r="V313" i="18"/>
  <c r="W313" i="18" s="1"/>
  <c r="AX313" i="18" s="1"/>
  <c r="R313" i="18"/>
  <c r="O313" i="18"/>
  <c r="N313" i="18"/>
  <c r="P313" i="18" s="1"/>
  <c r="M313" i="18"/>
  <c r="I313" i="18"/>
  <c r="AY312" i="18"/>
  <c r="AU312" i="18"/>
  <c r="V312" i="18"/>
  <c r="W312" i="18" s="1"/>
  <c r="AX312" i="18" s="1"/>
  <c r="O312" i="18"/>
  <c r="N312" i="18"/>
  <c r="P312" i="18" s="1"/>
  <c r="AW312" i="18" s="1"/>
  <c r="M312" i="18"/>
  <c r="I312" i="18"/>
  <c r="AY311" i="18"/>
  <c r="AU311" i="18"/>
  <c r="V311" i="18"/>
  <c r="W311" i="18" s="1"/>
  <c r="AX311" i="18" s="1"/>
  <c r="O311" i="18"/>
  <c r="N311" i="18"/>
  <c r="M311" i="18"/>
  <c r="I311" i="18"/>
  <c r="AY310" i="18"/>
  <c r="AU310" i="18"/>
  <c r="V310" i="18"/>
  <c r="W310" i="18" s="1"/>
  <c r="AX310" i="18" s="1"/>
  <c r="R310" i="18"/>
  <c r="O310" i="18"/>
  <c r="N310" i="18"/>
  <c r="P310" i="18" s="1"/>
  <c r="M310" i="18"/>
  <c r="I310" i="18"/>
  <c r="AV310" i="18" s="1"/>
  <c r="AY309" i="18"/>
  <c r="AV309" i="18"/>
  <c r="AU309" i="18"/>
  <c r="V309" i="18"/>
  <c r="W309" i="18" s="1"/>
  <c r="AX309" i="18" s="1"/>
  <c r="O309" i="18"/>
  <c r="N309" i="18"/>
  <c r="M309" i="18"/>
  <c r="I309" i="18"/>
  <c r="AY308" i="18"/>
  <c r="AV308" i="18"/>
  <c r="AU308" i="18"/>
  <c r="V308" i="18"/>
  <c r="W308" i="18" s="1"/>
  <c r="AX308" i="18" s="1"/>
  <c r="O308" i="18"/>
  <c r="N308" i="18"/>
  <c r="P308" i="18" s="1"/>
  <c r="M308" i="18"/>
  <c r="I308" i="18"/>
  <c r="AY307" i="18"/>
  <c r="AU307" i="18"/>
  <c r="V307" i="18"/>
  <c r="W307" i="18" s="1"/>
  <c r="AX307" i="18" s="1"/>
  <c r="S307" i="18"/>
  <c r="T307" i="18" s="1"/>
  <c r="R307" i="18"/>
  <c r="P307" i="18"/>
  <c r="AW307" i="18" s="1"/>
  <c r="O307" i="18"/>
  <c r="N307" i="18"/>
  <c r="M307" i="18"/>
  <c r="I307" i="18"/>
  <c r="AY306" i="18"/>
  <c r="AU306" i="18"/>
  <c r="V306" i="18"/>
  <c r="W306" i="18" s="1"/>
  <c r="AX306" i="18" s="1"/>
  <c r="O306" i="18"/>
  <c r="N306" i="18"/>
  <c r="M306" i="18"/>
  <c r="I306" i="18"/>
  <c r="AZ305" i="18"/>
  <c r="AY305" i="18"/>
  <c r="AV305" i="18"/>
  <c r="AU305" i="18"/>
  <c r="V305" i="18"/>
  <c r="W305" i="18" s="1"/>
  <c r="AX305" i="18" s="1"/>
  <c r="O305" i="18"/>
  <c r="N305" i="18"/>
  <c r="P305" i="18" s="1"/>
  <c r="M305" i="18"/>
  <c r="R305" i="18" s="1"/>
  <c r="I305" i="18"/>
  <c r="AY304" i="18"/>
  <c r="AU304" i="18"/>
  <c r="V304" i="18"/>
  <c r="W304" i="18" s="1"/>
  <c r="AX304" i="18" s="1"/>
  <c r="R304" i="18"/>
  <c r="O304" i="18"/>
  <c r="N304" i="18"/>
  <c r="P304" i="18" s="1"/>
  <c r="M304" i="18"/>
  <c r="I304" i="18"/>
  <c r="AY303" i="18"/>
  <c r="AU303" i="18"/>
  <c r="V303" i="18"/>
  <c r="W303" i="18" s="1"/>
  <c r="AX303" i="18" s="1"/>
  <c r="O303" i="18"/>
  <c r="N303" i="18"/>
  <c r="M303" i="18"/>
  <c r="I303" i="18"/>
  <c r="BA302" i="18"/>
  <c r="AY302" i="18"/>
  <c r="AU302" i="18"/>
  <c r="V302" i="18"/>
  <c r="W302" i="18" s="1"/>
  <c r="AX302" i="18" s="1"/>
  <c r="S302" i="18"/>
  <c r="R302" i="18"/>
  <c r="P302" i="18"/>
  <c r="O302" i="18"/>
  <c r="N302" i="18"/>
  <c r="M302" i="18"/>
  <c r="I302" i="18"/>
  <c r="AV302" i="18" s="1"/>
  <c r="AY301" i="18"/>
  <c r="AU301" i="18"/>
  <c r="V301" i="18"/>
  <c r="W301" i="18" s="1"/>
  <c r="AX301" i="18" s="1"/>
  <c r="O301" i="18"/>
  <c r="N301" i="18"/>
  <c r="M301" i="18"/>
  <c r="I301" i="18"/>
  <c r="AY300" i="18"/>
  <c r="AV300" i="18"/>
  <c r="AU300" i="18"/>
  <c r="V300" i="18"/>
  <c r="W300" i="18" s="1"/>
  <c r="AX300" i="18" s="1"/>
  <c r="O300" i="18"/>
  <c r="N300" i="18"/>
  <c r="M300" i="18"/>
  <c r="I300" i="18"/>
  <c r="AY299" i="18"/>
  <c r="AU299" i="18"/>
  <c r="V299" i="18"/>
  <c r="W299" i="18" s="1"/>
  <c r="AX299" i="18" s="1"/>
  <c r="S299" i="18"/>
  <c r="T299" i="18" s="1"/>
  <c r="R299" i="18"/>
  <c r="P299" i="18"/>
  <c r="AW299" i="18" s="1"/>
  <c r="O299" i="18"/>
  <c r="N299" i="18"/>
  <c r="M299" i="18"/>
  <c r="I299" i="18"/>
  <c r="AY298" i="18"/>
  <c r="AV298" i="18"/>
  <c r="AU298" i="18"/>
  <c r="V298" i="18"/>
  <c r="W298" i="18" s="1"/>
  <c r="AX298" i="18" s="1"/>
  <c r="O298" i="18"/>
  <c r="N298" i="18"/>
  <c r="M298" i="18"/>
  <c r="I298" i="18"/>
  <c r="AY297" i="18"/>
  <c r="AV297" i="18"/>
  <c r="AU297" i="18"/>
  <c r="V297" i="18"/>
  <c r="W297" i="18" s="1"/>
  <c r="AX297" i="18" s="1"/>
  <c r="O297" i="18"/>
  <c r="N297" i="18"/>
  <c r="M297" i="18"/>
  <c r="I297" i="18"/>
  <c r="AY296" i="18"/>
  <c r="AU296" i="18"/>
  <c r="V296" i="18"/>
  <c r="W296" i="18" s="1"/>
  <c r="AX296" i="18" s="1"/>
  <c r="O296" i="18"/>
  <c r="N296" i="18"/>
  <c r="M296" i="18"/>
  <c r="I296" i="18"/>
  <c r="BA295" i="18"/>
  <c r="AZ295" i="18"/>
  <c r="AY295" i="18"/>
  <c r="AV295" i="18"/>
  <c r="AU295" i="18"/>
  <c r="V295" i="18"/>
  <c r="W295" i="18" s="1"/>
  <c r="AX295" i="18" s="1"/>
  <c r="R295" i="18"/>
  <c r="O295" i="18"/>
  <c r="N295" i="18"/>
  <c r="P295" i="18" s="1"/>
  <c r="M295" i="18"/>
  <c r="I295" i="18"/>
  <c r="AY294" i="18"/>
  <c r="AU294" i="18"/>
  <c r="V294" i="18"/>
  <c r="W294" i="18" s="1"/>
  <c r="AX294" i="18" s="1"/>
  <c r="O294" i="18"/>
  <c r="N294" i="18"/>
  <c r="M294" i="18"/>
  <c r="I294" i="18"/>
  <c r="AY293" i="18"/>
  <c r="AU293" i="18"/>
  <c r="V293" i="18"/>
  <c r="W293" i="18" s="1"/>
  <c r="AX293" i="18" s="1"/>
  <c r="O293" i="18"/>
  <c r="N293" i="18"/>
  <c r="M293" i="18"/>
  <c r="I293" i="18"/>
  <c r="BA292" i="18"/>
  <c r="AY292" i="18"/>
  <c r="AU292" i="18"/>
  <c r="V292" i="18"/>
  <c r="W292" i="18" s="1"/>
  <c r="AX292" i="18" s="1"/>
  <c r="S292" i="18"/>
  <c r="R292" i="18"/>
  <c r="P292" i="18"/>
  <c r="O292" i="18"/>
  <c r="N292" i="18"/>
  <c r="M292" i="18"/>
  <c r="I292" i="18"/>
  <c r="AV292" i="18" s="1"/>
  <c r="AY291" i="18"/>
  <c r="AU291" i="18"/>
  <c r="V291" i="18"/>
  <c r="W291" i="18" s="1"/>
  <c r="AX291" i="18" s="1"/>
  <c r="O291" i="18"/>
  <c r="N291" i="18"/>
  <c r="M291" i="18"/>
  <c r="I291" i="18"/>
  <c r="AY290" i="18"/>
  <c r="AV290" i="18"/>
  <c r="AU290" i="18"/>
  <c r="V290" i="18"/>
  <c r="W290" i="18" s="1"/>
  <c r="AX290" i="18" s="1"/>
  <c r="O290" i="18"/>
  <c r="N290" i="18"/>
  <c r="M290" i="18"/>
  <c r="P290" i="18" s="1"/>
  <c r="I290" i="18"/>
  <c r="S290" i="18" s="1"/>
  <c r="AY289" i="18"/>
  <c r="AU289" i="18"/>
  <c r="V289" i="18"/>
  <c r="W289" i="18" s="1"/>
  <c r="AX289" i="18" s="1"/>
  <c r="R289" i="18"/>
  <c r="O289" i="18"/>
  <c r="N289" i="18"/>
  <c r="P289" i="18" s="1"/>
  <c r="M289" i="18"/>
  <c r="I289" i="18"/>
  <c r="BB288" i="18"/>
  <c r="AY288" i="18"/>
  <c r="AV288" i="18"/>
  <c r="AU288" i="18"/>
  <c r="V288" i="18"/>
  <c r="W288" i="18" s="1"/>
  <c r="AX288" i="18" s="1"/>
  <c r="O288" i="18"/>
  <c r="N288" i="18"/>
  <c r="M288" i="18"/>
  <c r="I288" i="18"/>
  <c r="BA287" i="18"/>
  <c r="AZ287" i="18"/>
  <c r="AY287" i="18"/>
  <c r="AV287" i="18"/>
  <c r="AU287" i="18"/>
  <c r="W287" i="18"/>
  <c r="AX287" i="18" s="1"/>
  <c r="V287" i="18"/>
  <c r="R287" i="18"/>
  <c r="O287" i="18"/>
  <c r="N287" i="18"/>
  <c r="P287" i="18" s="1"/>
  <c r="M287" i="18"/>
  <c r="I287" i="18"/>
  <c r="AY286" i="18"/>
  <c r="AU286" i="18"/>
  <c r="V286" i="18"/>
  <c r="W286" i="18" s="1"/>
  <c r="AX286" i="18" s="1"/>
  <c r="O286" i="18"/>
  <c r="N286" i="18"/>
  <c r="P286" i="18" s="1"/>
  <c r="AW286" i="18" s="1"/>
  <c r="M286" i="18"/>
  <c r="I286" i="18"/>
  <c r="AY285" i="18"/>
  <c r="AV285" i="18"/>
  <c r="AU285" i="18"/>
  <c r="V285" i="18"/>
  <c r="O285" i="18"/>
  <c r="N285" i="18"/>
  <c r="M285" i="18"/>
  <c r="I285" i="18"/>
  <c r="AG280" i="18"/>
  <c r="AF280" i="18"/>
  <c r="K280" i="18"/>
  <c r="J280" i="18"/>
  <c r="AX279" i="18"/>
  <c r="AW279" i="18"/>
  <c r="AV279" i="18"/>
  <c r="AM279" i="18"/>
  <c r="AD279" i="18"/>
  <c r="AC279" i="18"/>
  <c r="AB279" i="18"/>
  <c r="AA279" i="18"/>
  <c r="Z279" i="18"/>
  <c r="V279" i="18"/>
  <c r="W279" i="18" s="1"/>
  <c r="S279" i="18"/>
  <c r="R279" i="18"/>
  <c r="T279" i="18" s="1"/>
  <c r="O279" i="18"/>
  <c r="N279" i="18"/>
  <c r="I279" i="18"/>
  <c r="AW278" i="18"/>
  <c r="AM278" i="18"/>
  <c r="AD278" i="18"/>
  <c r="AC278" i="18"/>
  <c r="AB278" i="18"/>
  <c r="AA278" i="18"/>
  <c r="Z278" i="18"/>
  <c r="V278" i="18"/>
  <c r="W278" i="18" s="1"/>
  <c r="AX278" i="18" s="1"/>
  <c r="O278" i="18"/>
  <c r="N278" i="18"/>
  <c r="I278" i="18"/>
  <c r="AW277" i="18"/>
  <c r="AM277" i="18"/>
  <c r="AM280" i="18" s="1"/>
  <c r="AD277" i="18"/>
  <c r="AC277" i="18"/>
  <c r="AB277" i="18"/>
  <c r="AA277" i="18"/>
  <c r="Z277" i="18"/>
  <c r="V277" i="18"/>
  <c r="W277" i="18" s="1"/>
  <c r="AX277" i="18" s="1"/>
  <c r="O277" i="18"/>
  <c r="N277" i="18"/>
  <c r="I277" i="18"/>
  <c r="AJ255" i="18"/>
  <c r="AO254" i="18"/>
  <c r="AK254" i="18"/>
  <c r="AE254" i="18"/>
  <c r="AM254" i="18" s="1"/>
  <c r="W254" i="18"/>
  <c r="Y254" i="18" s="1"/>
  <c r="AN254" i="18" s="1"/>
  <c r="AP254" i="18" s="1"/>
  <c r="AQ254" i="18" s="1"/>
  <c r="AR254" i="18" s="1"/>
  <c r="R254" i="18"/>
  <c r="P254" i="18"/>
  <c r="S254" i="18" s="1"/>
  <c r="T254" i="18" s="1"/>
  <c r="AO253" i="18"/>
  <c r="AK253" i="18"/>
  <c r="AE253" i="18"/>
  <c r="AM253" i="18" s="1"/>
  <c r="W253" i="18"/>
  <c r="Y253" i="18" s="1"/>
  <c r="AN253" i="18" s="1"/>
  <c r="AP253" i="18" s="1"/>
  <c r="AQ253" i="18" s="1"/>
  <c r="AR253" i="18" s="1"/>
  <c r="T253" i="18"/>
  <c r="S253" i="18"/>
  <c r="R253" i="18"/>
  <c r="P253" i="18"/>
  <c r="AO252" i="18"/>
  <c r="AM252" i="18"/>
  <c r="AK252" i="18"/>
  <c r="AE252" i="18"/>
  <c r="W252" i="18"/>
  <c r="R252" i="18"/>
  <c r="P252" i="18"/>
  <c r="M252" i="18"/>
  <c r="AK251" i="18"/>
  <c r="AK250" i="18"/>
  <c r="AK249" i="18"/>
  <c r="AC248" i="18"/>
  <c r="AE248" i="18" s="1"/>
  <c r="AM248" i="18" s="1"/>
  <c r="AB248" i="18"/>
  <c r="AA248" i="18"/>
  <c r="Z248" i="18"/>
  <c r="V248" i="18"/>
  <c r="W248" i="18" s="1"/>
  <c r="AX248" i="18" s="1"/>
  <c r="O248" i="18"/>
  <c r="M248" i="18" s="1"/>
  <c r="N248" i="18"/>
  <c r="I248" i="18"/>
  <c r="AC247" i="18"/>
  <c r="AE247" i="18" s="1"/>
  <c r="AM247" i="18" s="1"/>
  <c r="AB247" i="18"/>
  <c r="AA247" i="18"/>
  <c r="Z247" i="18"/>
  <c r="V247" i="18"/>
  <c r="W247" i="18" s="1"/>
  <c r="AX247" i="18" s="1"/>
  <c r="O247" i="18"/>
  <c r="N247" i="18"/>
  <c r="M247" i="18"/>
  <c r="I247" i="18"/>
  <c r="AX246" i="18"/>
  <c r="AV246" i="18"/>
  <c r="AC246" i="18"/>
  <c r="AB246" i="18"/>
  <c r="AA246" i="18"/>
  <c r="Z246" i="18"/>
  <c r="AE246" i="18" s="1"/>
  <c r="AM246" i="18" s="1"/>
  <c r="AN246" i="18" s="1"/>
  <c r="V246" i="18"/>
  <c r="R246" i="18"/>
  <c r="O246" i="18"/>
  <c r="M246" i="18" s="1"/>
  <c r="P246" i="18" s="1"/>
  <c r="N246" i="18"/>
  <c r="I246" i="18"/>
  <c r="AV245" i="18"/>
  <c r="AC245" i="18"/>
  <c r="AB245" i="18"/>
  <c r="AA245" i="18"/>
  <c r="Z245" i="18"/>
  <c r="V245" i="18"/>
  <c r="W245" i="18" s="1"/>
  <c r="AX245" i="18" s="1"/>
  <c r="O245" i="18"/>
  <c r="M245" i="18" s="1"/>
  <c r="N245" i="18"/>
  <c r="I245" i="18"/>
  <c r="AC244" i="18"/>
  <c r="AB244" i="18"/>
  <c r="AA244" i="18"/>
  <c r="Z244" i="18"/>
  <c r="AE244" i="18" s="1"/>
  <c r="AM244" i="18" s="1"/>
  <c r="V244" i="18"/>
  <c r="W244" i="18" s="1"/>
  <c r="AX244" i="18" s="1"/>
  <c r="O244" i="18"/>
  <c r="M244" i="18" s="1"/>
  <c r="N244" i="18"/>
  <c r="I244" i="18"/>
  <c r="AV243" i="18"/>
  <c r="AZ243" i="18" s="1"/>
  <c r="AC243" i="18"/>
  <c r="AB243" i="18"/>
  <c r="AA243" i="18"/>
  <c r="Z243" i="18"/>
  <c r="V243" i="18"/>
  <c r="W243" i="18" s="1"/>
  <c r="AX243" i="18" s="1"/>
  <c r="O243" i="18"/>
  <c r="M243" i="18" s="1"/>
  <c r="N243" i="18"/>
  <c r="I243" i="18"/>
  <c r="AC242" i="18"/>
  <c r="AB242" i="18"/>
  <c r="AA242" i="18"/>
  <c r="Z242" i="18"/>
  <c r="V242" i="18"/>
  <c r="W242" i="18" s="1"/>
  <c r="AX242" i="18" s="1"/>
  <c r="O242" i="18"/>
  <c r="M242" i="18" s="1"/>
  <c r="P242" i="18" s="1"/>
  <c r="N242" i="18"/>
  <c r="I242" i="18"/>
  <c r="BB241" i="18"/>
  <c r="BA241" i="18"/>
  <c r="AZ241" i="18"/>
  <c r="AC241" i="18"/>
  <c r="AB241" i="18"/>
  <c r="AA241" i="18"/>
  <c r="Z241" i="18"/>
  <c r="W241" i="18"/>
  <c r="AX241" i="18" s="1"/>
  <c r="V241" i="18"/>
  <c r="R241" i="18"/>
  <c r="O241" i="18"/>
  <c r="M241" i="18" s="1"/>
  <c r="P241" i="18" s="1"/>
  <c r="N241" i="18"/>
  <c r="I241" i="18"/>
  <c r="AV241" i="18" s="1"/>
  <c r="BB240" i="18"/>
  <c r="AC240" i="18"/>
  <c r="AB240" i="18"/>
  <c r="AA240" i="18"/>
  <c r="Z240" i="18"/>
  <c r="AE240" i="18" s="1"/>
  <c r="AM240" i="18" s="1"/>
  <c r="W240" i="18"/>
  <c r="AX240" i="18" s="1"/>
  <c r="V240" i="18"/>
  <c r="R240" i="18"/>
  <c r="O240" i="18"/>
  <c r="M240" i="18" s="1"/>
  <c r="N240" i="18"/>
  <c r="I240" i="18"/>
  <c r="AV240" i="18" s="1"/>
  <c r="AK239" i="18"/>
  <c r="BB238" i="18"/>
  <c r="AV238" i="18"/>
  <c r="AC238" i="18"/>
  <c r="AB238" i="18"/>
  <c r="AA238" i="18"/>
  <c r="Z238" i="18"/>
  <c r="V238" i="18"/>
  <c r="W238" i="18" s="1"/>
  <c r="AX238" i="18" s="1"/>
  <c r="O238" i="18"/>
  <c r="M238" i="18" s="1"/>
  <c r="N238" i="18"/>
  <c r="I238" i="18"/>
  <c r="AC237" i="18"/>
  <c r="AB237" i="18"/>
  <c r="AA237" i="18"/>
  <c r="Z237" i="18"/>
  <c r="AE237" i="18" s="1"/>
  <c r="AM237" i="18" s="1"/>
  <c r="V237" i="18"/>
  <c r="W237" i="18" s="1"/>
  <c r="AX237" i="18" s="1"/>
  <c r="O237" i="18"/>
  <c r="M237" i="18" s="1"/>
  <c r="P237" i="18" s="1"/>
  <c r="N237" i="18"/>
  <c r="I237" i="18"/>
  <c r="AC236" i="18"/>
  <c r="AB236" i="18"/>
  <c r="AA236" i="18"/>
  <c r="Z236" i="18"/>
  <c r="V236" i="18"/>
  <c r="W236" i="18" s="1"/>
  <c r="AX236" i="18" s="1"/>
  <c r="O236" i="18"/>
  <c r="M236" i="18" s="1"/>
  <c r="N236" i="18"/>
  <c r="I236" i="18"/>
  <c r="AC235" i="18"/>
  <c r="AB235" i="18"/>
  <c r="AA235" i="18"/>
  <c r="Z235" i="18"/>
  <c r="V235" i="18"/>
  <c r="W235" i="18" s="1"/>
  <c r="AX235" i="18" s="1"/>
  <c r="O235" i="18"/>
  <c r="M235" i="18" s="1"/>
  <c r="N235" i="18"/>
  <c r="I235" i="18"/>
  <c r="AC234" i="18"/>
  <c r="AB234" i="18"/>
  <c r="AA234" i="18"/>
  <c r="Z234" i="18"/>
  <c r="V234" i="18"/>
  <c r="W234" i="18" s="1"/>
  <c r="AX234" i="18" s="1"/>
  <c r="O234" i="18"/>
  <c r="M234" i="18" s="1"/>
  <c r="N234" i="18"/>
  <c r="I234" i="18"/>
  <c r="AV233" i="18"/>
  <c r="AC233" i="18"/>
  <c r="AB233" i="18"/>
  <c r="AA233" i="18"/>
  <c r="Z233" i="18"/>
  <c r="V233" i="18"/>
  <c r="W233" i="18" s="1"/>
  <c r="AX233" i="18" s="1"/>
  <c r="R233" i="18"/>
  <c r="O233" i="18"/>
  <c r="M233" i="18" s="1"/>
  <c r="N233" i="18"/>
  <c r="I233" i="18"/>
  <c r="AC232" i="18"/>
  <c r="AB232" i="18"/>
  <c r="AA232" i="18"/>
  <c r="Z232" i="18"/>
  <c r="V232" i="18"/>
  <c r="W232" i="18" s="1"/>
  <c r="AX232" i="18" s="1"/>
  <c r="O232" i="18"/>
  <c r="N232" i="18"/>
  <c r="M232" i="18"/>
  <c r="I232" i="18"/>
  <c r="AC231" i="18"/>
  <c r="AB231" i="18"/>
  <c r="AA231" i="18"/>
  <c r="Z231" i="18"/>
  <c r="V231" i="18"/>
  <c r="W231" i="18" s="1"/>
  <c r="AX231" i="18" s="1"/>
  <c r="O231" i="18"/>
  <c r="M231" i="18" s="1"/>
  <c r="N231" i="18"/>
  <c r="I231" i="18"/>
  <c r="AK230" i="18"/>
  <c r="AV229" i="18"/>
  <c r="AC229" i="18"/>
  <c r="AB229" i="18"/>
  <c r="AA229" i="18"/>
  <c r="Z229" i="18"/>
  <c r="V229" i="18"/>
  <c r="W229" i="18" s="1"/>
  <c r="O229" i="18"/>
  <c r="M229" i="18" s="1"/>
  <c r="N229" i="18"/>
  <c r="I229" i="18"/>
  <c r="AZ228" i="18"/>
  <c r="AV228" i="18"/>
  <c r="AC228" i="18"/>
  <c r="AB228" i="18"/>
  <c r="AA228" i="18"/>
  <c r="Z228" i="18"/>
  <c r="V228" i="18"/>
  <c r="W228" i="18" s="1"/>
  <c r="AX228" i="18" s="1"/>
  <c r="O228" i="18"/>
  <c r="M228" i="18" s="1"/>
  <c r="N228" i="18"/>
  <c r="I228" i="18"/>
  <c r="AK227" i="18"/>
  <c r="BB226" i="18"/>
  <c r="BA226" i="18"/>
  <c r="AZ226" i="18"/>
  <c r="AC226" i="18"/>
  <c r="AB226" i="18"/>
  <c r="AA226" i="18"/>
  <c r="Z226" i="18"/>
  <c r="Y226" i="18"/>
  <c r="V226" i="18"/>
  <c r="W226" i="18" s="1"/>
  <c r="AX226" i="18" s="1"/>
  <c r="R226" i="18"/>
  <c r="O226" i="18"/>
  <c r="M226" i="18" s="1"/>
  <c r="P226" i="18" s="1"/>
  <c r="AW226" i="18" s="1"/>
  <c r="N226" i="18"/>
  <c r="I226" i="18"/>
  <c r="AV226" i="18" s="1"/>
  <c r="BB225" i="18"/>
  <c r="BA225" i="18"/>
  <c r="AC225" i="18"/>
  <c r="AB225" i="18"/>
  <c r="AA225" i="18"/>
  <c r="Z225" i="18"/>
  <c r="V225" i="18"/>
  <c r="W225" i="18" s="1"/>
  <c r="AX225" i="18" s="1"/>
  <c r="R225" i="18"/>
  <c r="O225" i="18"/>
  <c r="M225" i="18" s="1"/>
  <c r="N225" i="18"/>
  <c r="I225" i="18"/>
  <c r="AV225" i="18" s="1"/>
  <c r="AZ225" i="18" s="1"/>
  <c r="BB224" i="18"/>
  <c r="BA224" i="18"/>
  <c r="AC224" i="18"/>
  <c r="AB224" i="18"/>
  <c r="AA224" i="18"/>
  <c r="Z224" i="18"/>
  <c r="V224" i="18"/>
  <c r="W224" i="18" s="1"/>
  <c r="AX224" i="18" s="1"/>
  <c r="R224" i="18"/>
  <c r="O224" i="18"/>
  <c r="M224" i="18" s="1"/>
  <c r="N224" i="18"/>
  <c r="I224" i="18"/>
  <c r="AV224" i="18" s="1"/>
  <c r="AC223" i="18"/>
  <c r="AB223" i="18"/>
  <c r="AA223" i="18"/>
  <c r="Z223" i="18"/>
  <c r="V223" i="18"/>
  <c r="W223" i="18" s="1"/>
  <c r="AX223" i="18" s="1"/>
  <c r="O223" i="18"/>
  <c r="M223" i="18" s="1"/>
  <c r="N223" i="18"/>
  <c r="I223" i="18"/>
  <c r="AV222" i="18"/>
  <c r="AC222" i="18"/>
  <c r="AB222" i="18"/>
  <c r="AA222" i="18"/>
  <c r="Z222" i="18"/>
  <c r="V222" i="18"/>
  <c r="W222" i="18" s="1"/>
  <c r="AX222" i="18" s="1"/>
  <c r="O222" i="18"/>
  <c r="M222" i="18" s="1"/>
  <c r="P222" i="18" s="1"/>
  <c r="S222" i="18" s="1"/>
  <c r="N222" i="18"/>
  <c r="I222" i="18"/>
  <c r="AC221" i="18"/>
  <c r="AB221" i="18"/>
  <c r="AA221" i="18"/>
  <c r="Z221" i="18"/>
  <c r="V221" i="18"/>
  <c r="W221" i="18" s="1"/>
  <c r="AX221" i="18" s="1"/>
  <c r="R221" i="18"/>
  <c r="O221" i="18"/>
  <c r="M221" i="18" s="1"/>
  <c r="N221" i="18"/>
  <c r="I221" i="18"/>
  <c r="AC220" i="18"/>
  <c r="AB220" i="18"/>
  <c r="AA220" i="18"/>
  <c r="Z220" i="18"/>
  <c r="V220" i="18"/>
  <c r="W220" i="18" s="1"/>
  <c r="AX220" i="18" s="1"/>
  <c r="O220" i="18"/>
  <c r="M220" i="18" s="1"/>
  <c r="N220" i="18"/>
  <c r="I220" i="18"/>
  <c r="R220" i="18" s="1"/>
  <c r="AC219" i="18"/>
  <c r="AB219" i="18"/>
  <c r="AA219" i="18"/>
  <c r="Z219" i="18"/>
  <c r="V219" i="18"/>
  <c r="W219" i="18" s="1"/>
  <c r="AX219" i="18" s="1"/>
  <c r="R219" i="18"/>
  <c r="O219" i="18"/>
  <c r="M219" i="18" s="1"/>
  <c r="N219" i="18"/>
  <c r="I219" i="18"/>
  <c r="AK218" i="18"/>
  <c r="BB217" i="18"/>
  <c r="BA217" i="18"/>
  <c r="AC217" i="18"/>
  <c r="AB217" i="18"/>
  <c r="AA217" i="18"/>
  <c r="Z217" i="18"/>
  <c r="V217" i="18"/>
  <c r="W217" i="18" s="1"/>
  <c r="AX217" i="18" s="1"/>
  <c r="R217" i="18"/>
  <c r="O217" i="18"/>
  <c r="M217" i="18" s="1"/>
  <c r="N217" i="18"/>
  <c r="I217" i="18"/>
  <c r="AV217" i="18" s="1"/>
  <c r="AZ217" i="18" s="1"/>
  <c r="BB216" i="18"/>
  <c r="BA216" i="18"/>
  <c r="AC216" i="18"/>
  <c r="AE216" i="18" s="1"/>
  <c r="AM216" i="18" s="1"/>
  <c r="AB216" i="18"/>
  <c r="AA216" i="18"/>
  <c r="Z216" i="18"/>
  <c r="V216" i="18"/>
  <c r="W216" i="18" s="1"/>
  <c r="AX216" i="18" s="1"/>
  <c r="R216" i="18"/>
  <c r="O216" i="18"/>
  <c r="M216" i="18" s="1"/>
  <c r="P216" i="18" s="1"/>
  <c r="AW216" i="18" s="1"/>
  <c r="BC216" i="18" s="1"/>
  <c r="N216" i="18"/>
  <c r="I216" i="18"/>
  <c r="AV216" i="18" s="1"/>
  <c r="AZ216" i="18" s="1"/>
  <c r="AC215" i="18"/>
  <c r="AB215" i="18"/>
  <c r="AA215" i="18"/>
  <c r="Z215" i="18"/>
  <c r="AE215" i="18" s="1"/>
  <c r="AM215" i="18" s="1"/>
  <c r="V215" i="18"/>
  <c r="W215" i="18" s="1"/>
  <c r="AX215" i="18" s="1"/>
  <c r="O215" i="18"/>
  <c r="M215" i="18" s="1"/>
  <c r="P215" i="18" s="1"/>
  <c r="AW215" i="18" s="1"/>
  <c r="N215" i="18"/>
  <c r="I215" i="18"/>
  <c r="AV214" i="18"/>
  <c r="AC214" i="18"/>
  <c r="AB214" i="18"/>
  <c r="AA214" i="18"/>
  <c r="Z214" i="18"/>
  <c r="AE214" i="18" s="1"/>
  <c r="AM214" i="18" s="1"/>
  <c r="V214" i="18"/>
  <c r="W214" i="18" s="1"/>
  <c r="AX214" i="18" s="1"/>
  <c r="O214" i="18"/>
  <c r="M214" i="18" s="1"/>
  <c r="P214" i="18" s="1"/>
  <c r="AW214" i="18" s="1"/>
  <c r="N214" i="18"/>
  <c r="I214" i="18"/>
  <c r="R214" i="18" s="1"/>
  <c r="AC213" i="18"/>
  <c r="AB213" i="18"/>
  <c r="AA213" i="18"/>
  <c r="Z213" i="18"/>
  <c r="V213" i="18"/>
  <c r="W213" i="18" s="1"/>
  <c r="AX213" i="18" s="1"/>
  <c r="O213" i="18"/>
  <c r="M213" i="18" s="1"/>
  <c r="P213" i="18" s="1"/>
  <c r="AW213" i="18" s="1"/>
  <c r="N213" i="18"/>
  <c r="I213" i="18"/>
  <c r="AC212" i="18"/>
  <c r="AB212" i="18"/>
  <c r="AA212" i="18"/>
  <c r="Z212" i="18"/>
  <c r="V212" i="18"/>
  <c r="W212" i="18" s="1"/>
  <c r="AX212" i="18" s="1"/>
  <c r="O212" i="18"/>
  <c r="M212" i="18" s="1"/>
  <c r="N212" i="18"/>
  <c r="I212" i="18"/>
  <c r="AX211" i="18"/>
  <c r="AC211" i="18"/>
  <c r="AE211" i="18" s="1"/>
  <c r="AM211" i="18" s="1"/>
  <c r="AB211" i="18"/>
  <c r="AA211" i="18"/>
  <c r="Z211" i="18"/>
  <c r="V211" i="18"/>
  <c r="W211" i="18" s="1"/>
  <c r="R211" i="18"/>
  <c r="O211" i="18"/>
  <c r="M211" i="18" s="1"/>
  <c r="P211" i="18" s="1"/>
  <c r="AW211" i="18" s="1"/>
  <c r="N211" i="18"/>
  <c r="I211" i="18"/>
  <c r="AC210" i="18"/>
  <c r="AB210" i="18"/>
  <c r="AA210" i="18"/>
  <c r="Z210" i="18"/>
  <c r="V210" i="18"/>
  <c r="W210" i="18" s="1"/>
  <c r="AX210" i="18" s="1"/>
  <c r="O210" i="18"/>
  <c r="M210" i="18" s="1"/>
  <c r="N210" i="18"/>
  <c r="I210" i="18"/>
  <c r="AC209" i="18"/>
  <c r="AB209" i="18"/>
  <c r="AA209" i="18"/>
  <c r="Z209" i="18"/>
  <c r="V209" i="18"/>
  <c r="W209" i="18" s="1"/>
  <c r="AX209" i="18" s="1"/>
  <c r="R209" i="18"/>
  <c r="O209" i="18"/>
  <c r="N209" i="18"/>
  <c r="M209" i="18"/>
  <c r="I209" i="18"/>
  <c r="AV209" i="18" s="1"/>
  <c r="AV208" i="18"/>
  <c r="AC208" i="18"/>
  <c r="AB208" i="18"/>
  <c r="AA208" i="18"/>
  <c r="Z208" i="18"/>
  <c r="AE208" i="18" s="1"/>
  <c r="AM208" i="18" s="1"/>
  <c r="V208" i="18"/>
  <c r="W208" i="18" s="1"/>
  <c r="AX208" i="18" s="1"/>
  <c r="R208" i="18"/>
  <c r="O208" i="18"/>
  <c r="M208" i="18" s="1"/>
  <c r="P208" i="18" s="1"/>
  <c r="N208" i="18"/>
  <c r="I208" i="18"/>
  <c r="AC207" i="18"/>
  <c r="AB207" i="18"/>
  <c r="AA207" i="18"/>
  <c r="Z207" i="18"/>
  <c r="V207" i="18"/>
  <c r="W207" i="18" s="1"/>
  <c r="AX207" i="18" s="1"/>
  <c r="R207" i="18"/>
  <c r="O207" i="18"/>
  <c r="M207" i="18" s="1"/>
  <c r="P207" i="18" s="1"/>
  <c r="AW207" i="18" s="1"/>
  <c r="N207" i="18"/>
  <c r="I207" i="18"/>
  <c r="AV207" i="18" s="1"/>
  <c r="AC206" i="18"/>
  <c r="AB206" i="18"/>
  <c r="AA206" i="18"/>
  <c r="Z206" i="18"/>
  <c r="V206" i="18"/>
  <c r="W206" i="18" s="1"/>
  <c r="AX206" i="18" s="1"/>
  <c r="O206" i="18"/>
  <c r="M206" i="18" s="1"/>
  <c r="N206" i="18"/>
  <c r="I206" i="18"/>
  <c r="AV205" i="18"/>
  <c r="AC205" i="18"/>
  <c r="AB205" i="18"/>
  <c r="AA205" i="18"/>
  <c r="Z205" i="18"/>
  <c r="V205" i="18"/>
  <c r="W205" i="18" s="1"/>
  <c r="AX205" i="18" s="1"/>
  <c r="O205" i="18"/>
  <c r="N205" i="18"/>
  <c r="M205" i="18"/>
  <c r="P205" i="18" s="1"/>
  <c r="AW205" i="18" s="1"/>
  <c r="I205" i="18"/>
  <c r="AV204" i="18"/>
  <c r="AC204" i="18"/>
  <c r="AB204" i="18"/>
  <c r="AA204" i="18"/>
  <c r="Z204" i="18"/>
  <c r="V204" i="18"/>
  <c r="W204" i="18" s="1"/>
  <c r="AX204" i="18" s="1"/>
  <c r="O204" i="18"/>
  <c r="M204" i="18" s="1"/>
  <c r="N204" i="18"/>
  <c r="I204" i="18"/>
  <c r="R204" i="18" s="1"/>
  <c r="BB203" i="18"/>
  <c r="BA203" i="18"/>
  <c r="AV203" i="18"/>
  <c r="AC203" i="18"/>
  <c r="AB203" i="18"/>
  <c r="AA203" i="18"/>
  <c r="Z203" i="18"/>
  <c r="V203" i="18"/>
  <c r="W203" i="18" s="1"/>
  <c r="AX203" i="18" s="1"/>
  <c r="R203" i="18"/>
  <c r="O203" i="18"/>
  <c r="M203" i="18" s="1"/>
  <c r="N203" i="18"/>
  <c r="I203" i="18"/>
  <c r="AC202" i="18"/>
  <c r="AB202" i="18"/>
  <c r="AA202" i="18"/>
  <c r="Z202" i="18"/>
  <c r="V202" i="18"/>
  <c r="W202" i="18" s="1"/>
  <c r="AX202" i="18" s="1"/>
  <c r="O202" i="18"/>
  <c r="M202" i="18" s="1"/>
  <c r="N202" i="18"/>
  <c r="I202" i="18"/>
  <c r="BA201" i="18"/>
  <c r="AZ201" i="18"/>
  <c r="AC201" i="18"/>
  <c r="AB201" i="18"/>
  <c r="AA201" i="18"/>
  <c r="Z201" i="18"/>
  <c r="V201" i="18"/>
  <c r="W201" i="18" s="1"/>
  <c r="AX201" i="18" s="1"/>
  <c r="R201" i="18"/>
  <c r="O201" i="18"/>
  <c r="M201" i="18" s="1"/>
  <c r="P201" i="18" s="1"/>
  <c r="N201" i="18"/>
  <c r="I201" i="18"/>
  <c r="AV201" i="18" s="1"/>
  <c r="BA200" i="18"/>
  <c r="AZ200" i="18"/>
  <c r="AC200" i="18"/>
  <c r="AB200" i="18"/>
  <c r="AA200" i="18"/>
  <c r="Z200" i="18"/>
  <c r="V200" i="18"/>
  <c r="W200" i="18" s="1"/>
  <c r="AX200" i="18" s="1"/>
  <c r="R200" i="18"/>
  <c r="O200" i="18"/>
  <c r="M200" i="18" s="1"/>
  <c r="N200" i="18"/>
  <c r="I200" i="18"/>
  <c r="AV200" i="18" s="1"/>
  <c r="BB199" i="18"/>
  <c r="AZ199" i="18"/>
  <c r="AC199" i="18"/>
  <c r="AB199" i="18"/>
  <c r="AA199" i="18"/>
  <c r="Z199" i="18"/>
  <c r="V199" i="18"/>
  <c r="W199" i="18" s="1"/>
  <c r="AX199" i="18" s="1"/>
  <c r="R199" i="18"/>
  <c r="O199" i="18"/>
  <c r="M199" i="18" s="1"/>
  <c r="N199" i="18"/>
  <c r="I199" i="18"/>
  <c r="AV199" i="18" s="1"/>
  <c r="BA199" i="18" s="1"/>
  <c r="AC198" i="18"/>
  <c r="AB198" i="18"/>
  <c r="AA198" i="18"/>
  <c r="Z198" i="18"/>
  <c r="V198" i="18"/>
  <c r="W198" i="18" s="1"/>
  <c r="AX198" i="18" s="1"/>
  <c r="R198" i="18"/>
  <c r="O198" i="18"/>
  <c r="M198" i="18" s="1"/>
  <c r="N198" i="18"/>
  <c r="I198" i="18"/>
  <c r="AC197" i="18"/>
  <c r="AB197" i="18"/>
  <c r="AA197" i="18"/>
  <c r="Z197" i="18"/>
  <c r="AE197" i="18" s="1"/>
  <c r="AM197" i="18" s="1"/>
  <c r="V197" i="18"/>
  <c r="W197" i="18" s="1"/>
  <c r="AX197" i="18" s="1"/>
  <c r="O197" i="18"/>
  <c r="M197" i="18" s="1"/>
  <c r="N197" i="18"/>
  <c r="I197" i="18"/>
  <c r="AC196" i="18"/>
  <c r="AB196" i="18"/>
  <c r="AA196" i="18"/>
  <c r="Z196" i="18"/>
  <c r="V196" i="18"/>
  <c r="W196" i="18" s="1"/>
  <c r="AX196" i="18" s="1"/>
  <c r="O196" i="18"/>
  <c r="M196" i="18" s="1"/>
  <c r="P196" i="18" s="1"/>
  <c r="N196" i="18"/>
  <c r="I196" i="18"/>
  <c r="AV195" i="18"/>
  <c r="AC195" i="18"/>
  <c r="AB195" i="18"/>
  <c r="AA195" i="18"/>
  <c r="Z195" i="18"/>
  <c r="AE195" i="18" s="1"/>
  <c r="AM195" i="18" s="1"/>
  <c r="V195" i="18"/>
  <c r="W195" i="18" s="1"/>
  <c r="AX195" i="18" s="1"/>
  <c r="O195" i="18"/>
  <c r="M195" i="18" s="1"/>
  <c r="N195" i="18"/>
  <c r="I195" i="18"/>
  <c r="AV194" i="18"/>
  <c r="AC194" i="18"/>
  <c r="AB194" i="18"/>
  <c r="AA194" i="18"/>
  <c r="Z194" i="18"/>
  <c r="V194" i="18"/>
  <c r="W194" i="18" s="1"/>
  <c r="AX194" i="18" s="1"/>
  <c r="O194" i="18"/>
  <c r="M194" i="18" s="1"/>
  <c r="N194" i="18"/>
  <c r="I194" i="18"/>
  <c r="BA193" i="18"/>
  <c r="AZ193" i="18"/>
  <c r="AC193" i="18"/>
  <c r="AB193" i="18"/>
  <c r="AA193" i="18"/>
  <c r="Z193" i="18"/>
  <c r="V193" i="18"/>
  <c r="W193" i="18" s="1"/>
  <c r="AX193" i="18" s="1"/>
  <c r="O193" i="18"/>
  <c r="M193" i="18" s="1"/>
  <c r="N193" i="18"/>
  <c r="P193" i="18" s="1"/>
  <c r="I193" i="18"/>
  <c r="AV193" i="18" s="1"/>
  <c r="AX192" i="18"/>
  <c r="AC192" i="18"/>
  <c r="AB192" i="18"/>
  <c r="AA192" i="18"/>
  <c r="Z192" i="18"/>
  <c r="V192" i="18"/>
  <c r="W192" i="18" s="1"/>
  <c r="R192" i="18"/>
  <c r="O192" i="18"/>
  <c r="M192" i="18" s="1"/>
  <c r="N192" i="18"/>
  <c r="I192" i="18"/>
  <c r="AV192" i="18" s="1"/>
  <c r="BB191" i="18"/>
  <c r="AC191" i="18"/>
  <c r="AB191" i="18"/>
  <c r="AA191" i="18"/>
  <c r="Z191" i="18"/>
  <c r="V191" i="18"/>
  <c r="W191" i="18" s="1"/>
  <c r="AX191" i="18" s="1"/>
  <c r="R191" i="18"/>
  <c r="O191" i="18"/>
  <c r="M191" i="18" s="1"/>
  <c r="P191" i="18" s="1"/>
  <c r="N191" i="18"/>
  <c r="I191" i="18"/>
  <c r="AV191" i="18" s="1"/>
  <c r="AZ191" i="18" s="1"/>
  <c r="AK190" i="18"/>
  <c r="AC189" i="18"/>
  <c r="AB189" i="18"/>
  <c r="AA189" i="18"/>
  <c r="Z189" i="18"/>
  <c r="V189" i="18"/>
  <c r="W189" i="18" s="1"/>
  <c r="AX189" i="18" s="1"/>
  <c r="O189" i="18"/>
  <c r="M189" i="18" s="1"/>
  <c r="P189" i="18" s="1"/>
  <c r="AW189" i="18" s="1"/>
  <c r="N189" i="18"/>
  <c r="I189" i="18"/>
  <c r="AV188" i="18"/>
  <c r="AC188" i="18"/>
  <c r="AB188" i="18"/>
  <c r="AA188" i="18"/>
  <c r="Z188" i="18"/>
  <c r="V188" i="18"/>
  <c r="W188" i="18" s="1"/>
  <c r="AX188" i="18" s="1"/>
  <c r="O188" i="18"/>
  <c r="N188" i="18"/>
  <c r="M188" i="18"/>
  <c r="P188" i="18" s="1"/>
  <c r="AW188" i="18" s="1"/>
  <c r="I188" i="18"/>
  <c r="AC187" i="18"/>
  <c r="AB187" i="18"/>
  <c r="AA187" i="18"/>
  <c r="Z187" i="18"/>
  <c r="V187" i="18"/>
  <c r="W187" i="18" s="1"/>
  <c r="AX187" i="18" s="1"/>
  <c r="O187" i="18"/>
  <c r="M187" i="18" s="1"/>
  <c r="N187" i="18"/>
  <c r="I187" i="18"/>
  <c r="AC186" i="18"/>
  <c r="AB186" i="18"/>
  <c r="AA186" i="18"/>
  <c r="Z186" i="18"/>
  <c r="V186" i="18"/>
  <c r="W186" i="18" s="1"/>
  <c r="AX186" i="18" s="1"/>
  <c r="O186" i="18"/>
  <c r="M186" i="18" s="1"/>
  <c r="N186" i="18"/>
  <c r="I186" i="18"/>
  <c r="BA185" i="18"/>
  <c r="AC185" i="18"/>
  <c r="AB185" i="18"/>
  <c r="AA185" i="18"/>
  <c r="Z185" i="18"/>
  <c r="V185" i="18"/>
  <c r="W185" i="18" s="1"/>
  <c r="AX185" i="18" s="1"/>
  <c r="O185" i="18"/>
  <c r="M185" i="18" s="1"/>
  <c r="P185" i="18" s="1"/>
  <c r="AW185" i="18" s="1"/>
  <c r="N185" i="18"/>
  <c r="I185" i="18"/>
  <c r="AV185" i="18" s="1"/>
  <c r="BB184" i="18"/>
  <c r="BA184" i="18"/>
  <c r="AZ184" i="18"/>
  <c r="AC184" i="18"/>
  <c r="AB184" i="18"/>
  <c r="AA184" i="18"/>
  <c r="Z184" i="18"/>
  <c r="V184" i="18"/>
  <c r="W184" i="18" s="1"/>
  <c r="AX184" i="18" s="1"/>
  <c r="R184" i="18"/>
  <c r="O184" i="18"/>
  <c r="M184" i="18" s="1"/>
  <c r="P184" i="18" s="1"/>
  <c r="N184" i="18"/>
  <c r="I184" i="18"/>
  <c r="AV184" i="18" s="1"/>
  <c r="BB183" i="18"/>
  <c r="AZ183" i="18"/>
  <c r="AC183" i="18"/>
  <c r="AB183" i="18"/>
  <c r="AA183" i="18"/>
  <c r="Z183" i="18"/>
  <c r="V183" i="18"/>
  <c r="W183" i="18" s="1"/>
  <c r="AX183" i="18" s="1"/>
  <c r="R183" i="18"/>
  <c r="O183" i="18"/>
  <c r="M183" i="18" s="1"/>
  <c r="P183" i="18" s="1"/>
  <c r="N183" i="18"/>
  <c r="I183" i="18"/>
  <c r="AV183" i="18" s="1"/>
  <c r="BA183" i="18" s="1"/>
  <c r="AC182" i="18"/>
  <c r="AB182" i="18"/>
  <c r="AA182" i="18"/>
  <c r="Z182" i="18"/>
  <c r="V182" i="18"/>
  <c r="W182" i="18" s="1"/>
  <c r="AX182" i="18" s="1"/>
  <c r="R182" i="18"/>
  <c r="O182" i="18"/>
  <c r="M182" i="18" s="1"/>
  <c r="P182" i="18" s="1"/>
  <c r="N182" i="18"/>
  <c r="I182" i="18"/>
  <c r="AC181" i="18"/>
  <c r="AB181" i="18"/>
  <c r="AA181" i="18"/>
  <c r="Z181" i="18"/>
  <c r="AE181" i="18" s="1"/>
  <c r="AM181" i="18" s="1"/>
  <c r="V181" i="18"/>
  <c r="W181" i="18" s="1"/>
  <c r="AX181" i="18" s="1"/>
  <c r="O181" i="18"/>
  <c r="M181" i="18" s="1"/>
  <c r="P181" i="18" s="1"/>
  <c r="AW181" i="18" s="1"/>
  <c r="N181" i="18"/>
  <c r="I181" i="18"/>
  <c r="AC180" i="18"/>
  <c r="AB180" i="18"/>
  <c r="AA180" i="18"/>
  <c r="Z180" i="18"/>
  <c r="V180" i="18"/>
  <c r="W180" i="18" s="1"/>
  <c r="AX180" i="18" s="1"/>
  <c r="O180" i="18"/>
  <c r="M180" i="18" s="1"/>
  <c r="N180" i="18"/>
  <c r="I180" i="18"/>
  <c r="AV179" i="18"/>
  <c r="AC179" i="18"/>
  <c r="AB179" i="18"/>
  <c r="AA179" i="18"/>
  <c r="Z179" i="18"/>
  <c r="AE179" i="18" s="1"/>
  <c r="AM179" i="18" s="1"/>
  <c r="V179" i="18"/>
  <c r="W179" i="18" s="1"/>
  <c r="AX179" i="18" s="1"/>
  <c r="O179" i="18"/>
  <c r="M179" i="18" s="1"/>
  <c r="N179" i="18"/>
  <c r="I179" i="18"/>
  <c r="AV178" i="18"/>
  <c r="AC178" i="18"/>
  <c r="AB178" i="18"/>
  <c r="AA178" i="18"/>
  <c r="Z178" i="18"/>
  <c r="V178" i="18"/>
  <c r="W178" i="18" s="1"/>
  <c r="AX178" i="18" s="1"/>
  <c r="O178" i="18"/>
  <c r="N178" i="18"/>
  <c r="M178" i="18"/>
  <c r="I178" i="18"/>
  <c r="BA177" i="18"/>
  <c r="AZ177" i="18"/>
  <c r="AC177" i="18"/>
  <c r="AB177" i="18"/>
  <c r="AA177" i="18"/>
  <c r="Z177" i="18"/>
  <c r="V177" i="18"/>
  <c r="W177" i="18" s="1"/>
  <c r="AX177" i="18" s="1"/>
  <c r="R177" i="18"/>
  <c r="O177" i="18"/>
  <c r="M177" i="18" s="1"/>
  <c r="N177" i="18"/>
  <c r="I177" i="18"/>
  <c r="AV177" i="18" s="1"/>
  <c r="BA176" i="18"/>
  <c r="AZ176" i="18"/>
  <c r="AC176" i="18"/>
  <c r="AB176" i="18"/>
  <c r="AA176" i="18"/>
  <c r="Z176" i="18"/>
  <c r="AE176" i="18" s="1"/>
  <c r="AM176" i="18" s="1"/>
  <c r="W176" i="18"/>
  <c r="AX176" i="18" s="1"/>
  <c r="V176" i="18"/>
  <c r="R176" i="18"/>
  <c r="O176" i="18"/>
  <c r="M176" i="18" s="1"/>
  <c r="P176" i="18" s="1"/>
  <c r="N176" i="18"/>
  <c r="I176" i="18"/>
  <c r="AV176" i="18" s="1"/>
  <c r="BB175" i="18"/>
  <c r="AC175" i="18"/>
  <c r="AB175" i="18"/>
  <c r="AA175" i="18"/>
  <c r="Z175" i="18"/>
  <c r="V175" i="18"/>
  <c r="W175" i="18" s="1"/>
  <c r="AX175" i="18" s="1"/>
  <c r="R175" i="18"/>
  <c r="O175" i="18"/>
  <c r="M175" i="18" s="1"/>
  <c r="N175" i="18"/>
  <c r="I175" i="18"/>
  <c r="AV175" i="18" s="1"/>
  <c r="BA175" i="18" s="1"/>
  <c r="AC174" i="18"/>
  <c r="AB174" i="18"/>
  <c r="AA174" i="18"/>
  <c r="Z174" i="18"/>
  <c r="V174" i="18"/>
  <c r="W174" i="18" s="1"/>
  <c r="AX174" i="18" s="1"/>
  <c r="R174" i="18"/>
  <c r="O174" i="18"/>
  <c r="M174" i="18" s="1"/>
  <c r="N174" i="18"/>
  <c r="I174" i="18"/>
  <c r="AC173" i="18"/>
  <c r="AB173" i="18"/>
  <c r="AA173" i="18"/>
  <c r="Z173" i="18"/>
  <c r="V173" i="18"/>
  <c r="W173" i="18" s="1"/>
  <c r="AX173" i="18" s="1"/>
  <c r="O173" i="18"/>
  <c r="M173" i="18" s="1"/>
  <c r="N173" i="18"/>
  <c r="I173" i="18"/>
  <c r="AC172" i="18"/>
  <c r="AB172" i="18"/>
  <c r="AA172" i="18"/>
  <c r="Z172" i="18"/>
  <c r="V172" i="18"/>
  <c r="W172" i="18" s="1"/>
  <c r="O172" i="18"/>
  <c r="N172" i="18"/>
  <c r="M172" i="18"/>
  <c r="I172" i="18"/>
  <c r="AV171" i="18"/>
  <c r="AC171" i="18"/>
  <c r="AB171" i="18"/>
  <c r="AA171" i="18"/>
  <c r="Z171" i="18"/>
  <c r="V171" i="18"/>
  <c r="W171" i="18" s="1"/>
  <c r="AX171" i="18" s="1"/>
  <c r="O171" i="18"/>
  <c r="M171" i="18" s="1"/>
  <c r="P171" i="18" s="1"/>
  <c r="AW171" i="18" s="1"/>
  <c r="N171" i="18"/>
  <c r="I171" i="18"/>
  <c r="R171" i="18" s="1"/>
  <c r="AZ170" i="18"/>
  <c r="AV170" i="18"/>
  <c r="AC170" i="18"/>
  <c r="AB170" i="18"/>
  <c r="AA170" i="18"/>
  <c r="Z170" i="18"/>
  <c r="W170" i="18"/>
  <c r="AX170" i="18" s="1"/>
  <c r="V170" i="18"/>
  <c r="O170" i="18"/>
  <c r="M170" i="18" s="1"/>
  <c r="P170" i="18" s="1"/>
  <c r="AW170" i="18" s="1"/>
  <c r="N170" i="18"/>
  <c r="I170" i="18"/>
  <c r="AC169" i="18"/>
  <c r="AB169" i="18"/>
  <c r="AA169" i="18"/>
  <c r="Z169" i="18"/>
  <c r="V169" i="18"/>
  <c r="W169" i="18" s="1"/>
  <c r="AX169" i="18" s="1"/>
  <c r="O169" i="18"/>
  <c r="N169" i="18"/>
  <c r="M169" i="18"/>
  <c r="P169" i="18" s="1"/>
  <c r="AW169" i="18" s="1"/>
  <c r="I169" i="18"/>
  <c r="AC168" i="18"/>
  <c r="AB168" i="18"/>
  <c r="AA168" i="18"/>
  <c r="Z168" i="18"/>
  <c r="W168" i="18"/>
  <c r="AX168" i="18" s="1"/>
  <c r="V168" i="18"/>
  <c r="R168" i="18"/>
  <c r="O168" i="18"/>
  <c r="M168" i="18" s="1"/>
  <c r="N168" i="18"/>
  <c r="I168" i="18"/>
  <c r="AV168" i="18" s="1"/>
  <c r="BA167" i="18"/>
  <c r="AZ167" i="18"/>
  <c r="AC167" i="18"/>
  <c r="AB167" i="18"/>
  <c r="AA167" i="18"/>
  <c r="Z167" i="18"/>
  <c r="V167" i="18"/>
  <c r="W167" i="18" s="1"/>
  <c r="AX167" i="18" s="1"/>
  <c r="R167" i="18"/>
  <c r="O167" i="18"/>
  <c r="M167" i="18" s="1"/>
  <c r="N167" i="18"/>
  <c r="I167" i="18"/>
  <c r="AV167" i="18" s="1"/>
  <c r="BB166" i="18"/>
  <c r="BA166" i="18"/>
  <c r="AZ166" i="18"/>
  <c r="AV166" i="18"/>
  <c r="AC166" i="18"/>
  <c r="AB166" i="18"/>
  <c r="AA166" i="18"/>
  <c r="Z166" i="18"/>
  <c r="V166" i="18"/>
  <c r="W166" i="18" s="1"/>
  <c r="AX166" i="18" s="1"/>
  <c r="R166" i="18"/>
  <c r="O166" i="18"/>
  <c r="M166" i="18" s="1"/>
  <c r="N166" i="18"/>
  <c r="I166" i="18"/>
  <c r="AC165" i="18"/>
  <c r="AB165" i="18"/>
  <c r="AA165" i="18"/>
  <c r="Z165" i="18"/>
  <c r="V165" i="18"/>
  <c r="W165" i="18" s="1"/>
  <c r="AX165" i="18" s="1"/>
  <c r="O165" i="18"/>
  <c r="N165" i="18"/>
  <c r="M165" i="18"/>
  <c r="I165" i="18"/>
  <c r="AC164" i="18"/>
  <c r="AB164" i="18"/>
  <c r="AA164" i="18"/>
  <c r="Z164" i="18"/>
  <c r="V164" i="18"/>
  <c r="W164" i="18" s="1"/>
  <c r="AX164" i="18" s="1"/>
  <c r="O164" i="18"/>
  <c r="M164" i="18" s="1"/>
  <c r="P164" i="18" s="1"/>
  <c r="AW164" i="18" s="1"/>
  <c r="N164" i="18"/>
  <c r="I164" i="18"/>
  <c r="AV163" i="18"/>
  <c r="AC163" i="18"/>
  <c r="AB163" i="18"/>
  <c r="AA163" i="18"/>
  <c r="Z163" i="18"/>
  <c r="AE163" i="18" s="1"/>
  <c r="AM163" i="18" s="1"/>
  <c r="V163" i="18"/>
  <c r="W163" i="18" s="1"/>
  <c r="AX163" i="18" s="1"/>
  <c r="O163" i="18"/>
  <c r="M163" i="18" s="1"/>
  <c r="N163" i="18"/>
  <c r="I163" i="18"/>
  <c r="R163" i="18" s="1"/>
  <c r="AC162" i="18"/>
  <c r="AB162" i="18"/>
  <c r="AA162" i="18"/>
  <c r="Z162" i="18"/>
  <c r="W162" i="18"/>
  <c r="AX162" i="18" s="1"/>
  <c r="V162" i="18"/>
  <c r="O162" i="18"/>
  <c r="M162" i="18" s="1"/>
  <c r="N162" i="18"/>
  <c r="I162" i="18"/>
  <c r="AC161" i="18"/>
  <c r="AB161" i="18"/>
  <c r="AA161" i="18"/>
  <c r="Z161" i="18"/>
  <c r="V161" i="18"/>
  <c r="W161" i="18" s="1"/>
  <c r="AX161" i="18" s="1"/>
  <c r="O161" i="18"/>
  <c r="M161" i="18" s="1"/>
  <c r="P161" i="18" s="1"/>
  <c r="N161" i="18"/>
  <c r="I161" i="18"/>
  <c r="BB160" i="18"/>
  <c r="AC160" i="18"/>
  <c r="AB160" i="18"/>
  <c r="AA160" i="18"/>
  <c r="Z160" i="18"/>
  <c r="V160" i="18"/>
  <c r="W160" i="18" s="1"/>
  <c r="AX160" i="18" s="1"/>
  <c r="R160" i="18"/>
  <c r="O160" i="18"/>
  <c r="M160" i="18" s="1"/>
  <c r="N160" i="18"/>
  <c r="I160" i="18"/>
  <c r="AV160" i="18" s="1"/>
  <c r="BA160" i="18" s="1"/>
  <c r="AC159" i="18"/>
  <c r="AB159" i="18"/>
  <c r="AA159" i="18"/>
  <c r="Z159" i="18"/>
  <c r="V159" i="18"/>
  <c r="W159" i="18" s="1"/>
  <c r="AX159" i="18" s="1"/>
  <c r="R159" i="18"/>
  <c r="O159" i="18"/>
  <c r="M159" i="18" s="1"/>
  <c r="N159" i="18"/>
  <c r="I159" i="18"/>
  <c r="AV159" i="18" s="1"/>
  <c r="AC158" i="18"/>
  <c r="AB158" i="18"/>
  <c r="AA158" i="18"/>
  <c r="Z158" i="18"/>
  <c r="V158" i="18"/>
  <c r="W158" i="18" s="1"/>
  <c r="AX158" i="18" s="1"/>
  <c r="O158" i="18"/>
  <c r="M158" i="18" s="1"/>
  <c r="N158" i="18"/>
  <c r="I158" i="18"/>
  <c r="AV157" i="18"/>
  <c r="AC157" i="18"/>
  <c r="AB157" i="18"/>
  <c r="AA157" i="18"/>
  <c r="Z157" i="18"/>
  <c r="V157" i="18"/>
  <c r="W157" i="18" s="1"/>
  <c r="AX157" i="18" s="1"/>
  <c r="O157" i="18"/>
  <c r="M157" i="18" s="1"/>
  <c r="P157" i="18" s="1"/>
  <c r="AW157" i="18" s="1"/>
  <c r="N157" i="18"/>
  <c r="I157" i="18"/>
  <c r="AV156" i="18"/>
  <c r="AC156" i="18"/>
  <c r="AB156" i="18"/>
  <c r="AA156" i="18"/>
  <c r="Z156" i="18"/>
  <c r="AE156" i="18" s="1"/>
  <c r="AM156" i="18" s="1"/>
  <c r="V156" i="18"/>
  <c r="W156" i="18" s="1"/>
  <c r="O156" i="18"/>
  <c r="M156" i="18" s="1"/>
  <c r="N156" i="18"/>
  <c r="I156" i="18"/>
  <c r="AG147" i="18"/>
  <c r="AF147" i="18"/>
  <c r="O147" i="18"/>
  <c r="N147" i="18"/>
  <c r="K147" i="18"/>
  <c r="J147" i="18"/>
  <c r="I147" i="18"/>
  <c r="T146" i="18"/>
  <c r="T145" i="18"/>
  <c r="AK144" i="18"/>
  <c r="AC144" i="18"/>
  <c r="AB144" i="18"/>
  <c r="AA144" i="18"/>
  <c r="Z144" i="18"/>
  <c r="V144" i="18"/>
  <c r="V147" i="18" s="1"/>
  <c r="P144" i="18"/>
  <c r="AW144" i="18" s="1"/>
  <c r="M144" i="18"/>
  <c r="I144" i="18"/>
  <c r="AG138" i="18"/>
  <c r="K138" i="18"/>
  <c r="J138" i="18"/>
  <c r="AM137" i="18"/>
  <c r="AC137" i="18"/>
  <c r="AB137" i="18"/>
  <c r="AA137" i="18"/>
  <c r="Z137" i="18"/>
  <c r="V137" i="18"/>
  <c r="W137" i="18" s="1"/>
  <c r="O137" i="18"/>
  <c r="M137" i="18" s="1"/>
  <c r="P137" i="18" s="1"/>
  <c r="AW137" i="18" s="1"/>
  <c r="N137" i="18"/>
  <c r="I137" i="18"/>
  <c r="AV136" i="18"/>
  <c r="AM136" i="18"/>
  <c r="AM138" i="18" s="1"/>
  <c r="AC136" i="18"/>
  <c r="AB136" i="18"/>
  <c r="AA136" i="18"/>
  <c r="Z136" i="18"/>
  <c r="V136" i="18"/>
  <c r="W136" i="18" s="1"/>
  <c r="R136" i="18"/>
  <c r="O136" i="18"/>
  <c r="M136" i="18" s="1"/>
  <c r="P136" i="18" s="1"/>
  <c r="N136" i="18"/>
  <c r="I136" i="18"/>
  <c r="AV135" i="18"/>
  <c r="AM135" i="18"/>
  <c r="AC135" i="18"/>
  <c r="AB135" i="18"/>
  <c r="AB138" i="18" s="1"/>
  <c r="AA135" i="18"/>
  <c r="Z135" i="18"/>
  <c r="V135" i="18"/>
  <c r="W135" i="18" s="1"/>
  <c r="R135" i="18"/>
  <c r="O135" i="18"/>
  <c r="N135" i="18"/>
  <c r="N138" i="18" s="1"/>
  <c r="I135" i="18"/>
  <c r="I138" i="18" s="1"/>
  <c r="AL128" i="18"/>
  <c r="AK128" i="18"/>
  <c r="AJ128" i="18"/>
  <c r="AI128" i="18"/>
  <c r="AH128" i="18"/>
  <c r="AG128" i="18"/>
  <c r="AF128" i="18"/>
  <c r="AD128" i="18"/>
  <c r="X128" i="18"/>
  <c r="T128" i="18"/>
  <c r="BB127" i="18"/>
  <c r="BA127" i="18"/>
  <c r="AZ127" i="18"/>
  <c r="AV127" i="18"/>
  <c r="AC127" i="18"/>
  <c r="AB127" i="18"/>
  <c r="AA127" i="18"/>
  <c r="Z127" i="18"/>
  <c r="V127" i="18"/>
  <c r="W127" i="18" s="1"/>
  <c r="AX127" i="18" s="1"/>
  <c r="O127" i="18"/>
  <c r="M127" i="18" s="1"/>
  <c r="N127" i="18"/>
  <c r="L127" i="18"/>
  <c r="R127" i="18" s="1"/>
  <c r="I127" i="18"/>
  <c r="S127" i="18" s="1"/>
  <c r="AC126" i="18"/>
  <c r="AB126" i="18"/>
  <c r="AA126" i="18"/>
  <c r="Z126" i="18"/>
  <c r="V126" i="18"/>
  <c r="W126" i="18" s="1"/>
  <c r="AX126" i="18" s="1"/>
  <c r="O126" i="18"/>
  <c r="M126" i="18" s="1"/>
  <c r="N126" i="18"/>
  <c r="L126" i="18"/>
  <c r="I126" i="18"/>
  <c r="AC125" i="18"/>
  <c r="AB125" i="18"/>
  <c r="AA125" i="18"/>
  <c r="Z125" i="18"/>
  <c r="V125" i="18"/>
  <c r="W125" i="18" s="1"/>
  <c r="AX125" i="18" s="1"/>
  <c r="O125" i="18"/>
  <c r="N125" i="18"/>
  <c r="L125" i="18"/>
  <c r="I125" i="18"/>
  <c r="AC124" i="18"/>
  <c r="AB124" i="18"/>
  <c r="AA124" i="18"/>
  <c r="Z124" i="18"/>
  <c r="V124" i="18"/>
  <c r="W124" i="18" s="1"/>
  <c r="AX124" i="18" s="1"/>
  <c r="O124" i="18"/>
  <c r="N124" i="18"/>
  <c r="L124" i="18"/>
  <c r="S124" i="18" s="1"/>
  <c r="I124" i="18"/>
  <c r="AC123" i="18"/>
  <c r="AE123" i="18" s="1"/>
  <c r="AM123" i="18" s="1"/>
  <c r="AB123" i="18"/>
  <c r="AA123" i="18"/>
  <c r="Z123" i="18"/>
  <c r="V123" i="18"/>
  <c r="W123" i="18" s="1"/>
  <c r="AX123" i="18" s="1"/>
  <c r="O123" i="18"/>
  <c r="N123" i="18"/>
  <c r="L123" i="18"/>
  <c r="I123" i="18"/>
  <c r="AC122" i="18"/>
  <c r="AB122" i="18"/>
  <c r="AA122" i="18"/>
  <c r="Z122" i="18"/>
  <c r="V122" i="18"/>
  <c r="W122" i="18" s="1"/>
  <c r="AX122" i="18" s="1"/>
  <c r="R122" i="18"/>
  <c r="O122" i="18"/>
  <c r="N122" i="18"/>
  <c r="L122" i="18"/>
  <c r="I122" i="18"/>
  <c r="AV121" i="18"/>
  <c r="AC121" i="18"/>
  <c r="AB121" i="18"/>
  <c r="AA121" i="18"/>
  <c r="Z121" i="18"/>
  <c r="V121" i="18"/>
  <c r="W121" i="18" s="1"/>
  <c r="AX121" i="18" s="1"/>
  <c r="S121" i="18"/>
  <c r="R121" i="18"/>
  <c r="O121" i="18"/>
  <c r="M121" i="18" s="1"/>
  <c r="P121" i="18" s="1"/>
  <c r="AW121" i="18" s="1"/>
  <c r="N121" i="18"/>
  <c r="L121" i="18"/>
  <c r="I121" i="18"/>
  <c r="BB120" i="18"/>
  <c r="AV120" i="18"/>
  <c r="AC120" i="18"/>
  <c r="AB120" i="18"/>
  <c r="AA120" i="18"/>
  <c r="Z120" i="18"/>
  <c r="V120" i="18"/>
  <c r="W120" i="18" s="1"/>
  <c r="AX120" i="18" s="1"/>
  <c r="S120" i="18"/>
  <c r="R120" i="18"/>
  <c r="O120" i="18"/>
  <c r="M120" i="18" s="1"/>
  <c r="P120" i="18" s="1"/>
  <c r="N120" i="18"/>
  <c r="I120" i="18"/>
  <c r="AC119" i="18"/>
  <c r="AB119" i="18"/>
  <c r="AA119" i="18"/>
  <c r="Z119" i="18"/>
  <c r="AE119" i="18" s="1"/>
  <c r="AM119" i="18" s="1"/>
  <c r="V119" i="18"/>
  <c r="W119" i="18" s="1"/>
  <c r="AX119" i="18" s="1"/>
  <c r="O119" i="18"/>
  <c r="N119" i="18"/>
  <c r="L119" i="18"/>
  <c r="I119" i="18"/>
  <c r="S119" i="18" s="1"/>
  <c r="AC118" i="18"/>
  <c r="AB118" i="18"/>
  <c r="AA118" i="18"/>
  <c r="Z118" i="18"/>
  <c r="V118" i="18"/>
  <c r="W118" i="18" s="1"/>
  <c r="AX118" i="18" s="1"/>
  <c r="O118" i="18"/>
  <c r="N118" i="18"/>
  <c r="L118" i="18"/>
  <c r="I118" i="18"/>
  <c r="AC117" i="18"/>
  <c r="AB117" i="18"/>
  <c r="AA117" i="18"/>
  <c r="Z117" i="18"/>
  <c r="W117" i="18"/>
  <c r="AX117" i="18" s="1"/>
  <c r="V117" i="18"/>
  <c r="O117" i="18"/>
  <c r="N117" i="18"/>
  <c r="L117" i="18"/>
  <c r="M117" i="18" s="1"/>
  <c r="I117" i="18"/>
  <c r="AC116" i="18"/>
  <c r="AB116" i="18"/>
  <c r="AA116" i="18"/>
  <c r="Z116" i="18"/>
  <c r="V116" i="18"/>
  <c r="W116" i="18" s="1"/>
  <c r="AX116" i="18" s="1"/>
  <c r="S116" i="18"/>
  <c r="R116" i="18"/>
  <c r="O116" i="18"/>
  <c r="M116" i="18" s="1"/>
  <c r="N116" i="18"/>
  <c r="I116" i="18"/>
  <c r="AV115" i="18"/>
  <c r="AC115" i="18"/>
  <c r="AB115" i="18"/>
  <c r="AA115" i="18"/>
  <c r="Z115" i="18"/>
  <c r="V115" i="18"/>
  <c r="W115" i="18" s="1"/>
  <c r="AX115" i="18" s="1"/>
  <c r="S115" i="18"/>
  <c r="R115" i="18"/>
  <c r="O115" i="18"/>
  <c r="M115" i="18" s="1"/>
  <c r="P115" i="18" s="1"/>
  <c r="AW115" i="18" s="1"/>
  <c r="N115" i="18"/>
  <c r="L115" i="18"/>
  <c r="I115" i="18"/>
  <c r="AV114" i="18"/>
  <c r="AC114" i="18"/>
  <c r="AB114" i="18"/>
  <c r="AA114" i="18"/>
  <c r="Z114" i="18"/>
  <c r="V114" i="18"/>
  <c r="W114" i="18" s="1"/>
  <c r="AX114" i="18" s="1"/>
  <c r="S114" i="18"/>
  <c r="R114" i="18"/>
  <c r="O114" i="18"/>
  <c r="M114" i="18" s="1"/>
  <c r="N114" i="18"/>
  <c r="L114" i="18"/>
  <c r="I114" i="18"/>
  <c r="AC113" i="18"/>
  <c r="AB113" i="18"/>
  <c r="AA113" i="18"/>
  <c r="Z113" i="18"/>
  <c r="V113" i="18"/>
  <c r="W113" i="18" s="1"/>
  <c r="AX113" i="18" s="1"/>
  <c r="O113" i="18"/>
  <c r="M113" i="18" s="1"/>
  <c r="N113" i="18"/>
  <c r="I113" i="18"/>
  <c r="S113" i="18" s="1"/>
  <c r="AC112" i="18"/>
  <c r="AB112" i="18"/>
  <c r="AA112" i="18"/>
  <c r="Z112" i="18"/>
  <c r="AE112" i="18" s="1"/>
  <c r="AM112" i="18" s="1"/>
  <c r="V112" i="18"/>
  <c r="W112" i="18" s="1"/>
  <c r="AX112" i="18" s="1"/>
  <c r="O112" i="18"/>
  <c r="N112" i="18"/>
  <c r="L112" i="18"/>
  <c r="I112" i="18"/>
  <c r="AC111" i="18"/>
  <c r="AB111" i="18"/>
  <c r="AA111" i="18"/>
  <c r="Z111" i="18"/>
  <c r="AE111" i="18" s="1"/>
  <c r="AM111" i="18" s="1"/>
  <c r="V111" i="18"/>
  <c r="W111" i="18" s="1"/>
  <c r="AX111" i="18" s="1"/>
  <c r="O111" i="18"/>
  <c r="M111" i="18" s="1"/>
  <c r="P111" i="18" s="1"/>
  <c r="AW111" i="18" s="1"/>
  <c r="N111" i="18"/>
  <c r="L111" i="18"/>
  <c r="I111" i="18"/>
  <c r="AV110" i="18"/>
  <c r="AC110" i="18"/>
  <c r="AB110" i="18"/>
  <c r="AA110" i="18"/>
  <c r="Z110" i="18"/>
  <c r="V110" i="18"/>
  <c r="W110" i="18" s="1"/>
  <c r="AX110" i="18" s="1"/>
  <c r="R110" i="18"/>
  <c r="O110" i="18"/>
  <c r="N110" i="18"/>
  <c r="M110" i="18"/>
  <c r="P110" i="18" s="1"/>
  <c r="L110" i="18"/>
  <c r="S110" i="18" s="1"/>
  <c r="I110" i="18"/>
  <c r="AZ109" i="18"/>
  <c r="AV109" i="18"/>
  <c r="AC109" i="18"/>
  <c r="AB109" i="18"/>
  <c r="AA109" i="18"/>
  <c r="Z109" i="18"/>
  <c r="V109" i="18"/>
  <c r="W109" i="18" s="1"/>
  <c r="AX109" i="18" s="1"/>
  <c r="S109" i="18"/>
  <c r="R109" i="18"/>
  <c r="O109" i="18"/>
  <c r="N109" i="18"/>
  <c r="L109" i="18"/>
  <c r="I109" i="18"/>
  <c r="AX108" i="18"/>
  <c r="AC108" i="18"/>
  <c r="AB108" i="18"/>
  <c r="AA108" i="18"/>
  <c r="Z108" i="18"/>
  <c r="V108" i="18"/>
  <c r="W108" i="18" s="1"/>
  <c r="S108" i="18"/>
  <c r="R108" i="18"/>
  <c r="O108" i="18"/>
  <c r="M108" i="18" s="1"/>
  <c r="N108" i="18"/>
  <c r="L108" i="18"/>
  <c r="I108" i="18"/>
  <c r="BB107" i="18"/>
  <c r="BA107" i="18"/>
  <c r="AV107" i="18"/>
  <c r="AZ107" i="18" s="1"/>
  <c r="AC107" i="18"/>
  <c r="AB107" i="18"/>
  <c r="AA107" i="18"/>
  <c r="Z107" i="18"/>
  <c r="V107" i="18"/>
  <c r="W107" i="18" s="1"/>
  <c r="AX107" i="18" s="1"/>
  <c r="S107" i="18"/>
  <c r="R107" i="18"/>
  <c r="O107" i="18"/>
  <c r="M107" i="18" s="1"/>
  <c r="N107" i="18"/>
  <c r="L107" i="18"/>
  <c r="I107" i="18"/>
  <c r="AV106" i="18"/>
  <c r="AC106" i="18"/>
  <c r="AB106" i="18"/>
  <c r="AA106" i="18"/>
  <c r="Z106" i="18"/>
  <c r="V106" i="18"/>
  <c r="W106" i="18" s="1"/>
  <c r="AX106" i="18" s="1"/>
  <c r="O106" i="18"/>
  <c r="M106" i="18" s="1"/>
  <c r="N106" i="18"/>
  <c r="L106" i="18"/>
  <c r="R106" i="18" s="1"/>
  <c r="I106" i="18"/>
  <c r="AX105" i="18"/>
  <c r="AC105" i="18"/>
  <c r="AB105" i="18"/>
  <c r="AA105" i="18"/>
  <c r="Z105" i="18"/>
  <c r="V105" i="18"/>
  <c r="W105" i="18" s="1"/>
  <c r="O105" i="18"/>
  <c r="N105" i="18"/>
  <c r="M105" i="18"/>
  <c r="L105" i="18"/>
  <c r="I105" i="18"/>
  <c r="AC104" i="18"/>
  <c r="AB104" i="18"/>
  <c r="AA104" i="18"/>
  <c r="Z104" i="18"/>
  <c r="V104" i="18"/>
  <c r="W104" i="18" s="1"/>
  <c r="AX104" i="18" s="1"/>
  <c r="S104" i="18"/>
  <c r="O104" i="18"/>
  <c r="N104" i="18"/>
  <c r="M104" i="18"/>
  <c r="P104" i="18" s="1"/>
  <c r="AW104" i="18" s="1"/>
  <c r="L104" i="18"/>
  <c r="I104" i="18"/>
  <c r="AC103" i="18"/>
  <c r="AB103" i="18"/>
  <c r="AA103" i="18"/>
  <c r="Z103" i="18"/>
  <c r="AE103" i="18" s="1"/>
  <c r="AM103" i="18" s="1"/>
  <c r="V103" i="18"/>
  <c r="W103" i="18" s="1"/>
  <c r="AX103" i="18" s="1"/>
  <c r="S103" i="18"/>
  <c r="R103" i="18"/>
  <c r="O103" i="18"/>
  <c r="N103" i="18"/>
  <c r="L103" i="18"/>
  <c r="I103" i="18"/>
  <c r="AV102" i="18"/>
  <c r="AC102" i="18"/>
  <c r="AB102" i="18"/>
  <c r="AA102" i="18"/>
  <c r="Z102" i="18"/>
  <c r="V102" i="18"/>
  <c r="W102" i="18" s="1"/>
  <c r="AX102" i="18" s="1"/>
  <c r="R102" i="18"/>
  <c r="O102" i="18"/>
  <c r="N102" i="18"/>
  <c r="M102" i="18"/>
  <c r="P102" i="18" s="1"/>
  <c r="AW102" i="18" s="1"/>
  <c r="L102" i="18"/>
  <c r="S102" i="18" s="1"/>
  <c r="I102" i="18"/>
  <c r="AC101" i="18"/>
  <c r="AB101" i="18"/>
  <c r="AA101" i="18"/>
  <c r="Z101" i="18"/>
  <c r="AE101" i="18" s="1"/>
  <c r="AM101" i="18" s="1"/>
  <c r="V101" i="18"/>
  <c r="W101" i="18" s="1"/>
  <c r="AX101" i="18" s="1"/>
  <c r="S101" i="18"/>
  <c r="R101" i="18"/>
  <c r="O101" i="18"/>
  <c r="N101" i="18"/>
  <c r="L101" i="18"/>
  <c r="I101" i="18"/>
  <c r="AV100" i="18"/>
  <c r="AC100" i="18"/>
  <c r="AB100" i="18"/>
  <c r="AA100" i="18"/>
  <c r="Z100" i="18"/>
  <c r="V100" i="18"/>
  <c r="W100" i="18" s="1"/>
  <c r="AX100" i="18" s="1"/>
  <c r="O100" i="18"/>
  <c r="M100" i="18" s="1"/>
  <c r="N100" i="18"/>
  <c r="L100" i="18"/>
  <c r="I100" i="18"/>
  <c r="S100" i="18" s="1"/>
  <c r="BB99" i="18"/>
  <c r="BA99" i="18"/>
  <c r="AZ99" i="18"/>
  <c r="AV99" i="18"/>
  <c r="AC99" i="18"/>
  <c r="AB99" i="18"/>
  <c r="AA99" i="18"/>
  <c r="Z99" i="18"/>
  <c r="V99" i="18"/>
  <c r="W99" i="18" s="1"/>
  <c r="AX99" i="18" s="1"/>
  <c r="R99" i="18"/>
  <c r="O99" i="18"/>
  <c r="N99" i="18"/>
  <c r="L99" i="18"/>
  <c r="I99" i="18"/>
  <c r="AV98" i="18"/>
  <c r="AC98" i="18"/>
  <c r="AB98" i="18"/>
  <c r="AA98" i="18"/>
  <c r="Z98" i="18"/>
  <c r="V98" i="18"/>
  <c r="W98" i="18" s="1"/>
  <c r="AX98" i="18" s="1"/>
  <c r="R98" i="18"/>
  <c r="O98" i="18"/>
  <c r="M98" i="18" s="1"/>
  <c r="N98" i="18"/>
  <c r="L98" i="18"/>
  <c r="I98" i="18"/>
  <c r="AC97" i="18"/>
  <c r="AB97" i="18"/>
  <c r="AA97" i="18"/>
  <c r="Z97" i="18"/>
  <c r="V97" i="18"/>
  <c r="W97" i="18" s="1"/>
  <c r="AX97" i="18" s="1"/>
  <c r="O97" i="18"/>
  <c r="M97" i="18" s="1"/>
  <c r="N97" i="18"/>
  <c r="I97" i="18"/>
  <c r="AC96" i="18"/>
  <c r="AB96" i="18"/>
  <c r="AA96" i="18"/>
  <c r="Z96" i="18"/>
  <c r="AE96" i="18" s="1"/>
  <c r="AM96" i="18" s="1"/>
  <c r="V96" i="18"/>
  <c r="W96" i="18" s="1"/>
  <c r="AX96" i="18" s="1"/>
  <c r="S96" i="18"/>
  <c r="O96" i="18"/>
  <c r="M96" i="18" s="1"/>
  <c r="P96" i="18" s="1"/>
  <c r="AW96" i="18" s="1"/>
  <c r="N96" i="18"/>
  <c r="L96" i="18"/>
  <c r="I96" i="18"/>
  <c r="AC95" i="18"/>
  <c r="AB95" i="18"/>
  <c r="AA95" i="18"/>
  <c r="Z95" i="18"/>
  <c r="W95" i="18"/>
  <c r="AX95" i="18" s="1"/>
  <c r="V95" i="18"/>
  <c r="O95" i="18"/>
  <c r="N95" i="18"/>
  <c r="L95" i="18"/>
  <c r="M95" i="18" s="1"/>
  <c r="P95" i="18" s="1"/>
  <c r="AW95" i="18" s="1"/>
  <c r="I95" i="18"/>
  <c r="AV94" i="18"/>
  <c r="AC94" i="18"/>
  <c r="AE94" i="18" s="1"/>
  <c r="AM94" i="18" s="1"/>
  <c r="AB94" i="18"/>
  <c r="AA94" i="18"/>
  <c r="Z94" i="18"/>
  <c r="V94" i="18"/>
  <c r="W94" i="18" s="1"/>
  <c r="AX94" i="18" s="1"/>
  <c r="S94" i="18"/>
  <c r="R94" i="18"/>
  <c r="O94" i="18"/>
  <c r="N94" i="18"/>
  <c r="L94" i="18"/>
  <c r="I94" i="18"/>
  <c r="AV93" i="18"/>
  <c r="AC93" i="18"/>
  <c r="AB93" i="18"/>
  <c r="AA93" i="18"/>
  <c r="Z93" i="18"/>
  <c r="V93" i="18"/>
  <c r="W93" i="18" s="1"/>
  <c r="AX93" i="18" s="1"/>
  <c r="S93" i="18"/>
  <c r="R93" i="18"/>
  <c r="O93" i="18"/>
  <c r="N93" i="18"/>
  <c r="L93" i="18"/>
  <c r="M93" i="18" s="1"/>
  <c r="I93" i="18"/>
  <c r="AV92" i="18"/>
  <c r="AC92" i="18"/>
  <c r="AB92" i="18"/>
  <c r="AA92" i="18"/>
  <c r="Z92" i="18"/>
  <c r="V92" i="18"/>
  <c r="W92" i="18" s="1"/>
  <c r="AX92" i="18" s="1"/>
  <c r="S92" i="18"/>
  <c r="R92" i="18"/>
  <c r="O92" i="18"/>
  <c r="M92" i="18" s="1"/>
  <c r="N92" i="18"/>
  <c r="L92" i="18"/>
  <c r="I92" i="18"/>
  <c r="BB91" i="18"/>
  <c r="BA91" i="18"/>
  <c r="AV91" i="18"/>
  <c r="AZ91" i="18" s="1"/>
  <c r="AC91" i="18"/>
  <c r="AB91" i="18"/>
  <c r="AA91" i="18"/>
  <c r="Z91" i="18"/>
  <c r="V91" i="18"/>
  <c r="W91" i="18" s="1"/>
  <c r="AX91" i="18" s="1"/>
  <c r="R91" i="18"/>
  <c r="O91" i="18"/>
  <c r="N91" i="18"/>
  <c r="M91" i="18"/>
  <c r="L91" i="18"/>
  <c r="S91" i="18" s="1"/>
  <c r="I91" i="18"/>
  <c r="AC90" i="18"/>
  <c r="AB90" i="18"/>
  <c r="AA90" i="18"/>
  <c r="Z90" i="18"/>
  <c r="V90" i="18"/>
  <c r="W90" i="18" s="1"/>
  <c r="O90" i="18"/>
  <c r="N90" i="18"/>
  <c r="M90" i="18"/>
  <c r="L90" i="18"/>
  <c r="L128" i="18" s="1"/>
  <c r="I90" i="18"/>
  <c r="AN84" i="18"/>
  <c r="AL84" i="18"/>
  <c r="AK84" i="18"/>
  <c r="AJ84" i="18"/>
  <c r="AI84" i="18"/>
  <c r="AG84" i="18"/>
  <c r="AF84" i="18"/>
  <c r="X84" i="18"/>
  <c r="K84" i="18"/>
  <c r="J84" i="18"/>
  <c r="AK81" i="18"/>
  <c r="AD81" i="18"/>
  <c r="AC81" i="18"/>
  <c r="AB81" i="18"/>
  <c r="AA81" i="18"/>
  <c r="Z81" i="18"/>
  <c r="V81" i="18"/>
  <c r="W81" i="18" s="1"/>
  <c r="AX81" i="18" s="1"/>
  <c r="O81" i="18"/>
  <c r="N81" i="18"/>
  <c r="I81" i="18"/>
  <c r="AK80" i="18"/>
  <c r="AD80" i="18"/>
  <c r="AC80" i="18"/>
  <c r="AB80" i="18"/>
  <c r="AA80" i="18"/>
  <c r="Z80" i="18"/>
  <c r="V80" i="18"/>
  <c r="W80" i="18" s="1"/>
  <c r="AX80" i="18" s="1"/>
  <c r="R80" i="18"/>
  <c r="T80" i="18" s="1"/>
  <c r="O80" i="18"/>
  <c r="N80" i="18"/>
  <c r="I80" i="18"/>
  <c r="S80" i="18" s="1"/>
  <c r="BB79" i="18"/>
  <c r="BA79" i="18"/>
  <c r="AZ79" i="18"/>
  <c r="AK79" i="18"/>
  <c r="AD79" i="18"/>
  <c r="AC79" i="18"/>
  <c r="AB79" i="18"/>
  <c r="AA79" i="18"/>
  <c r="Z79" i="18"/>
  <c r="V79" i="18"/>
  <c r="W79" i="18" s="1"/>
  <c r="AX79" i="18" s="1"/>
  <c r="S79" i="18"/>
  <c r="R79" i="18"/>
  <c r="T79" i="18" s="1"/>
  <c r="O79" i="18"/>
  <c r="N79" i="18"/>
  <c r="I79" i="18"/>
  <c r="AV79" i="18" s="1"/>
  <c r="BA78" i="18"/>
  <c r="AZ78" i="18"/>
  <c r="AK78" i="18"/>
  <c r="AD78" i="18"/>
  <c r="AC78" i="18"/>
  <c r="AB78" i="18"/>
  <c r="AA78" i="18"/>
  <c r="Z78" i="18"/>
  <c r="V78" i="18"/>
  <c r="W78" i="18" s="1"/>
  <c r="AX78" i="18" s="1"/>
  <c r="S78" i="18"/>
  <c r="R78" i="18"/>
  <c r="T78" i="18" s="1"/>
  <c r="O78" i="18"/>
  <c r="N78" i="18"/>
  <c r="I78" i="18"/>
  <c r="AV78" i="18" s="1"/>
  <c r="AK77" i="18"/>
  <c r="AD77" i="18"/>
  <c r="AC77" i="18"/>
  <c r="AB77" i="18"/>
  <c r="AA77" i="18"/>
  <c r="Z77" i="18"/>
  <c r="V77" i="18"/>
  <c r="W77" i="18" s="1"/>
  <c r="AX77" i="18" s="1"/>
  <c r="T77" i="18"/>
  <c r="S77" i="18"/>
  <c r="R77" i="18"/>
  <c r="O77" i="18"/>
  <c r="N77" i="18"/>
  <c r="I77" i="18"/>
  <c r="AK76" i="18"/>
  <c r="AD76" i="18"/>
  <c r="AC76" i="18"/>
  <c r="AB76" i="18"/>
  <c r="AA76" i="18"/>
  <c r="Z76" i="18"/>
  <c r="V76" i="18"/>
  <c r="W76" i="18" s="1"/>
  <c r="AX76" i="18" s="1"/>
  <c r="T76" i="18"/>
  <c r="S76" i="18"/>
  <c r="O76" i="18"/>
  <c r="N76" i="18"/>
  <c r="I76" i="18"/>
  <c r="R76" i="18" s="1"/>
  <c r="AV75" i="18"/>
  <c r="AK75" i="18"/>
  <c r="AD75" i="18"/>
  <c r="AC75" i="18"/>
  <c r="AB75" i="18"/>
  <c r="AA75" i="18"/>
  <c r="Z75" i="18"/>
  <c r="V75" i="18"/>
  <c r="W75" i="18" s="1"/>
  <c r="AX75" i="18" s="1"/>
  <c r="S75" i="18"/>
  <c r="O75" i="18"/>
  <c r="N75" i="18"/>
  <c r="I75" i="18"/>
  <c r="AK74" i="18"/>
  <c r="AD74" i="18"/>
  <c r="AC74" i="18"/>
  <c r="AB74" i="18"/>
  <c r="AA74" i="18"/>
  <c r="Z74" i="18"/>
  <c r="V74" i="18"/>
  <c r="W74" i="18" s="1"/>
  <c r="AX74" i="18" s="1"/>
  <c r="O74" i="18"/>
  <c r="N74" i="18"/>
  <c r="I74" i="18"/>
  <c r="AV73" i="18"/>
  <c r="AK73" i="18"/>
  <c r="AD73" i="18"/>
  <c r="AC73" i="18"/>
  <c r="AB73" i="18"/>
  <c r="AA73" i="18"/>
  <c r="Z73" i="18"/>
  <c r="V73" i="18"/>
  <c r="W73" i="18" s="1"/>
  <c r="AX73" i="18" s="1"/>
  <c r="O73" i="18"/>
  <c r="N73" i="18"/>
  <c r="I73" i="18"/>
  <c r="AK72" i="18"/>
  <c r="AD72" i="18"/>
  <c r="AC72" i="18"/>
  <c r="AB72" i="18"/>
  <c r="AA72" i="18"/>
  <c r="Z72" i="18"/>
  <c r="V72" i="18"/>
  <c r="W72" i="18" s="1"/>
  <c r="AX72" i="18" s="1"/>
  <c r="R72" i="18"/>
  <c r="T72" i="18" s="1"/>
  <c r="O72" i="18"/>
  <c r="N72" i="18"/>
  <c r="M72" i="18"/>
  <c r="P72" i="18" s="1"/>
  <c r="I72" i="18"/>
  <c r="S72" i="18" s="1"/>
  <c r="BB71" i="18"/>
  <c r="BA71" i="18"/>
  <c r="AZ71" i="18"/>
  <c r="AK71" i="18"/>
  <c r="AD71" i="18"/>
  <c r="AC71" i="18"/>
  <c r="AB71" i="18"/>
  <c r="AA71" i="18"/>
  <c r="Z71" i="18"/>
  <c r="V71" i="18"/>
  <c r="W71" i="18" s="1"/>
  <c r="AX71" i="18" s="1"/>
  <c r="S71" i="18"/>
  <c r="R71" i="18"/>
  <c r="T71" i="18" s="1"/>
  <c r="O71" i="18"/>
  <c r="N71" i="18"/>
  <c r="I71" i="18"/>
  <c r="AV71" i="18" s="1"/>
  <c r="BA70" i="18"/>
  <c r="AZ70" i="18"/>
  <c r="AK70" i="18"/>
  <c r="AD70" i="18"/>
  <c r="AC70" i="18"/>
  <c r="AB70" i="18"/>
  <c r="AA70" i="18"/>
  <c r="Z70" i="18"/>
  <c r="V70" i="18"/>
  <c r="W70" i="18" s="1"/>
  <c r="AX70" i="18" s="1"/>
  <c r="S70" i="18"/>
  <c r="R70" i="18"/>
  <c r="O70" i="18"/>
  <c r="N70" i="18"/>
  <c r="I70" i="18"/>
  <c r="AV70" i="18" s="1"/>
  <c r="AK69" i="18"/>
  <c r="AD69" i="18"/>
  <c r="AC69" i="18"/>
  <c r="AB69" i="18"/>
  <c r="AA69" i="18"/>
  <c r="Z69" i="18"/>
  <c r="V69" i="18"/>
  <c r="W69" i="18" s="1"/>
  <c r="AX69" i="18" s="1"/>
  <c r="S69" i="18"/>
  <c r="T69" i="18" s="1"/>
  <c r="R69" i="18"/>
  <c r="O69" i="18"/>
  <c r="M78" i="18" s="1"/>
  <c r="P78" i="18" s="1"/>
  <c r="N69" i="18"/>
  <c r="I69" i="18"/>
  <c r="AK68" i="18"/>
  <c r="AD68" i="18"/>
  <c r="AC68" i="18"/>
  <c r="AB68" i="18"/>
  <c r="AA68" i="18"/>
  <c r="Z68" i="18"/>
  <c r="V68" i="18"/>
  <c r="W68" i="18" s="1"/>
  <c r="AX68" i="18" s="1"/>
  <c r="S68" i="18"/>
  <c r="R68" i="18"/>
  <c r="T68" i="18" s="1"/>
  <c r="O68" i="18"/>
  <c r="N68" i="18"/>
  <c r="I68" i="18"/>
  <c r="AV67" i="18"/>
  <c r="AK67" i="18"/>
  <c r="AD67" i="18"/>
  <c r="AC67" i="18"/>
  <c r="AB67" i="18"/>
  <c r="AA67" i="18"/>
  <c r="Z67" i="18"/>
  <c r="AE67" i="18" s="1"/>
  <c r="AM67" i="18" s="1"/>
  <c r="V67" i="18"/>
  <c r="W67" i="18" s="1"/>
  <c r="AX67" i="18" s="1"/>
  <c r="S67" i="18"/>
  <c r="O67" i="18"/>
  <c r="M67" i="18" s="1"/>
  <c r="P67" i="18" s="1"/>
  <c r="AW67" i="18" s="1"/>
  <c r="N67" i="18"/>
  <c r="I67" i="18"/>
  <c r="AV66" i="18"/>
  <c r="AK66" i="18"/>
  <c r="AD66" i="18"/>
  <c r="AC66" i="18"/>
  <c r="AB66" i="18"/>
  <c r="AA66" i="18"/>
  <c r="Z66" i="18"/>
  <c r="V66" i="18"/>
  <c r="W66" i="18" s="1"/>
  <c r="AX66" i="18" s="1"/>
  <c r="O66" i="18"/>
  <c r="M66" i="18" s="1"/>
  <c r="N66" i="18"/>
  <c r="I66" i="18"/>
  <c r="AV65" i="18"/>
  <c r="AK65" i="18"/>
  <c r="AD65" i="18"/>
  <c r="AC65" i="18"/>
  <c r="AB65" i="18"/>
  <c r="AA65" i="18"/>
  <c r="Z65" i="18"/>
  <c r="AE65" i="18" s="1"/>
  <c r="AM65" i="18" s="1"/>
  <c r="V65" i="18"/>
  <c r="W65" i="18" s="1"/>
  <c r="O65" i="18"/>
  <c r="N65" i="18"/>
  <c r="M65" i="18"/>
  <c r="P65" i="18" s="1"/>
  <c r="AW65" i="18" s="1"/>
  <c r="I65" i="18"/>
  <c r="AK64" i="18"/>
  <c r="AD64" i="18"/>
  <c r="AC64" i="18"/>
  <c r="AB64" i="18"/>
  <c r="AA64" i="18"/>
  <c r="Z64" i="18"/>
  <c r="W64" i="18"/>
  <c r="AX64" i="18" s="1"/>
  <c r="V64" i="18"/>
  <c r="R64" i="18"/>
  <c r="T64" i="18" s="1"/>
  <c r="O64" i="18"/>
  <c r="M64" i="18" s="1"/>
  <c r="N64" i="18"/>
  <c r="I64" i="18"/>
  <c r="S64" i="18" s="1"/>
  <c r="BB63" i="18"/>
  <c r="BA63" i="18"/>
  <c r="AZ63" i="18"/>
  <c r="AK63" i="18"/>
  <c r="AD63" i="18"/>
  <c r="AC63" i="18"/>
  <c r="AB63" i="18"/>
  <c r="AA63" i="18"/>
  <c r="Z63" i="18"/>
  <c r="V63" i="18"/>
  <c r="W63" i="18" s="1"/>
  <c r="AX63" i="18" s="1"/>
  <c r="S63" i="18"/>
  <c r="R63" i="18"/>
  <c r="T63" i="18" s="1"/>
  <c r="O63" i="18"/>
  <c r="M63" i="18" s="1"/>
  <c r="N63" i="18"/>
  <c r="I63" i="18"/>
  <c r="AV63" i="18" s="1"/>
  <c r="BA62" i="18"/>
  <c r="AK62" i="18"/>
  <c r="AD62" i="18"/>
  <c r="AC62" i="18"/>
  <c r="AB62" i="18"/>
  <c r="AA62" i="18"/>
  <c r="Z62" i="18"/>
  <c r="V62" i="18"/>
  <c r="W62" i="18" s="1"/>
  <c r="AX62" i="18" s="1"/>
  <c r="S62" i="18"/>
  <c r="R62" i="18"/>
  <c r="O62" i="18"/>
  <c r="M62" i="18" s="1"/>
  <c r="N62" i="18"/>
  <c r="I62" i="18"/>
  <c r="AV62" i="18" s="1"/>
  <c r="AK61" i="18"/>
  <c r="AD61" i="18"/>
  <c r="AC61" i="18"/>
  <c r="AB61" i="18"/>
  <c r="AA61" i="18"/>
  <c r="Z61" i="18"/>
  <c r="V61" i="18"/>
  <c r="W61" i="18" s="1"/>
  <c r="AX61" i="18" s="1"/>
  <c r="T61" i="18"/>
  <c r="S61" i="18"/>
  <c r="R61" i="18"/>
  <c r="O61" i="18"/>
  <c r="M61" i="18" s="1"/>
  <c r="N61" i="18"/>
  <c r="I61" i="18"/>
  <c r="AK60" i="18"/>
  <c r="AD60" i="18"/>
  <c r="AC60" i="18"/>
  <c r="AB60" i="18"/>
  <c r="AA60" i="18"/>
  <c r="Z60" i="18"/>
  <c r="V60" i="18"/>
  <c r="W60" i="18" s="1"/>
  <c r="AX60" i="18" s="1"/>
  <c r="S60" i="18"/>
  <c r="R60" i="18"/>
  <c r="O60" i="18"/>
  <c r="M60" i="18" s="1"/>
  <c r="N60" i="18"/>
  <c r="I60" i="18"/>
  <c r="AV59" i="18"/>
  <c r="AK59" i="18"/>
  <c r="AD59" i="18"/>
  <c r="AC59" i="18"/>
  <c r="AB59" i="18"/>
  <c r="AA59" i="18"/>
  <c r="Z59" i="18"/>
  <c r="V59" i="18"/>
  <c r="W59" i="18" s="1"/>
  <c r="AX59" i="18" s="1"/>
  <c r="S59" i="18"/>
  <c r="O59" i="18"/>
  <c r="M59" i="18" s="1"/>
  <c r="P59" i="18" s="1"/>
  <c r="AW59" i="18" s="1"/>
  <c r="N59" i="18"/>
  <c r="I59" i="18"/>
  <c r="AV58" i="18"/>
  <c r="AK58" i="18"/>
  <c r="AD58" i="18"/>
  <c r="AC58" i="18"/>
  <c r="AB58" i="18"/>
  <c r="AA58" i="18"/>
  <c r="Z58" i="18"/>
  <c r="V58" i="18"/>
  <c r="W58" i="18" s="1"/>
  <c r="AX58" i="18" s="1"/>
  <c r="O58" i="18"/>
  <c r="M58" i="18" s="1"/>
  <c r="N58" i="18"/>
  <c r="I58" i="18"/>
  <c r="AK57" i="18"/>
  <c r="AD57" i="18"/>
  <c r="AC57" i="18"/>
  <c r="AB57" i="18"/>
  <c r="AA57" i="18"/>
  <c r="Z57" i="18"/>
  <c r="V57" i="18"/>
  <c r="W57" i="18" s="1"/>
  <c r="AX57" i="18" s="1"/>
  <c r="O57" i="18"/>
  <c r="M57" i="18" s="1"/>
  <c r="N57" i="18"/>
  <c r="I57" i="18"/>
  <c r="AK56" i="18"/>
  <c r="AD56" i="18"/>
  <c r="AC56" i="18"/>
  <c r="AB56" i="18"/>
  <c r="AA56" i="18"/>
  <c r="Z56" i="18"/>
  <c r="V56" i="18"/>
  <c r="W56" i="18" s="1"/>
  <c r="AX56" i="18" s="1"/>
  <c r="R56" i="18"/>
  <c r="T56" i="18" s="1"/>
  <c r="O56" i="18"/>
  <c r="M56" i="18" s="1"/>
  <c r="N56" i="18"/>
  <c r="I56" i="18"/>
  <c r="S56" i="18" s="1"/>
  <c r="BB55" i="18"/>
  <c r="BA55" i="18"/>
  <c r="AZ55" i="18"/>
  <c r="AK55" i="18"/>
  <c r="AD55" i="18"/>
  <c r="AC55" i="18"/>
  <c r="AB55" i="18"/>
  <c r="AA55" i="18"/>
  <c r="Z55" i="18"/>
  <c r="V55" i="18"/>
  <c r="W55" i="18" s="1"/>
  <c r="AX55" i="18" s="1"/>
  <c r="S55" i="18"/>
  <c r="R55" i="18"/>
  <c r="T55" i="18" s="1"/>
  <c r="O55" i="18"/>
  <c r="M55" i="18" s="1"/>
  <c r="N55" i="18"/>
  <c r="I55" i="18"/>
  <c r="AV55" i="18" s="1"/>
  <c r="AK54" i="18"/>
  <c r="AD54" i="18"/>
  <c r="AC54" i="18"/>
  <c r="AB54" i="18"/>
  <c r="AA54" i="18"/>
  <c r="Z54" i="18"/>
  <c r="V54" i="18"/>
  <c r="W54" i="18" s="1"/>
  <c r="AX54" i="18" s="1"/>
  <c r="S54" i="18"/>
  <c r="R54" i="18"/>
  <c r="O54" i="18"/>
  <c r="M54" i="18" s="1"/>
  <c r="N54" i="18"/>
  <c r="I54" i="18"/>
  <c r="AV54" i="18" s="1"/>
  <c r="AK53" i="18"/>
  <c r="AD53" i="18"/>
  <c r="AC53" i="18"/>
  <c r="AB53" i="18"/>
  <c r="AA53" i="18"/>
  <c r="Z53" i="18"/>
  <c r="V53" i="18"/>
  <c r="W53" i="18" s="1"/>
  <c r="AX53" i="18" s="1"/>
  <c r="S53" i="18"/>
  <c r="T53" i="18" s="1"/>
  <c r="R53" i="18"/>
  <c r="O53" i="18"/>
  <c r="M53" i="18" s="1"/>
  <c r="P53" i="18" s="1"/>
  <c r="AW53" i="18" s="1"/>
  <c r="N53" i="18"/>
  <c r="I53" i="18"/>
  <c r="AK52" i="18"/>
  <c r="AD52" i="18"/>
  <c r="AC52" i="18"/>
  <c r="AB52" i="18"/>
  <c r="AA52" i="18"/>
  <c r="Z52" i="18"/>
  <c r="AE52" i="18" s="1"/>
  <c r="AM52" i="18" s="1"/>
  <c r="V52" i="18"/>
  <c r="W52" i="18" s="1"/>
  <c r="AX52" i="18" s="1"/>
  <c r="S52" i="18"/>
  <c r="T52" i="18" s="1"/>
  <c r="R52" i="18"/>
  <c r="O52" i="18"/>
  <c r="M52" i="18" s="1"/>
  <c r="N52" i="18"/>
  <c r="I52" i="18"/>
  <c r="AV51" i="18"/>
  <c r="AK51" i="18"/>
  <c r="AD51" i="18"/>
  <c r="AC51" i="18"/>
  <c r="AB51" i="18"/>
  <c r="AA51" i="18"/>
  <c r="Z51" i="18"/>
  <c r="V51" i="18"/>
  <c r="W51" i="18" s="1"/>
  <c r="AX51" i="18" s="1"/>
  <c r="S51" i="18"/>
  <c r="O51" i="18"/>
  <c r="M51" i="18" s="1"/>
  <c r="P51" i="18" s="1"/>
  <c r="AW51" i="18" s="1"/>
  <c r="N51" i="18"/>
  <c r="I51" i="18"/>
  <c r="BA50" i="18"/>
  <c r="AZ50" i="18"/>
  <c r="AV50" i="18"/>
  <c r="AK50" i="18"/>
  <c r="AD50" i="18"/>
  <c r="AC50" i="18"/>
  <c r="AB50" i="18"/>
  <c r="AA50" i="18"/>
  <c r="Z50" i="18"/>
  <c r="V50" i="18"/>
  <c r="W50" i="18" s="1"/>
  <c r="AX50" i="18" s="1"/>
  <c r="O50" i="18"/>
  <c r="M50" i="18" s="1"/>
  <c r="N50" i="18"/>
  <c r="I50" i="18"/>
  <c r="AV49" i="18"/>
  <c r="AK49" i="18"/>
  <c r="AD49" i="18"/>
  <c r="AC49" i="18"/>
  <c r="AB49" i="18"/>
  <c r="AA49" i="18"/>
  <c r="Z49" i="18"/>
  <c r="W49" i="18"/>
  <c r="AX49" i="18" s="1"/>
  <c r="V49" i="18"/>
  <c r="O49" i="18"/>
  <c r="N49" i="18"/>
  <c r="M49" i="18"/>
  <c r="I49" i="18"/>
  <c r="AK48" i="18"/>
  <c r="AD48" i="18"/>
  <c r="AC48" i="18"/>
  <c r="AB48" i="18"/>
  <c r="AA48" i="18"/>
  <c r="Z48" i="18"/>
  <c r="V48" i="18"/>
  <c r="W48" i="18" s="1"/>
  <c r="AX48" i="18" s="1"/>
  <c r="R48" i="18"/>
  <c r="O48" i="18"/>
  <c r="M48" i="18" s="1"/>
  <c r="P48" i="18" s="1"/>
  <c r="N48" i="18"/>
  <c r="I48" i="18"/>
  <c r="S48" i="18" s="1"/>
  <c r="BB47" i="18"/>
  <c r="BA47" i="18"/>
  <c r="AZ47" i="18"/>
  <c r="AK47" i="18"/>
  <c r="AD47" i="18"/>
  <c r="AC47" i="18"/>
  <c r="AB47" i="18"/>
  <c r="AA47" i="18"/>
  <c r="Z47" i="18"/>
  <c r="V47" i="18"/>
  <c r="W47" i="18" s="1"/>
  <c r="AX47" i="18" s="1"/>
  <c r="S47" i="18"/>
  <c r="R47" i="18"/>
  <c r="T47" i="18" s="1"/>
  <c r="P47" i="18"/>
  <c r="AW47" i="18" s="1"/>
  <c r="O47" i="18"/>
  <c r="M47" i="18" s="1"/>
  <c r="N47" i="18"/>
  <c r="I47" i="18"/>
  <c r="AV47" i="18" s="1"/>
  <c r="BB46" i="18"/>
  <c r="BA46" i="18"/>
  <c r="AZ46" i="18"/>
  <c r="AK46" i="18"/>
  <c r="AD46" i="18"/>
  <c r="AC46" i="18"/>
  <c r="AB46" i="18"/>
  <c r="AA46" i="18"/>
  <c r="Z46" i="18"/>
  <c r="V46" i="18"/>
  <c r="W46" i="18" s="1"/>
  <c r="AX46" i="18" s="1"/>
  <c r="S46" i="18"/>
  <c r="R46" i="18"/>
  <c r="T46" i="18" s="1"/>
  <c r="P46" i="18"/>
  <c r="O46" i="18"/>
  <c r="M46" i="18" s="1"/>
  <c r="N46" i="18"/>
  <c r="I46" i="18"/>
  <c r="AV46" i="18" s="1"/>
  <c r="BB45" i="18"/>
  <c r="BA45" i="18"/>
  <c r="AZ45" i="18"/>
  <c r="AV45" i="18"/>
  <c r="AK45" i="18"/>
  <c r="AD45" i="18"/>
  <c r="AC45" i="18"/>
  <c r="AB45" i="18"/>
  <c r="AA45" i="18"/>
  <c r="Z45" i="18"/>
  <c r="V45" i="18"/>
  <c r="W45" i="18" s="1"/>
  <c r="AX45" i="18" s="1"/>
  <c r="S45" i="18"/>
  <c r="R45" i="18"/>
  <c r="T45" i="18" s="1"/>
  <c r="N45" i="18"/>
  <c r="P45" i="18" s="1"/>
  <c r="M45" i="18"/>
  <c r="AK44" i="18"/>
  <c r="AD44" i="18"/>
  <c r="AC44" i="18"/>
  <c r="AB44" i="18"/>
  <c r="AA44" i="18"/>
  <c r="Z44" i="18"/>
  <c r="V44" i="18"/>
  <c r="W44" i="18" s="1"/>
  <c r="AX44" i="18" s="1"/>
  <c r="S44" i="18"/>
  <c r="R44" i="18"/>
  <c r="O44" i="18"/>
  <c r="M44" i="18" s="1"/>
  <c r="N44" i="18"/>
  <c r="I44" i="18"/>
  <c r="AV44" i="18" s="1"/>
  <c r="BB43" i="18"/>
  <c r="AK43" i="18"/>
  <c r="AD43" i="18"/>
  <c r="AC43" i="18"/>
  <c r="AB43" i="18"/>
  <c r="AA43" i="18"/>
  <c r="Z43" i="18"/>
  <c r="V43" i="18"/>
  <c r="W43" i="18" s="1"/>
  <c r="AX43" i="18" s="1"/>
  <c r="S43" i="18"/>
  <c r="R43" i="18"/>
  <c r="T43" i="18" s="1"/>
  <c r="O43" i="18"/>
  <c r="M43" i="18" s="1"/>
  <c r="P43" i="18" s="1"/>
  <c r="AW43" i="18" s="1"/>
  <c r="N43" i="18"/>
  <c r="I43" i="18"/>
  <c r="AV42" i="18"/>
  <c r="AK42" i="18"/>
  <c r="AD42" i="18"/>
  <c r="AC42" i="18"/>
  <c r="AB42" i="18"/>
  <c r="AA42" i="18"/>
  <c r="Z42" i="18"/>
  <c r="V42" i="18"/>
  <c r="W42" i="18" s="1"/>
  <c r="AX42" i="18" s="1"/>
  <c r="S42" i="18"/>
  <c r="R42" i="18"/>
  <c r="O42" i="18"/>
  <c r="M42" i="18" s="1"/>
  <c r="N42" i="18"/>
  <c r="I42" i="18"/>
  <c r="AK41" i="18"/>
  <c r="AD41" i="18"/>
  <c r="AC41" i="18"/>
  <c r="AB41" i="18"/>
  <c r="AA41" i="18"/>
  <c r="Z41" i="18"/>
  <c r="V41" i="18"/>
  <c r="W41" i="18" s="1"/>
  <c r="AX41" i="18" s="1"/>
  <c r="O41" i="18"/>
  <c r="M41" i="18" s="1"/>
  <c r="P41" i="18" s="1"/>
  <c r="AW41" i="18" s="1"/>
  <c r="N41" i="18"/>
  <c r="I41" i="18"/>
  <c r="AK40" i="18"/>
  <c r="AD40" i="18"/>
  <c r="AC40" i="18"/>
  <c r="AB40" i="18"/>
  <c r="AA40" i="18"/>
  <c r="Z40" i="18"/>
  <c r="W40" i="18"/>
  <c r="AX40" i="18" s="1"/>
  <c r="V40" i="18"/>
  <c r="O40" i="18"/>
  <c r="N40" i="18"/>
  <c r="M40" i="18"/>
  <c r="I40" i="18"/>
  <c r="AK39" i="18"/>
  <c r="AD39" i="18"/>
  <c r="AC39" i="18"/>
  <c r="AB39" i="18"/>
  <c r="AA39" i="18"/>
  <c r="Z39" i="18"/>
  <c r="AE39" i="18" s="1"/>
  <c r="AM39" i="18" s="1"/>
  <c r="V39" i="18"/>
  <c r="W39" i="18" s="1"/>
  <c r="AX39" i="18" s="1"/>
  <c r="O39" i="18"/>
  <c r="M39" i="18" s="1"/>
  <c r="N39" i="18"/>
  <c r="I39" i="18"/>
  <c r="BB38" i="18"/>
  <c r="BA38" i="18"/>
  <c r="AZ38" i="18"/>
  <c r="AW38" i="18"/>
  <c r="AV38" i="18"/>
  <c r="AK38" i="18"/>
  <c r="AD38" i="18"/>
  <c r="AC38" i="18"/>
  <c r="AB38" i="18"/>
  <c r="AA38" i="18"/>
  <c r="Z38" i="18"/>
  <c r="V38" i="18"/>
  <c r="W38" i="18" s="1"/>
  <c r="AX38" i="18" s="1"/>
  <c r="S38" i="18"/>
  <c r="R38" i="18"/>
  <c r="T38" i="18" s="1"/>
  <c r="P38" i="18"/>
  <c r="N38" i="18"/>
  <c r="M38" i="18"/>
  <c r="AV37" i="18"/>
  <c r="AK37" i="18"/>
  <c r="AD37" i="18"/>
  <c r="AC37" i="18"/>
  <c r="AB37" i="18"/>
  <c r="AA37" i="18"/>
  <c r="Z37" i="18"/>
  <c r="V37" i="18"/>
  <c r="W37" i="18" s="1"/>
  <c r="AX37" i="18" s="1"/>
  <c r="O37" i="18"/>
  <c r="M37" i="18" s="1"/>
  <c r="N37" i="18"/>
  <c r="I37" i="18"/>
  <c r="AK36" i="18"/>
  <c r="AD36" i="18"/>
  <c r="AC36" i="18"/>
  <c r="AB36" i="18"/>
  <c r="AA36" i="18"/>
  <c r="Z36" i="18"/>
  <c r="V36" i="18"/>
  <c r="W36" i="18" s="1"/>
  <c r="R36" i="18"/>
  <c r="O36" i="18"/>
  <c r="M36" i="18" s="1"/>
  <c r="P36" i="18" s="1"/>
  <c r="AW36" i="18" s="1"/>
  <c r="N36" i="18"/>
  <c r="I36" i="18"/>
  <c r="S36" i="18" s="1"/>
  <c r="BB35" i="18"/>
  <c r="BA35" i="18"/>
  <c r="AZ35" i="18"/>
  <c r="AK35" i="18"/>
  <c r="AD35" i="18"/>
  <c r="AC35" i="18"/>
  <c r="AB35" i="18"/>
  <c r="AA35" i="18"/>
  <c r="Z35" i="18"/>
  <c r="V35" i="18"/>
  <c r="W35" i="18" s="1"/>
  <c r="AX35" i="18" s="1"/>
  <c r="S35" i="18"/>
  <c r="R35" i="18"/>
  <c r="T35" i="18" s="1"/>
  <c r="P35" i="18"/>
  <c r="AW35" i="18" s="1"/>
  <c r="O35" i="18"/>
  <c r="M35" i="18" s="1"/>
  <c r="N35" i="18"/>
  <c r="I35" i="18"/>
  <c r="AV35" i="18" s="1"/>
  <c r="BB34" i="18"/>
  <c r="BA34" i="18"/>
  <c r="AZ34" i="18"/>
  <c r="AK34" i="18"/>
  <c r="AD34" i="18"/>
  <c r="AC34" i="18"/>
  <c r="AB34" i="18"/>
  <c r="AA34" i="18"/>
  <c r="Z34" i="18"/>
  <c r="V34" i="18"/>
  <c r="W34" i="18" s="1"/>
  <c r="AX34" i="18" s="1"/>
  <c r="S34" i="18"/>
  <c r="R34" i="18"/>
  <c r="O34" i="18"/>
  <c r="M34" i="18" s="1"/>
  <c r="N34" i="18"/>
  <c r="I34" i="18"/>
  <c r="AV34" i="18" s="1"/>
  <c r="AK33" i="18"/>
  <c r="AD33" i="18"/>
  <c r="AC33" i="18"/>
  <c r="AB33" i="18"/>
  <c r="AA33" i="18"/>
  <c r="Z33" i="18"/>
  <c r="V33" i="18"/>
  <c r="W33" i="18" s="1"/>
  <c r="AX33" i="18" s="1"/>
  <c r="S33" i="18"/>
  <c r="R33" i="18"/>
  <c r="T33" i="18" s="1"/>
  <c r="O33" i="18"/>
  <c r="M33" i="18" s="1"/>
  <c r="N33" i="18"/>
  <c r="I33" i="18"/>
  <c r="BB32" i="18"/>
  <c r="AV32" i="18"/>
  <c r="AK32" i="18"/>
  <c r="AD32" i="18"/>
  <c r="AC32" i="18"/>
  <c r="AB32" i="18"/>
  <c r="AA32" i="18"/>
  <c r="Z32" i="18"/>
  <c r="V32" i="18"/>
  <c r="W32" i="18" s="1"/>
  <c r="AX32" i="18" s="1"/>
  <c r="O32" i="18"/>
  <c r="M32" i="18" s="1"/>
  <c r="P32" i="18" s="1"/>
  <c r="AW32" i="18" s="1"/>
  <c r="N32" i="18"/>
  <c r="I32" i="18"/>
  <c r="AV31" i="18"/>
  <c r="AK31" i="18"/>
  <c r="AD31" i="18"/>
  <c r="AC31" i="18"/>
  <c r="AB31" i="18"/>
  <c r="AA31" i="18"/>
  <c r="Z31" i="18"/>
  <c r="V31" i="18"/>
  <c r="W31" i="18" s="1"/>
  <c r="AX31" i="18" s="1"/>
  <c r="O31" i="18"/>
  <c r="N31" i="18"/>
  <c r="M31" i="18"/>
  <c r="P31" i="18" s="1"/>
  <c r="AW31" i="18" s="1"/>
  <c r="I31" i="18"/>
  <c r="AK30" i="18"/>
  <c r="AD30" i="18"/>
  <c r="AC30" i="18"/>
  <c r="AB30" i="18"/>
  <c r="AA30" i="18"/>
  <c r="Z30" i="18"/>
  <c r="AE30" i="18" s="1"/>
  <c r="AM30" i="18" s="1"/>
  <c r="V30" i="18"/>
  <c r="W30" i="18" s="1"/>
  <c r="AX30" i="18" s="1"/>
  <c r="O30" i="18"/>
  <c r="M30" i="18" s="1"/>
  <c r="N30" i="18"/>
  <c r="I30" i="18"/>
  <c r="AK29" i="18"/>
  <c r="AD29" i="18"/>
  <c r="AC29" i="18"/>
  <c r="AB29" i="18"/>
  <c r="AA29" i="18"/>
  <c r="Z29" i="18"/>
  <c r="V29" i="18"/>
  <c r="W29" i="18" s="1"/>
  <c r="AX29" i="18" s="1"/>
  <c r="O29" i="18"/>
  <c r="M29" i="18" s="1"/>
  <c r="N29" i="18"/>
  <c r="I29" i="18"/>
  <c r="AK28" i="18"/>
  <c r="AD28" i="18"/>
  <c r="AC28" i="18"/>
  <c r="AB28" i="18"/>
  <c r="AA28" i="18"/>
  <c r="Z28" i="18"/>
  <c r="V28" i="18"/>
  <c r="W28" i="18" s="1"/>
  <c r="AX28" i="18" s="1"/>
  <c r="S28" i="18"/>
  <c r="R28" i="18"/>
  <c r="T28" i="18" s="1"/>
  <c r="O28" i="18"/>
  <c r="M28" i="18" s="1"/>
  <c r="N28" i="18"/>
  <c r="I28" i="18"/>
  <c r="AV28" i="18" s="1"/>
  <c r="AK27" i="18"/>
  <c r="AD27" i="18"/>
  <c r="AC27" i="18"/>
  <c r="AB27" i="18"/>
  <c r="AA27" i="18"/>
  <c r="Z27" i="18"/>
  <c r="V27" i="18"/>
  <c r="W27" i="18" s="1"/>
  <c r="AX27" i="18" s="1"/>
  <c r="S27" i="18"/>
  <c r="R27" i="18"/>
  <c r="T27" i="18" s="1"/>
  <c r="O27" i="18"/>
  <c r="M27" i="18" s="1"/>
  <c r="N27" i="18"/>
  <c r="I27" i="18"/>
  <c r="AV27" i="18" s="1"/>
  <c r="BB26" i="18"/>
  <c r="BA26" i="18"/>
  <c r="AZ26" i="18"/>
  <c r="AK26" i="18"/>
  <c r="AD26" i="18"/>
  <c r="AC26" i="18"/>
  <c r="AB26" i="18"/>
  <c r="AA26" i="18"/>
  <c r="Z26" i="18"/>
  <c r="V26" i="18"/>
  <c r="W26" i="18" s="1"/>
  <c r="AX26" i="18" s="1"/>
  <c r="S26" i="18"/>
  <c r="R26" i="18"/>
  <c r="T26" i="18" s="1"/>
  <c r="O26" i="18"/>
  <c r="M26" i="18" s="1"/>
  <c r="P26" i="18" s="1"/>
  <c r="AW26" i="18" s="1"/>
  <c r="N26" i="18"/>
  <c r="I26" i="18"/>
  <c r="AV26" i="18" s="1"/>
  <c r="AK25" i="18"/>
  <c r="AD25" i="18"/>
  <c r="AC25" i="18"/>
  <c r="AB25" i="18"/>
  <c r="AA25" i="18"/>
  <c r="Z25" i="18"/>
  <c r="V25" i="18"/>
  <c r="W25" i="18" s="1"/>
  <c r="AX25" i="18" s="1"/>
  <c r="S25" i="18"/>
  <c r="R25" i="18"/>
  <c r="T25" i="18" s="1"/>
  <c r="O25" i="18"/>
  <c r="M25" i="18" s="1"/>
  <c r="N25" i="18"/>
  <c r="I25" i="18"/>
  <c r="AK24" i="18"/>
  <c r="AD24" i="18"/>
  <c r="AC24" i="18"/>
  <c r="AB24" i="18"/>
  <c r="AA24" i="18"/>
  <c r="Z24" i="18"/>
  <c r="V24" i="18"/>
  <c r="W24" i="18" s="1"/>
  <c r="AX24" i="18" s="1"/>
  <c r="O24" i="18"/>
  <c r="M24" i="18" s="1"/>
  <c r="P24" i="18" s="1"/>
  <c r="AW24" i="18" s="1"/>
  <c r="N24" i="18"/>
  <c r="I24" i="18"/>
  <c r="AO23" i="18"/>
  <c r="AK23" i="18"/>
  <c r="AD23" i="18"/>
  <c r="AC23" i="18"/>
  <c r="AB23" i="18"/>
  <c r="AA23" i="18"/>
  <c r="Z23" i="18"/>
  <c r="V23" i="18"/>
  <c r="W23" i="18" s="1"/>
  <c r="S23" i="18"/>
  <c r="R23" i="18"/>
  <c r="T23" i="18" s="1"/>
  <c r="N23" i="18"/>
  <c r="P23" i="18" s="1"/>
  <c r="Y23" i="18" s="1"/>
  <c r="M23" i="18"/>
  <c r="AK22" i="18"/>
  <c r="AD22" i="18"/>
  <c r="AC22" i="18"/>
  <c r="AB22" i="18"/>
  <c r="AA22" i="18"/>
  <c r="Z22" i="18"/>
  <c r="V22" i="18"/>
  <c r="W22" i="18" s="1"/>
  <c r="AX22" i="18" s="1"/>
  <c r="T22" i="18"/>
  <c r="S22" i="18"/>
  <c r="R22" i="18"/>
  <c r="O22" i="18"/>
  <c r="M22" i="18" s="1"/>
  <c r="N22" i="18"/>
  <c r="I22" i="18"/>
  <c r="AK21" i="18"/>
  <c r="AD21" i="18"/>
  <c r="AE21" i="18" s="1"/>
  <c r="AM21" i="18" s="1"/>
  <c r="AC21" i="18"/>
  <c r="AB21" i="18"/>
  <c r="AA21" i="18"/>
  <c r="Z21" i="18"/>
  <c r="V21" i="18"/>
  <c r="W21" i="18" s="1"/>
  <c r="AX21" i="18" s="1"/>
  <c r="O21" i="18"/>
  <c r="M21" i="18" s="1"/>
  <c r="N21" i="18"/>
  <c r="I21" i="18"/>
  <c r="AK20" i="18"/>
  <c r="AD20" i="18"/>
  <c r="AC20" i="18"/>
  <c r="AB20" i="18"/>
  <c r="AA20" i="18"/>
  <c r="Z20" i="18"/>
  <c r="V20" i="18"/>
  <c r="W20" i="18" s="1"/>
  <c r="AX20" i="18" s="1"/>
  <c r="S20" i="18"/>
  <c r="O20" i="18"/>
  <c r="M20" i="18" s="1"/>
  <c r="N20" i="18"/>
  <c r="I20" i="18"/>
  <c r="AV19" i="18"/>
  <c r="AK19" i="18"/>
  <c r="AD19" i="18"/>
  <c r="AC19" i="18"/>
  <c r="AB19" i="18"/>
  <c r="AA19" i="18"/>
  <c r="Z19" i="18"/>
  <c r="V19" i="18"/>
  <c r="W19" i="18" s="1"/>
  <c r="AX19" i="18" s="1"/>
  <c r="O19" i="18"/>
  <c r="M19" i="18" s="1"/>
  <c r="N19" i="18"/>
  <c r="I19" i="18"/>
  <c r="AV18" i="18"/>
  <c r="AK18" i="18"/>
  <c r="AD18" i="18"/>
  <c r="AC18" i="18"/>
  <c r="AB18" i="18"/>
  <c r="AA18" i="18"/>
  <c r="Z18" i="18"/>
  <c r="AE18" i="18" s="1"/>
  <c r="AM18" i="18" s="1"/>
  <c r="V18" i="18"/>
  <c r="W18" i="18" s="1"/>
  <c r="AX18" i="18" s="1"/>
  <c r="O18" i="18"/>
  <c r="M18" i="18" s="1"/>
  <c r="P18" i="18" s="1"/>
  <c r="AW18" i="18" s="1"/>
  <c r="N18" i="18"/>
  <c r="I18" i="18"/>
  <c r="AK17" i="18"/>
  <c r="AD17" i="18"/>
  <c r="AC17" i="18"/>
  <c r="AB17" i="18"/>
  <c r="AA17" i="18"/>
  <c r="Z17" i="18"/>
  <c r="V17" i="18"/>
  <c r="W17" i="18" s="1"/>
  <c r="R17" i="18"/>
  <c r="T17" i="18" s="1"/>
  <c r="O17" i="18"/>
  <c r="M17" i="18" s="1"/>
  <c r="N17" i="18"/>
  <c r="I17" i="18"/>
  <c r="S17" i="18" s="1"/>
  <c r="AO16" i="18"/>
  <c r="AK16" i="18"/>
  <c r="AD16" i="18"/>
  <c r="AC16" i="18"/>
  <c r="AB16" i="18"/>
  <c r="AA16" i="18"/>
  <c r="Z16" i="18"/>
  <c r="V16" i="18"/>
  <c r="W16" i="18" s="1"/>
  <c r="S16" i="18"/>
  <c r="R16" i="18"/>
  <c r="T16" i="18" s="1"/>
  <c r="N16" i="18"/>
  <c r="M16" i="18"/>
  <c r="AK15" i="18"/>
  <c r="AD15" i="18"/>
  <c r="AC15" i="18"/>
  <c r="AB15" i="18"/>
  <c r="AA15" i="18"/>
  <c r="Z15" i="18"/>
  <c r="AE15" i="18" s="1"/>
  <c r="AM15" i="18" s="1"/>
  <c r="V15" i="18"/>
  <c r="W15" i="18" s="1"/>
  <c r="O15" i="18"/>
  <c r="M15" i="18" s="1"/>
  <c r="P15" i="18" s="1"/>
  <c r="AW15" i="18" s="1"/>
  <c r="N15" i="18"/>
  <c r="I15" i="18"/>
  <c r="AK14" i="18"/>
  <c r="AD14" i="18"/>
  <c r="AC14" i="18"/>
  <c r="AB14" i="18"/>
  <c r="AA14" i="18"/>
  <c r="Z14" i="18"/>
  <c r="V14" i="18"/>
  <c r="W14" i="18" s="1"/>
  <c r="AX14" i="18" s="1"/>
  <c r="R14" i="18"/>
  <c r="T14" i="18" s="1"/>
  <c r="O14" i="18"/>
  <c r="M14" i="18" s="1"/>
  <c r="N14" i="18"/>
  <c r="I14" i="18"/>
  <c r="S14" i="18" s="1"/>
  <c r="AK13" i="18"/>
  <c r="AD13" i="18"/>
  <c r="AC13" i="18"/>
  <c r="AB13" i="18"/>
  <c r="AA13" i="18"/>
  <c r="Z13" i="18"/>
  <c r="V13" i="18"/>
  <c r="W13" i="18" s="1"/>
  <c r="AX13" i="18" s="1"/>
  <c r="S13" i="18"/>
  <c r="R13" i="18"/>
  <c r="T13" i="18" s="1"/>
  <c r="O13" i="18"/>
  <c r="M13" i="18" s="1"/>
  <c r="N13" i="18"/>
  <c r="I13" i="18"/>
  <c r="AV13" i="18" s="1"/>
  <c r="AK12" i="18"/>
  <c r="AD12" i="18"/>
  <c r="AC12" i="18"/>
  <c r="AB12" i="18"/>
  <c r="AA12" i="18"/>
  <c r="Z12" i="18"/>
  <c r="V12" i="18"/>
  <c r="W12" i="18" s="1"/>
  <c r="AX12" i="18" s="1"/>
  <c r="R12" i="18"/>
  <c r="O12" i="18"/>
  <c r="M12" i="18" s="1"/>
  <c r="N12" i="18"/>
  <c r="I12" i="18"/>
  <c r="AK11" i="18"/>
  <c r="AD11" i="18"/>
  <c r="AC11" i="18"/>
  <c r="AB11" i="18"/>
  <c r="AA11" i="18"/>
  <c r="Z11" i="18"/>
  <c r="V11" i="18"/>
  <c r="W11" i="18" s="1"/>
  <c r="AX11" i="18" s="1"/>
  <c r="S11" i="18"/>
  <c r="R11" i="18"/>
  <c r="T11" i="18" s="1"/>
  <c r="O11" i="18"/>
  <c r="M11" i="18" s="1"/>
  <c r="N11" i="18"/>
  <c r="I11" i="18"/>
  <c r="AV11" i="18" s="1"/>
  <c r="AK10" i="18"/>
  <c r="AD10" i="18"/>
  <c r="AC10" i="18"/>
  <c r="AB10" i="18"/>
  <c r="AA10" i="18"/>
  <c r="Z10" i="18"/>
  <c r="V10" i="18"/>
  <c r="W10" i="18" s="1"/>
  <c r="AX10" i="18" s="1"/>
  <c r="S10" i="18"/>
  <c r="R10" i="18"/>
  <c r="O10" i="18"/>
  <c r="M10" i="18" s="1"/>
  <c r="N10" i="18"/>
  <c r="I10" i="18"/>
  <c r="AV10" i="18" s="1"/>
  <c r="AK9" i="18"/>
  <c r="AD9" i="18"/>
  <c r="AC9" i="18"/>
  <c r="AB9" i="18"/>
  <c r="AA9" i="18"/>
  <c r="Z9" i="18"/>
  <c r="V9" i="18"/>
  <c r="W9" i="18" s="1"/>
  <c r="AX9" i="18" s="1"/>
  <c r="S9" i="18"/>
  <c r="T9" i="18" s="1"/>
  <c r="R9" i="18"/>
  <c r="O9" i="18"/>
  <c r="M9" i="18" s="1"/>
  <c r="P9" i="18" s="1"/>
  <c r="AW9" i="18" s="1"/>
  <c r="N9" i="18"/>
  <c r="I9" i="18"/>
  <c r="AV8" i="18"/>
  <c r="AK8" i="18"/>
  <c r="AD8" i="18"/>
  <c r="AC8" i="18"/>
  <c r="AB8" i="18"/>
  <c r="AA8" i="18"/>
  <c r="Z8" i="18"/>
  <c r="V8" i="18"/>
  <c r="W8" i="18" s="1"/>
  <c r="AX8" i="18" s="1"/>
  <c r="S8" i="18"/>
  <c r="R8" i="18"/>
  <c r="T8" i="18" s="1"/>
  <c r="O8" i="18"/>
  <c r="N8" i="18"/>
  <c r="M8" i="18"/>
  <c r="P8" i="18" s="1"/>
  <c r="AW8" i="18" s="1"/>
  <c r="I8" i="18"/>
  <c r="AK7" i="18"/>
  <c r="AD7" i="18"/>
  <c r="AC7" i="18"/>
  <c r="AB7" i="18"/>
  <c r="AA7" i="18"/>
  <c r="Z7" i="18"/>
  <c r="V7" i="18"/>
  <c r="W7" i="18" s="1"/>
  <c r="AX7" i="18" s="1"/>
  <c r="S7" i="18"/>
  <c r="O7" i="18"/>
  <c r="M7" i="18" s="1"/>
  <c r="N7" i="18"/>
  <c r="I7" i="18"/>
  <c r="AK6" i="18"/>
  <c r="AD6" i="18"/>
  <c r="AC6" i="18"/>
  <c r="AB6" i="18"/>
  <c r="AA6" i="18"/>
  <c r="Z6" i="18"/>
  <c r="AE6" i="18" s="1"/>
  <c r="AM6" i="18" s="1"/>
  <c r="W6" i="18"/>
  <c r="V6" i="18"/>
  <c r="O6" i="18"/>
  <c r="N6" i="18"/>
  <c r="M6" i="18"/>
  <c r="I6" i="18"/>
  <c r="AV6" i="18" s="1"/>
  <c r="AW384" i="18" l="1"/>
  <c r="S384" i="18"/>
  <c r="AW237" i="18"/>
  <c r="S237" i="18"/>
  <c r="AW345" i="18"/>
  <c r="S345" i="18"/>
  <c r="P12" i="18"/>
  <c r="AW12" i="18" s="1"/>
  <c r="P63" i="18"/>
  <c r="P113" i="18"/>
  <c r="P21" i="18"/>
  <c r="AW21" i="18" s="1"/>
  <c r="P116" i="18"/>
  <c r="AW116" i="18" s="1"/>
  <c r="P173" i="18"/>
  <c r="AW173" i="18" s="1"/>
  <c r="P204" i="18"/>
  <c r="AE29" i="18"/>
  <c r="AM29" i="18" s="1"/>
  <c r="AE40" i="18"/>
  <c r="AM40" i="18" s="1"/>
  <c r="P61" i="18"/>
  <c r="AW61" i="18" s="1"/>
  <c r="M80" i="18"/>
  <c r="P80" i="18" s="1"/>
  <c r="AE102" i="18"/>
  <c r="AM102" i="18" s="1"/>
  <c r="AA138" i="18"/>
  <c r="P167" i="18"/>
  <c r="S167" i="18" s="1"/>
  <c r="T167" i="18" s="1"/>
  <c r="AE174" i="18"/>
  <c r="AM174" i="18" s="1"/>
  <c r="P223" i="18"/>
  <c r="AW223" i="18" s="1"/>
  <c r="P224" i="18"/>
  <c r="AE228" i="18"/>
  <c r="AM228" i="18" s="1"/>
  <c r="P234" i="18"/>
  <c r="AW234" i="18" s="1"/>
  <c r="P235" i="18"/>
  <c r="Y235" i="18" s="1"/>
  <c r="P244" i="18"/>
  <c r="AW244" i="18" s="1"/>
  <c r="P245" i="18"/>
  <c r="P285" i="18"/>
  <c r="AW285" i="18" s="1"/>
  <c r="P325" i="18"/>
  <c r="P329" i="18"/>
  <c r="AW329" i="18" s="1"/>
  <c r="BC342" i="18"/>
  <c r="P346" i="18"/>
  <c r="AW346" i="18" s="1"/>
  <c r="P396" i="18"/>
  <c r="AW396" i="18" s="1"/>
  <c r="P420" i="18"/>
  <c r="AW420" i="18" s="1"/>
  <c r="P431" i="18"/>
  <c r="AW431" i="18" s="1"/>
  <c r="M74" i="18"/>
  <c r="P74" i="18" s="1"/>
  <c r="AW74" i="18" s="1"/>
  <c r="M122" i="18"/>
  <c r="P122" i="18" s="1"/>
  <c r="AW122" i="18" s="1"/>
  <c r="AE124" i="18"/>
  <c r="AM124" i="18" s="1"/>
  <c r="AE213" i="18"/>
  <c r="AM213" i="18" s="1"/>
  <c r="AE233" i="18"/>
  <c r="AM233" i="18" s="1"/>
  <c r="P297" i="18"/>
  <c r="P317" i="18"/>
  <c r="AW317" i="18" s="1"/>
  <c r="P356" i="18"/>
  <c r="AW356" i="18" s="1"/>
  <c r="P357" i="18"/>
  <c r="AW357" i="18" s="1"/>
  <c r="P383" i="18"/>
  <c r="AW383" i="18" s="1"/>
  <c r="P405" i="18"/>
  <c r="AW405" i="18" s="1"/>
  <c r="P406" i="18"/>
  <c r="AE170" i="18"/>
  <c r="AM170" i="18" s="1"/>
  <c r="P172" i="18"/>
  <c r="AW172" i="18" s="1"/>
  <c r="P108" i="18"/>
  <c r="AW108" i="18" s="1"/>
  <c r="P177" i="18"/>
  <c r="AW177" i="18" s="1"/>
  <c r="AE188" i="18"/>
  <c r="AM188" i="18" s="1"/>
  <c r="P197" i="18"/>
  <c r="AW197" i="18" s="1"/>
  <c r="AE205" i="18"/>
  <c r="AM205" i="18" s="1"/>
  <c r="P219" i="18"/>
  <c r="P225" i="18"/>
  <c r="S225" i="18" s="1"/>
  <c r="P231" i="18"/>
  <c r="AW231" i="18" s="1"/>
  <c r="P247" i="18"/>
  <c r="AW247" i="18" s="1"/>
  <c r="S361" i="18"/>
  <c r="P452" i="18"/>
  <c r="AW452" i="18" s="1"/>
  <c r="P127" i="18"/>
  <c r="P210" i="18"/>
  <c r="AE222" i="18"/>
  <c r="AM222" i="18" s="1"/>
  <c r="Y431" i="18"/>
  <c r="AN431" i="18" s="1"/>
  <c r="AA490" i="18"/>
  <c r="P25" i="18"/>
  <c r="AW25" i="18" s="1"/>
  <c r="AE23" i="18"/>
  <c r="AM23" i="18" s="1"/>
  <c r="M68" i="18"/>
  <c r="P68" i="18" s="1"/>
  <c r="AW68" i="18" s="1"/>
  <c r="AE107" i="18"/>
  <c r="AM107" i="18" s="1"/>
  <c r="P186" i="18"/>
  <c r="AW186" i="18" s="1"/>
  <c r="P199" i="18"/>
  <c r="S199" i="18" s="1"/>
  <c r="P17" i="18"/>
  <c r="AW17" i="18" s="1"/>
  <c r="AE22" i="18"/>
  <c r="AM22" i="18" s="1"/>
  <c r="P44" i="18"/>
  <c r="AE48" i="18"/>
  <c r="AM48" i="18" s="1"/>
  <c r="P52" i="18"/>
  <c r="AW52" i="18" s="1"/>
  <c r="P58" i="18"/>
  <c r="AW58" i="18" s="1"/>
  <c r="P60" i="18"/>
  <c r="AW60" i="18" s="1"/>
  <c r="M75" i="18"/>
  <c r="P75" i="18" s="1"/>
  <c r="AW75" i="18" s="1"/>
  <c r="AE95" i="18"/>
  <c r="AM95" i="18" s="1"/>
  <c r="P98" i="18"/>
  <c r="P107" i="18"/>
  <c r="AW107" i="18" s="1"/>
  <c r="BC107" i="18" s="1"/>
  <c r="AE117" i="18"/>
  <c r="AM117" i="18" s="1"/>
  <c r="AE167" i="18"/>
  <c r="AM167" i="18" s="1"/>
  <c r="P175" i="18"/>
  <c r="S175" i="18" s="1"/>
  <c r="AE180" i="18"/>
  <c r="AM180" i="18" s="1"/>
  <c r="P221" i="18"/>
  <c r="AW221" i="18" s="1"/>
  <c r="AE245" i="18"/>
  <c r="AM245" i="18" s="1"/>
  <c r="P248" i="18"/>
  <c r="AW248" i="18" s="1"/>
  <c r="S324" i="18"/>
  <c r="S433" i="18"/>
  <c r="P14" i="18"/>
  <c r="Y14" i="18" s="1"/>
  <c r="P57" i="18"/>
  <c r="AW57" i="18" s="1"/>
  <c r="P33" i="18"/>
  <c r="AW33" i="18" s="1"/>
  <c r="P174" i="18"/>
  <c r="P29" i="18"/>
  <c r="AW29" i="18" s="1"/>
  <c r="AE99" i="18"/>
  <c r="AM99" i="18" s="1"/>
  <c r="AC138" i="18"/>
  <c r="AE187" i="18"/>
  <c r="AM187" i="18" s="1"/>
  <c r="AE196" i="18"/>
  <c r="AM196" i="18" s="1"/>
  <c r="AE210" i="18"/>
  <c r="AM210" i="18" s="1"/>
  <c r="P212" i="18"/>
  <c r="AW212" i="18" s="1"/>
  <c r="P217" i="18"/>
  <c r="S217" i="18" s="1"/>
  <c r="P228" i="18"/>
  <c r="AE229" i="18"/>
  <c r="AM229" i="18" s="1"/>
  <c r="P233" i="18"/>
  <c r="AW233" i="18" s="1"/>
  <c r="AE236" i="18"/>
  <c r="AM236" i="18" s="1"/>
  <c r="P240" i="18"/>
  <c r="P301" i="18"/>
  <c r="AW301" i="18" s="1"/>
  <c r="P393" i="18"/>
  <c r="AW393" i="18" s="1"/>
  <c r="P7" i="18"/>
  <c r="AW7" i="18" s="1"/>
  <c r="P42" i="18"/>
  <c r="AW42" i="18" s="1"/>
  <c r="AE76" i="18"/>
  <c r="AM76" i="18" s="1"/>
  <c r="P97" i="18"/>
  <c r="AW97" i="18" s="1"/>
  <c r="P114" i="18"/>
  <c r="AE19" i="18"/>
  <c r="AM19" i="18" s="1"/>
  <c r="AE31" i="18"/>
  <c r="AM31" i="18" s="1"/>
  <c r="P34" i="18"/>
  <c r="AE59" i="18"/>
  <c r="AM59" i="18" s="1"/>
  <c r="AE104" i="18"/>
  <c r="AM104" i="18" s="1"/>
  <c r="M118" i="18"/>
  <c r="P118" i="18" s="1"/>
  <c r="AW118" i="18" s="1"/>
  <c r="AE127" i="18"/>
  <c r="AM127" i="18" s="1"/>
  <c r="Z138" i="18"/>
  <c r="AE166" i="18"/>
  <c r="AM166" i="18" s="1"/>
  <c r="AE172" i="18"/>
  <c r="AM172" i="18" s="1"/>
  <c r="AE209" i="18"/>
  <c r="AM209" i="18" s="1"/>
  <c r="AE219" i="18"/>
  <c r="AM219" i="18" s="1"/>
  <c r="P378" i="18"/>
  <c r="AW378" i="18" s="1"/>
  <c r="P465" i="18"/>
  <c r="AW465" i="18" s="1"/>
  <c r="P466" i="18"/>
  <c r="AW466" i="18" s="1"/>
  <c r="AW48" i="18"/>
  <c r="Y48" i="18"/>
  <c r="AN48" i="18" s="1"/>
  <c r="AW14" i="18"/>
  <c r="AW136" i="18"/>
  <c r="S136" i="18"/>
  <c r="AX15" i="18"/>
  <c r="Y15" i="18"/>
  <c r="AN15" i="18" s="1"/>
  <c r="P117" i="18"/>
  <c r="AE158" i="18"/>
  <c r="AM158" i="18" s="1"/>
  <c r="P194" i="18"/>
  <c r="AW422" i="18"/>
  <c r="S422" i="18"/>
  <c r="T422" i="18" s="1"/>
  <c r="AE14" i="18"/>
  <c r="AM14" i="18" s="1"/>
  <c r="AE20" i="18"/>
  <c r="AM20" i="18" s="1"/>
  <c r="P39" i="18"/>
  <c r="AE60" i="18"/>
  <c r="AM60" i="18" s="1"/>
  <c r="P64" i="18"/>
  <c r="P92" i="18"/>
  <c r="AE118" i="18"/>
  <c r="AM118" i="18" s="1"/>
  <c r="W144" i="18"/>
  <c r="AE203" i="18"/>
  <c r="AM203" i="18" s="1"/>
  <c r="Y205" i="18"/>
  <c r="AN205" i="18" s="1"/>
  <c r="AE224" i="18"/>
  <c r="AM224" i="18" s="1"/>
  <c r="AW246" i="18"/>
  <c r="S246" i="18"/>
  <c r="T246" i="18" s="1"/>
  <c r="AE11" i="18"/>
  <c r="AM11" i="18" s="1"/>
  <c r="AE13" i="18"/>
  <c r="AM13" i="18" s="1"/>
  <c r="P22" i="18"/>
  <c r="AW22" i="18" s="1"/>
  <c r="P55" i="18"/>
  <c r="AE68" i="18"/>
  <c r="AM68" i="18" s="1"/>
  <c r="AE75" i="18"/>
  <c r="AM75" i="18" s="1"/>
  <c r="N128" i="18"/>
  <c r="Y93" i="18"/>
  <c r="AN93" i="18" s="1"/>
  <c r="AE93" i="18"/>
  <c r="AM93" i="18" s="1"/>
  <c r="P100" i="18"/>
  <c r="AW100" i="18" s="1"/>
  <c r="M101" i="18"/>
  <c r="P101" i="18" s="1"/>
  <c r="AW101" i="18" s="1"/>
  <c r="M112" i="18"/>
  <c r="P112" i="18" s="1"/>
  <c r="AW161" i="18"/>
  <c r="S161" i="18"/>
  <c r="P162" i="18"/>
  <c r="AW320" i="18"/>
  <c r="S320" i="18"/>
  <c r="T320" i="18" s="1"/>
  <c r="AW330" i="18"/>
  <c r="S330" i="18"/>
  <c r="AE25" i="18"/>
  <c r="AM25" i="18" s="1"/>
  <c r="P40" i="18"/>
  <c r="AW40" i="18" s="1"/>
  <c r="P56" i="18"/>
  <c r="P62" i="18"/>
  <c r="AE77" i="18"/>
  <c r="AM77" i="18" s="1"/>
  <c r="P93" i="18"/>
  <c r="AW93" i="18" s="1"/>
  <c r="P106" i="18"/>
  <c r="Y106" i="18" s="1"/>
  <c r="AE109" i="18"/>
  <c r="AM109" i="18" s="1"/>
  <c r="AE110" i="18"/>
  <c r="AM110" i="18" s="1"/>
  <c r="AE125" i="18"/>
  <c r="AM125" i="18" s="1"/>
  <c r="AE144" i="18"/>
  <c r="AM144" i="18" s="1"/>
  <c r="P156" i="18"/>
  <c r="P163" i="18"/>
  <c r="S163" i="18" s="1"/>
  <c r="T163" i="18" s="1"/>
  <c r="AE173" i="18"/>
  <c r="AM173" i="18" s="1"/>
  <c r="P178" i="18"/>
  <c r="AE184" i="18"/>
  <c r="AM184" i="18" s="1"/>
  <c r="P209" i="18"/>
  <c r="S216" i="18"/>
  <c r="T216" i="18" s="1"/>
  <c r="AE221" i="18"/>
  <c r="AM221" i="18" s="1"/>
  <c r="P232" i="18"/>
  <c r="AE234" i="18"/>
  <c r="AM234" i="18" s="1"/>
  <c r="AW424" i="18"/>
  <c r="S424" i="18"/>
  <c r="AE17" i="18"/>
  <c r="AM17" i="18" s="1"/>
  <c r="AE37" i="18"/>
  <c r="AM37" i="18" s="1"/>
  <c r="AE57" i="18"/>
  <c r="AM57" i="18" s="1"/>
  <c r="AE58" i="18"/>
  <c r="AM58" i="18" s="1"/>
  <c r="AE66" i="18"/>
  <c r="AM66" i="18" s="1"/>
  <c r="AE73" i="18"/>
  <c r="AM73" i="18" s="1"/>
  <c r="AE81" i="18"/>
  <c r="AM81" i="18" s="1"/>
  <c r="AA128" i="18"/>
  <c r="AE122" i="18"/>
  <c r="AM122" i="18" s="1"/>
  <c r="T136" i="18"/>
  <c r="S196" i="18"/>
  <c r="AW196" i="18"/>
  <c r="AW242" i="18"/>
  <c r="Y242" i="18"/>
  <c r="AW408" i="18"/>
  <c r="BC408" i="18" s="1"/>
  <c r="S408" i="18"/>
  <c r="AE8" i="18"/>
  <c r="AM8" i="18" s="1"/>
  <c r="AE16" i="18"/>
  <c r="AM16" i="18" s="1"/>
  <c r="AE49" i="18"/>
  <c r="AM49" i="18" s="1"/>
  <c r="AE51" i="18"/>
  <c r="AM51" i="18" s="1"/>
  <c r="AE74" i="18"/>
  <c r="AM74" i="18" s="1"/>
  <c r="M103" i="18"/>
  <c r="P103" i="18" s="1"/>
  <c r="AW103" i="18" s="1"/>
  <c r="AE115" i="18"/>
  <c r="AM115" i="18" s="1"/>
  <c r="AE116" i="18"/>
  <c r="AM116" i="18" s="1"/>
  <c r="P158" i="18"/>
  <c r="AW158" i="18" s="1"/>
  <c r="P165" i="18"/>
  <c r="AW165" i="18" s="1"/>
  <c r="P192" i="18"/>
  <c r="S221" i="18"/>
  <c r="T221" i="18" s="1"/>
  <c r="P229" i="18"/>
  <c r="AW229" i="18" s="1"/>
  <c r="AE33" i="18"/>
  <c r="AM33" i="18" s="1"/>
  <c r="Y38" i="18"/>
  <c r="AE50" i="18"/>
  <c r="AM50" i="18" s="1"/>
  <c r="P54" i="18"/>
  <c r="AE70" i="18"/>
  <c r="AM70" i="18" s="1"/>
  <c r="Y102" i="18"/>
  <c r="AN102" i="18" s="1"/>
  <c r="AE121" i="18"/>
  <c r="AM121" i="18" s="1"/>
  <c r="AE185" i="18"/>
  <c r="AM185" i="18" s="1"/>
  <c r="P203" i="18"/>
  <c r="AE7" i="18"/>
  <c r="AM7" i="18" s="1"/>
  <c r="P10" i="18"/>
  <c r="P20" i="18"/>
  <c r="AW20" i="18" s="1"/>
  <c r="AE36" i="18"/>
  <c r="AM36" i="18" s="1"/>
  <c r="AE42" i="18"/>
  <c r="AM42" i="18" s="1"/>
  <c r="AE44" i="18"/>
  <c r="AM44" i="18" s="1"/>
  <c r="M73" i="18"/>
  <c r="P73" i="18" s="1"/>
  <c r="AW73" i="18" s="1"/>
  <c r="M81" i="18"/>
  <c r="P81" i="18" s="1"/>
  <c r="AW81" i="18" s="1"/>
  <c r="M94" i="18"/>
  <c r="P94" i="18" s="1"/>
  <c r="AW94" i="18" s="1"/>
  <c r="AE108" i="18"/>
  <c r="AM108" i="18" s="1"/>
  <c r="M119" i="18"/>
  <c r="P119" i="18" s="1"/>
  <c r="M123" i="18"/>
  <c r="P123" i="18" s="1"/>
  <c r="AW123" i="18" s="1"/>
  <c r="M125" i="18"/>
  <c r="P125" i="18" s="1"/>
  <c r="Y136" i="18"/>
  <c r="AN136" i="18" s="1"/>
  <c r="AE157" i="18"/>
  <c r="AM157" i="18" s="1"/>
  <c r="P160" i="18"/>
  <c r="P166" i="18"/>
  <c r="P168" i="18"/>
  <c r="P180" i="18"/>
  <c r="AE186" i="18"/>
  <c r="AM186" i="18" s="1"/>
  <c r="P198" i="18"/>
  <c r="P220" i="18"/>
  <c r="S220" i="18" s="1"/>
  <c r="T220" i="18" s="1"/>
  <c r="AE223" i="18"/>
  <c r="AM223" i="18" s="1"/>
  <c r="P238" i="18"/>
  <c r="AW238" i="18" s="1"/>
  <c r="AE165" i="18"/>
  <c r="AM165" i="18" s="1"/>
  <c r="AE169" i="18"/>
  <c r="AM169" i="18" s="1"/>
  <c r="Y174" i="18"/>
  <c r="AN174" i="18" s="1"/>
  <c r="AE232" i="18"/>
  <c r="AM232" i="18" s="1"/>
  <c r="AE238" i="18"/>
  <c r="AM238" i="18" s="1"/>
  <c r="AE243" i="18"/>
  <c r="AM243" i="18" s="1"/>
  <c r="N280" i="18"/>
  <c r="W280" i="18"/>
  <c r="P296" i="18"/>
  <c r="AW296" i="18" s="1"/>
  <c r="P319" i="18"/>
  <c r="AW319" i="18" s="1"/>
  <c r="P322" i="18"/>
  <c r="AW322" i="18" s="1"/>
  <c r="Y323" i="18"/>
  <c r="AN323" i="18" s="1"/>
  <c r="S357" i="18"/>
  <c r="T357" i="18" s="1"/>
  <c r="P371" i="18"/>
  <c r="S371" i="18" s="1"/>
  <c r="S431" i="18"/>
  <c r="P441" i="18"/>
  <c r="AW441" i="18" s="1"/>
  <c r="P457" i="18"/>
  <c r="P462" i="18"/>
  <c r="O280" i="18"/>
  <c r="Y302" i="18"/>
  <c r="AN302" i="18" s="1"/>
  <c r="Y378" i="18"/>
  <c r="AN378" i="18" s="1"/>
  <c r="P414" i="18"/>
  <c r="AW414" i="18" s="1"/>
  <c r="P419" i="18"/>
  <c r="AW419" i="18" s="1"/>
  <c r="BC422" i="18"/>
  <c r="P444" i="18"/>
  <c r="AW444" i="18" s="1"/>
  <c r="P293" i="18"/>
  <c r="AW293" i="18" s="1"/>
  <c r="P294" i="18"/>
  <c r="P303" i="18"/>
  <c r="AW303" i="18" s="1"/>
  <c r="T328" i="18"/>
  <c r="P359" i="18"/>
  <c r="AW359" i="18" s="1"/>
  <c r="P374" i="18"/>
  <c r="Y380" i="18"/>
  <c r="AN380" i="18" s="1"/>
  <c r="P415" i="18"/>
  <c r="Y416" i="18"/>
  <c r="AN416" i="18" s="1"/>
  <c r="AW416" i="18"/>
  <c r="Y420" i="18"/>
  <c r="AN420" i="18" s="1"/>
  <c r="S427" i="18"/>
  <c r="T427" i="18" s="1"/>
  <c r="Y287" i="18"/>
  <c r="AN287" i="18" s="1"/>
  <c r="Y299" i="18"/>
  <c r="AN299" i="18" s="1"/>
  <c r="P309" i="18"/>
  <c r="S328" i="18"/>
  <c r="P354" i="18"/>
  <c r="AW354" i="18" s="1"/>
  <c r="P367" i="18"/>
  <c r="AW367" i="18" s="1"/>
  <c r="P368" i="18"/>
  <c r="AW368" i="18" s="1"/>
  <c r="P376" i="18"/>
  <c r="S378" i="18"/>
  <c r="P386" i="18"/>
  <c r="AW386" i="18" s="1"/>
  <c r="Y390" i="18"/>
  <c r="AN390" i="18" s="1"/>
  <c r="AW446" i="18"/>
  <c r="S456" i="18"/>
  <c r="Y411" i="18"/>
  <c r="AN411" i="18" s="1"/>
  <c r="S428" i="18"/>
  <c r="AX431" i="18"/>
  <c r="Z481" i="18"/>
  <c r="AB490" i="18"/>
  <c r="AE189" i="18"/>
  <c r="AM189" i="18" s="1"/>
  <c r="AE206" i="18"/>
  <c r="AM206" i="18" s="1"/>
  <c r="AE226" i="18"/>
  <c r="AM226" i="18" s="1"/>
  <c r="P243" i="18"/>
  <c r="AW243" i="18" s="1"/>
  <c r="Y307" i="18"/>
  <c r="AN307" i="18" s="1"/>
  <c r="T408" i="18"/>
  <c r="Y464" i="18"/>
  <c r="AN464" i="18" s="1"/>
  <c r="AB481" i="18"/>
  <c r="N490" i="18"/>
  <c r="AC490" i="18"/>
  <c r="AE162" i="18"/>
  <c r="AM162" i="18" s="1"/>
  <c r="AE171" i="18"/>
  <c r="AM171" i="18" s="1"/>
  <c r="AE202" i="18"/>
  <c r="AM202" i="18" s="1"/>
  <c r="AE235" i="18"/>
  <c r="AM235" i="18" s="1"/>
  <c r="AC280" i="18"/>
  <c r="Y279" i="18"/>
  <c r="AN279" i="18" s="1"/>
  <c r="P300" i="18"/>
  <c r="AW300" i="18" s="1"/>
  <c r="AW302" i="18"/>
  <c r="P306" i="18"/>
  <c r="AW306" i="18" s="1"/>
  <c r="S323" i="18"/>
  <c r="T323" i="18" s="1"/>
  <c r="BD342" i="18"/>
  <c r="P349" i="18"/>
  <c r="Y373" i="18"/>
  <c r="AN373" i="18" s="1"/>
  <c r="P379" i="18"/>
  <c r="AW379" i="18" s="1"/>
  <c r="S391" i="18"/>
  <c r="Y395" i="18"/>
  <c r="AN395" i="18" s="1"/>
  <c r="P417" i="18"/>
  <c r="AW417" i="18" s="1"/>
  <c r="Y460" i="18"/>
  <c r="AN460" i="18" s="1"/>
  <c r="AC481" i="18"/>
  <c r="O490" i="18"/>
  <c r="AD490" i="18"/>
  <c r="AE160" i="18"/>
  <c r="AM160" i="18" s="1"/>
  <c r="AE164" i="18"/>
  <c r="AM164" i="18" s="1"/>
  <c r="AE168" i="18"/>
  <c r="AM168" i="18" s="1"/>
  <c r="AE178" i="18"/>
  <c r="AM178" i="18" s="1"/>
  <c r="AE194" i="18"/>
  <c r="AM194" i="18" s="1"/>
  <c r="AE204" i="18"/>
  <c r="AM204" i="18" s="1"/>
  <c r="S223" i="18"/>
  <c r="AE231" i="18"/>
  <c r="AM231" i="18" s="1"/>
  <c r="S242" i="18"/>
  <c r="AD280" i="18"/>
  <c r="V280" i="18"/>
  <c r="P291" i="18"/>
  <c r="AW291" i="18" s="1"/>
  <c r="P341" i="18"/>
  <c r="AW341" i="18" s="1"/>
  <c r="S395" i="18"/>
  <c r="S420" i="18"/>
  <c r="T420" i="18" s="1"/>
  <c r="T431" i="18"/>
  <c r="P442" i="18"/>
  <c r="AW442" i="18" s="1"/>
  <c r="P443" i="18"/>
  <c r="AI215" i="18"/>
  <c r="AK215" i="18" s="1"/>
  <c r="AI195" i="18"/>
  <c r="AK195" i="18" s="1"/>
  <c r="AI208" i="18"/>
  <c r="AK208" i="18" s="1"/>
  <c r="AI179" i="18"/>
  <c r="AK179" i="18" s="1"/>
  <c r="AI161" i="18"/>
  <c r="AK161" i="18" s="1"/>
  <c r="AI182" i="18"/>
  <c r="AK182" i="18" s="1"/>
  <c r="AI171" i="18"/>
  <c r="AK171" i="18" s="1"/>
  <c r="AI210" i="18"/>
  <c r="AK210" i="18" s="1"/>
  <c r="AI168" i="18"/>
  <c r="AK168" i="18" s="1"/>
  <c r="AI183" i="18"/>
  <c r="AK183" i="18" s="1"/>
  <c r="AI177" i="18"/>
  <c r="AK177" i="18" s="1"/>
  <c r="AI170" i="18"/>
  <c r="AK170" i="18" s="1"/>
  <c r="AI211" i="18"/>
  <c r="AK211" i="18" s="1"/>
  <c r="AI214" i="18"/>
  <c r="AK214" i="18" s="1"/>
  <c r="AI191" i="18"/>
  <c r="AK191" i="18" s="1"/>
  <c r="AI217" i="18"/>
  <c r="AK217" i="18" s="1"/>
  <c r="AI224" i="18"/>
  <c r="AK224" i="18" s="1"/>
  <c r="AI173" i="18"/>
  <c r="AK173" i="18" s="1"/>
  <c r="AI187" i="18"/>
  <c r="AK187" i="18" s="1"/>
  <c r="AI213" i="18"/>
  <c r="AK213" i="18" s="1"/>
  <c r="AI221" i="18"/>
  <c r="AK221" i="18" s="1"/>
  <c r="AI225" i="18"/>
  <c r="AK225" i="18" s="1"/>
  <c r="AI169" i="18"/>
  <c r="AK169" i="18" s="1"/>
  <c r="AI194" i="18"/>
  <c r="AK194" i="18" s="1"/>
  <c r="AI219" i="18"/>
  <c r="AK219" i="18" s="1"/>
  <c r="AI159" i="18"/>
  <c r="AK159" i="18" s="1"/>
  <c r="AI166" i="18"/>
  <c r="AK166" i="18" s="1"/>
  <c r="AI199" i="18"/>
  <c r="AK199" i="18" s="1"/>
  <c r="AI212" i="18"/>
  <c r="AK212" i="18" s="1"/>
  <c r="AI207" i="18"/>
  <c r="AK207" i="18" s="1"/>
  <c r="AI197" i="18"/>
  <c r="AK197" i="18" s="1"/>
  <c r="AI175" i="18"/>
  <c r="AK175" i="18" s="1"/>
  <c r="AI198" i="18"/>
  <c r="AK198" i="18" s="1"/>
  <c r="AI204" i="18"/>
  <c r="AK204" i="18" s="1"/>
  <c r="AI206" i="18"/>
  <c r="AK206" i="18" s="1"/>
  <c r="AI228" i="18"/>
  <c r="AK228" i="18" s="1"/>
  <c r="AI164" i="18"/>
  <c r="AK164" i="18" s="1"/>
  <c r="AI158" i="18"/>
  <c r="AK158" i="18" s="1"/>
  <c r="AI203" i="18"/>
  <c r="AK203" i="18" s="1"/>
  <c r="AI205" i="18"/>
  <c r="AK205" i="18" s="1"/>
  <c r="AI162" i="18"/>
  <c r="AK162" i="18" s="1"/>
  <c r="AI201" i="18"/>
  <c r="AK201" i="18" s="1"/>
  <c r="AI223" i="18"/>
  <c r="AK223" i="18" s="1"/>
  <c r="AI200" i="18"/>
  <c r="AK200" i="18" s="1"/>
  <c r="AI174" i="18"/>
  <c r="AK174" i="18" s="1"/>
  <c r="AI180" i="18"/>
  <c r="AK180" i="18" s="1"/>
  <c r="AI184" i="18"/>
  <c r="AK184" i="18" s="1"/>
  <c r="AI181" i="18"/>
  <c r="AK181" i="18" s="1"/>
  <c r="AI202" i="18"/>
  <c r="AK202" i="18" s="1"/>
  <c r="AI232" i="18"/>
  <c r="AK232" i="18" s="1"/>
  <c r="AI176" i="18"/>
  <c r="AK176" i="18" s="1"/>
  <c r="AI185" i="18"/>
  <c r="AK185" i="18" s="1"/>
  <c r="AI163" i="18"/>
  <c r="AK163" i="18" s="1"/>
  <c r="AI209" i="18"/>
  <c r="AK209" i="18" s="1"/>
  <c r="AI220" i="18"/>
  <c r="AK220" i="18" s="1"/>
  <c r="AI226" i="18"/>
  <c r="AK226" i="18" s="1"/>
  <c r="AI172" i="18"/>
  <c r="AK172" i="18" s="1"/>
  <c r="AI178" i="18"/>
  <c r="AK178" i="18" s="1"/>
  <c r="AI186" i="18"/>
  <c r="AK186" i="18" s="1"/>
  <c r="AI167" i="18"/>
  <c r="AK167" i="18" s="1"/>
  <c r="AI192" i="18"/>
  <c r="AK192" i="18" s="1"/>
  <c r="AI188" i="18"/>
  <c r="AK188" i="18" s="1"/>
  <c r="AI157" i="18"/>
  <c r="AK157" i="18" s="1"/>
  <c r="AI189" i="18"/>
  <c r="AK189" i="18" s="1"/>
  <c r="AI216" i="18"/>
  <c r="AK216" i="18" s="1"/>
  <c r="AI196" i="18"/>
  <c r="AK196" i="18" s="1"/>
  <c r="AI222" i="18"/>
  <c r="AK222" i="18" s="1"/>
  <c r="AI234" i="18"/>
  <c r="AK234" i="18" s="1"/>
  <c r="AI233" i="18"/>
  <c r="AK233" i="18" s="1"/>
  <c r="AI231" i="18"/>
  <c r="AK231" i="18" s="1"/>
  <c r="AI236" i="18"/>
  <c r="AK236" i="18" s="1"/>
  <c r="AI238" i="18"/>
  <c r="AK238" i="18" s="1"/>
  <c r="AI235" i="18"/>
  <c r="AK235" i="18" s="1"/>
  <c r="AI229" i="18"/>
  <c r="AK229" i="18" s="1"/>
  <c r="AI160" i="18"/>
  <c r="AK160" i="18" s="1"/>
  <c r="AI237" i="18"/>
  <c r="AK237" i="18" s="1"/>
  <c r="AI240" i="18"/>
  <c r="AK240" i="18" s="1"/>
  <c r="AI244" i="18"/>
  <c r="AK244" i="18" s="1"/>
  <c r="AI242" i="18"/>
  <c r="AK242" i="18" s="1"/>
  <c r="AI246" i="18"/>
  <c r="AK246" i="18" s="1"/>
  <c r="AI245" i="18"/>
  <c r="AK245" i="18" s="1"/>
  <c r="AI241" i="18"/>
  <c r="AK241" i="18" s="1"/>
  <c r="AI165" i="18"/>
  <c r="AK165" i="18" s="1"/>
  <c r="AI247" i="18"/>
  <c r="AK247" i="18" s="1"/>
  <c r="AI243" i="18"/>
  <c r="AK243" i="18" s="1"/>
  <c r="AI193" i="18"/>
  <c r="AK193" i="18" s="1"/>
  <c r="AI248" i="18"/>
  <c r="AK248" i="18" s="1"/>
  <c r="BB6" i="18"/>
  <c r="BA6" i="18"/>
  <c r="AZ6" i="18"/>
  <c r="AX65" i="18"/>
  <c r="Y65" i="18"/>
  <c r="AN65" i="18" s="1"/>
  <c r="AX36" i="18"/>
  <c r="Y36" i="18"/>
  <c r="AN36" i="18" s="1"/>
  <c r="W84" i="18"/>
  <c r="AX6" i="18"/>
  <c r="AZ42" i="18"/>
  <c r="BA42" i="18"/>
  <c r="BB42" i="18"/>
  <c r="BC42" i="18"/>
  <c r="AW46" i="18"/>
  <c r="BC46" i="18" s="1"/>
  <c r="Y46" i="18"/>
  <c r="AX17" i="18"/>
  <c r="BB28" i="18"/>
  <c r="BA28" i="18"/>
  <c r="AZ28" i="18"/>
  <c r="Y41" i="18"/>
  <c r="R41" i="18"/>
  <c r="S41" i="18"/>
  <c r="AV41" i="18"/>
  <c r="BB66" i="18"/>
  <c r="BA66" i="18"/>
  <c r="AZ66" i="18"/>
  <c r="P91" i="18"/>
  <c r="AW92" i="18"/>
  <c r="Y92" i="18"/>
  <c r="Y21" i="18"/>
  <c r="AN21" i="18" s="1"/>
  <c r="R21" i="18"/>
  <c r="AV21" i="18"/>
  <c r="S21" i="18"/>
  <c r="P28" i="18"/>
  <c r="AE41" i="18"/>
  <c r="AM41" i="18" s="1"/>
  <c r="S57" i="18"/>
  <c r="R57" i="18"/>
  <c r="T57" i="18" s="1"/>
  <c r="Y57" i="18"/>
  <c r="AN57" i="18" s="1"/>
  <c r="AV57" i="18"/>
  <c r="BB58" i="18"/>
  <c r="BA58" i="18"/>
  <c r="BC58" i="18" s="1"/>
  <c r="AZ58" i="18"/>
  <c r="AW182" i="18"/>
  <c r="S182" i="18"/>
  <c r="T182" i="18" s="1"/>
  <c r="AE10" i="18"/>
  <c r="AM10" i="18" s="1"/>
  <c r="AZ32" i="18"/>
  <c r="BC32" i="18" s="1"/>
  <c r="BA32" i="18"/>
  <c r="S81" i="18"/>
  <c r="R81" i="18"/>
  <c r="T81" i="18" s="1"/>
  <c r="AV81" i="18"/>
  <c r="Y81" i="18"/>
  <c r="AN81" i="18" s="1"/>
  <c r="BB98" i="18"/>
  <c r="BA98" i="18"/>
  <c r="AZ98" i="18"/>
  <c r="AW106" i="18"/>
  <c r="AW125" i="18"/>
  <c r="Y125" i="18"/>
  <c r="AN125" i="18" s="1"/>
  <c r="R6" i="18"/>
  <c r="T6" i="18" s="1"/>
  <c r="I84" i="18"/>
  <c r="S6" i="18"/>
  <c r="BA10" i="18"/>
  <c r="AZ10" i="18"/>
  <c r="BB10" i="18"/>
  <c r="BB49" i="18"/>
  <c r="BA49" i="18"/>
  <c r="AZ49" i="18"/>
  <c r="AW55" i="18"/>
  <c r="BC55" i="18" s="1"/>
  <c r="Y55" i="18"/>
  <c r="Y95" i="18"/>
  <c r="AN95" i="18" s="1"/>
  <c r="S95" i="18"/>
  <c r="R95" i="18"/>
  <c r="AV95" i="18"/>
  <c r="AZ100" i="18"/>
  <c r="BC100" i="18" s="1"/>
  <c r="BA100" i="18"/>
  <c r="BB100" i="18"/>
  <c r="BA205" i="18"/>
  <c r="BB205" i="18"/>
  <c r="AZ205" i="18"/>
  <c r="BC205" i="18" s="1"/>
  <c r="BB73" i="18"/>
  <c r="BA73" i="18"/>
  <c r="AZ73" i="18"/>
  <c r="BC73" i="18" s="1"/>
  <c r="BB37" i="18"/>
  <c r="BA37" i="18"/>
  <c r="AZ37" i="18"/>
  <c r="AW39" i="18"/>
  <c r="Y39" i="18"/>
  <c r="AN39" i="18" s="1"/>
  <c r="T60" i="18"/>
  <c r="Y72" i="18"/>
  <c r="AW72" i="18"/>
  <c r="V84" i="18"/>
  <c r="AM84" i="18"/>
  <c r="BB18" i="18"/>
  <c r="BA18" i="18"/>
  <c r="BC18" i="18" s="1"/>
  <c r="AZ18" i="18"/>
  <c r="AW34" i="18"/>
  <c r="BC34" i="18" s="1"/>
  <c r="Y34" i="18"/>
  <c r="R58" i="18"/>
  <c r="S58" i="18"/>
  <c r="Y58" i="18"/>
  <c r="AN58" i="18" s="1"/>
  <c r="Y64" i="18"/>
  <c r="AW64" i="18"/>
  <c r="AE91" i="18"/>
  <c r="AM91" i="18" s="1"/>
  <c r="S97" i="18"/>
  <c r="AV97" i="18"/>
  <c r="R97" i="18"/>
  <c r="Y97" i="18"/>
  <c r="AW98" i="18"/>
  <c r="BC98" i="18" s="1"/>
  <c r="Y98" i="18"/>
  <c r="AN98" i="18" s="1"/>
  <c r="AE100" i="18"/>
  <c r="AM100" i="18" s="1"/>
  <c r="Y107" i="18"/>
  <c r="AN107" i="18" s="1"/>
  <c r="AE113" i="18"/>
  <c r="AM113" i="18" s="1"/>
  <c r="AW119" i="18"/>
  <c r="Y119" i="18"/>
  <c r="AN119" i="18" s="1"/>
  <c r="W471" i="18"/>
  <c r="AX156" i="18"/>
  <c r="Y156" i="18"/>
  <c r="Y164" i="18"/>
  <c r="AN164" i="18" s="1"/>
  <c r="R164" i="18"/>
  <c r="S164" i="18"/>
  <c r="AV164" i="18"/>
  <c r="AW201" i="18"/>
  <c r="Y201" i="18"/>
  <c r="Y209" i="18"/>
  <c r="AN209" i="18" s="1"/>
  <c r="S209" i="18"/>
  <c r="T209" i="18" s="1"/>
  <c r="AW209" i="18"/>
  <c r="AW127" i="18"/>
  <c r="BC127" i="18" s="1"/>
  <c r="Y127" i="18"/>
  <c r="AN127" i="18" s="1"/>
  <c r="M135" i="18"/>
  <c r="P135" i="18" s="1"/>
  <c r="O138" i="18"/>
  <c r="AW120" i="18"/>
  <c r="Y120" i="18"/>
  <c r="AX172" i="18"/>
  <c r="Y172" i="18"/>
  <c r="AN172" i="18" s="1"/>
  <c r="Y177" i="18"/>
  <c r="AW184" i="18"/>
  <c r="BC184" i="18" s="1"/>
  <c r="S184" i="18"/>
  <c r="Y184" i="18"/>
  <c r="AN184" i="18" s="1"/>
  <c r="AW198" i="18"/>
  <c r="S198" i="18"/>
  <c r="T198" i="18" s="1"/>
  <c r="BA135" i="18"/>
  <c r="AZ135" i="18"/>
  <c r="BB135" i="18"/>
  <c r="P159" i="18"/>
  <c r="AW159" i="18" s="1"/>
  <c r="Y183" i="18"/>
  <c r="AW183" i="18"/>
  <c r="BC183" i="18" s="1"/>
  <c r="BD216" i="18"/>
  <c r="BE216" i="18" s="1"/>
  <c r="AO216" i="18" s="1"/>
  <c r="P6" i="18"/>
  <c r="Y7" i="18"/>
  <c r="AN7" i="18" s="1"/>
  <c r="R7" i="18"/>
  <c r="T7" i="18" s="1"/>
  <c r="AV7" i="18"/>
  <c r="AZ8" i="18"/>
  <c r="BA8" i="18"/>
  <c r="BC8" i="18" s="1"/>
  <c r="BB8" i="18"/>
  <c r="AW10" i="18"/>
  <c r="BC10" i="18" s="1"/>
  <c r="Y10" i="18"/>
  <c r="BA11" i="18"/>
  <c r="AZ11" i="18"/>
  <c r="BB54" i="18"/>
  <c r="BA54" i="18"/>
  <c r="AZ54" i="18"/>
  <c r="BC75" i="18"/>
  <c r="Y160" i="18"/>
  <c r="AN160" i="18" s="1"/>
  <c r="S160" i="18"/>
  <c r="T160" i="18" s="1"/>
  <c r="AW160" i="18"/>
  <c r="Y185" i="18"/>
  <c r="N84" i="18"/>
  <c r="AE12" i="18"/>
  <c r="AM12" i="18" s="1"/>
  <c r="BB13" i="18"/>
  <c r="BA13" i="18"/>
  <c r="AZ13" i="18"/>
  <c r="BC26" i="18"/>
  <c r="BA31" i="18"/>
  <c r="AZ31" i="18"/>
  <c r="BC31" i="18" s="1"/>
  <c r="BB31" i="18"/>
  <c r="Y56" i="18"/>
  <c r="AW56" i="18"/>
  <c r="S183" i="18"/>
  <c r="T183" i="18" s="1"/>
  <c r="AW193" i="18"/>
  <c r="BC193" i="18" s="1"/>
  <c r="Y193" i="18"/>
  <c r="P11" i="18"/>
  <c r="BB11" i="18"/>
  <c r="Y24" i="18"/>
  <c r="S24" i="18"/>
  <c r="R24" i="18"/>
  <c r="AV24" i="18"/>
  <c r="AW54" i="18"/>
  <c r="BC54" i="18" s="1"/>
  <c r="Y54" i="18"/>
  <c r="BB62" i="18"/>
  <c r="AZ62" i="18"/>
  <c r="AW63" i="18"/>
  <c r="BC63" i="18" s="1"/>
  <c r="Y63" i="18"/>
  <c r="Y100" i="18"/>
  <c r="AV117" i="18"/>
  <c r="R117" i="18"/>
  <c r="S117" i="18"/>
  <c r="AW174" i="18"/>
  <c r="S174" i="18"/>
  <c r="T174" i="18" s="1"/>
  <c r="P27" i="18"/>
  <c r="AE28" i="18"/>
  <c r="AM28" i="18" s="1"/>
  <c r="T34" i="18"/>
  <c r="T36" i="18"/>
  <c r="R40" i="18"/>
  <c r="S40" i="18"/>
  <c r="AV40" i="18"/>
  <c r="Y45" i="18"/>
  <c r="AW45" i="18"/>
  <c r="BC45" i="18" s="1"/>
  <c r="T48" i="18"/>
  <c r="Y61" i="18"/>
  <c r="AE62" i="18"/>
  <c r="AM62" i="18" s="1"/>
  <c r="S73" i="18"/>
  <c r="R73" i="18"/>
  <c r="T73" i="18" s="1"/>
  <c r="R74" i="18"/>
  <c r="T74" i="18" s="1"/>
  <c r="S74" i="18"/>
  <c r="Y74" i="18"/>
  <c r="AN74" i="18" s="1"/>
  <c r="AW78" i="18"/>
  <c r="BC78" i="18" s="1"/>
  <c r="Y78" i="18"/>
  <c r="AE90" i="18"/>
  <c r="Z128" i="18"/>
  <c r="BB102" i="18"/>
  <c r="AZ102" i="18"/>
  <c r="BC102" i="18" s="1"/>
  <c r="BA102" i="18"/>
  <c r="S168" i="18"/>
  <c r="T168" i="18" s="1"/>
  <c r="AW168" i="18"/>
  <c r="BC168" i="18" s="1"/>
  <c r="Y168" i="18"/>
  <c r="AN168" i="18" s="1"/>
  <c r="BB209" i="18"/>
  <c r="BA209" i="18"/>
  <c r="AZ209" i="18"/>
  <c r="BC209" i="18" s="1"/>
  <c r="AW210" i="18"/>
  <c r="Y210" i="18"/>
  <c r="AN210" i="18" s="1"/>
  <c r="P200" i="18"/>
  <c r="Y9" i="18"/>
  <c r="P13" i="18"/>
  <c r="Y22" i="18"/>
  <c r="AN22" i="18" s="1"/>
  <c r="AE24" i="18"/>
  <c r="AM24" i="18" s="1"/>
  <c r="Y31" i="18"/>
  <c r="AN31" i="18" s="1"/>
  <c r="R31" i="18"/>
  <c r="S31" i="18"/>
  <c r="Y32" i="18"/>
  <c r="S32" i="18"/>
  <c r="R32" i="18"/>
  <c r="AW62" i="18"/>
  <c r="Y62" i="18"/>
  <c r="AN62" i="18" s="1"/>
  <c r="BB65" i="18"/>
  <c r="BA65" i="18"/>
  <c r="AZ65" i="18"/>
  <c r="BB70" i="18"/>
  <c r="AW80" i="18"/>
  <c r="Y80" i="18"/>
  <c r="AW110" i="18"/>
  <c r="Y110" i="18"/>
  <c r="AN110" i="18" s="1"/>
  <c r="AW113" i="18"/>
  <c r="Y113" i="18"/>
  <c r="Y115" i="18"/>
  <c r="AN115" i="18" s="1"/>
  <c r="R244" i="18"/>
  <c r="S244" i="18"/>
  <c r="AV244" i="18"/>
  <c r="Y244" i="18"/>
  <c r="AN244" i="18" s="1"/>
  <c r="AD84" i="18"/>
  <c r="Y8" i="18"/>
  <c r="AN8" i="18" s="1"/>
  <c r="AE9" i="18"/>
  <c r="AM9" i="18" s="1"/>
  <c r="P16" i="18"/>
  <c r="Y16" i="18" s="1"/>
  <c r="AE27" i="18"/>
  <c r="AM27" i="18" s="1"/>
  <c r="AE32" i="18"/>
  <c r="AM32" i="18" s="1"/>
  <c r="S37" i="18"/>
  <c r="R37" i="18"/>
  <c r="T37" i="18" s="1"/>
  <c r="T42" i="18"/>
  <c r="BB44" i="18"/>
  <c r="BA44" i="18"/>
  <c r="AZ44" i="18"/>
  <c r="AE45" i="18"/>
  <c r="AM45" i="18" s="1"/>
  <c r="S49" i="18"/>
  <c r="R49" i="18"/>
  <c r="Y53" i="18"/>
  <c r="AE54" i="18"/>
  <c r="AM54" i="18" s="1"/>
  <c r="S65" i="18"/>
  <c r="R65" i="18"/>
  <c r="T65" i="18" s="1"/>
  <c r="R66" i="18"/>
  <c r="T66" i="18" s="1"/>
  <c r="S66" i="18"/>
  <c r="AV74" i="18"/>
  <c r="BB78" i="18"/>
  <c r="BA93" i="18"/>
  <c r="AZ93" i="18"/>
  <c r="BB93" i="18"/>
  <c r="M99" i="18"/>
  <c r="P99" i="18" s="1"/>
  <c r="S99" i="18"/>
  <c r="AV112" i="18"/>
  <c r="R112" i="18"/>
  <c r="S112" i="18"/>
  <c r="Y121" i="18"/>
  <c r="AN121" i="18" s="1"/>
  <c r="M124" i="18"/>
  <c r="P126" i="18"/>
  <c r="S171" i="18"/>
  <c r="T171" i="18" s="1"/>
  <c r="T10" i="18"/>
  <c r="S18" i="18"/>
  <c r="R18" i="18"/>
  <c r="Y18" i="18"/>
  <c r="AN18" i="18" s="1"/>
  <c r="AN23" i="18"/>
  <c r="AP23" i="18" s="1"/>
  <c r="AQ23" i="18" s="1"/>
  <c r="AR23" i="18" s="1"/>
  <c r="BA27" i="18"/>
  <c r="AZ27" i="18"/>
  <c r="BB27" i="18"/>
  <c r="P37" i="18"/>
  <c r="AW37" i="18" s="1"/>
  <c r="BC37" i="18" s="1"/>
  <c r="Y40" i="18"/>
  <c r="AN40" i="18" s="1"/>
  <c r="P49" i="18"/>
  <c r="AW49" i="18" s="1"/>
  <c r="BC49" i="18" s="1"/>
  <c r="P66" i="18"/>
  <c r="AW66" i="18" s="1"/>
  <c r="BC66" i="18" s="1"/>
  <c r="Y73" i="18"/>
  <c r="AN73" i="18" s="1"/>
  <c r="W128" i="18"/>
  <c r="AX90" i="18"/>
  <c r="AE97" i="18"/>
  <c r="AM97" i="18" s="1"/>
  <c r="P105" i="18"/>
  <c r="AW105" i="18" s="1"/>
  <c r="BB110" i="18"/>
  <c r="BA110" i="18"/>
  <c r="AZ110" i="18"/>
  <c r="Y123" i="18"/>
  <c r="AN123" i="18" s="1"/>
  <c r="R123" i="18"/>
  <c r="AV123" i="18"/>
  <c r="S123" i="18"/>
  <c r="BB194" i="18"/>
  <c r="BA194" i="18"/>
  <c r="AZ194" i="18"/>
  <c r="AZ207" i="18"/>
  <c r="BC207" i="18" s="1"/>
  <c r="BB207" i="18"/>
  <c r="BA207" i="18"/>
  <c r="S214" i="18"/>
  <c r="T214" i="18" s="1"/>
  <c r="AC84" i="18"/>
  <c r="AV12" i="18"/>
  <c r="Y12" i="18"/>
  <c r="AN12" i="18" s="1"/>
  <c r="P19" i="18"/>
  <c r="AW19" i="18" s="1"/>
  <c r="BC19" i="18" s="1"/>
  <c r="BB19" i="18"/>
  <c r="BA19" i="18"/>
  <c r="AZ19" i="18"/>
  <c r="Y25" i="18"/>
  <c r="AN25" i="18" s="1"/>
  <c r="S29" i="18"/>
  <c r="R29" i="18"/>
  <c r="T29" i="18" s="1"/>
  <c r="AV29" i="18"/>
  <c r="Y33" i="18"/>
  <c r="AN33" i="18" s="1"/>
  <c r="BC38" i="18"/>
  <c r="T44" i="18"/>
  <c r="P50" i="18"/>
  <c r="AW50" i="18" s="1"/>
  <c r="BC50" i="18" s="1"/>
  <c r="BB50" i="18"/>
  <c r="BA51" i="18"/>
  <c r="AZ51" i="18"/>
  <c r="BC51" i="18" s="1"/>
  <c r="BB51" i="18"/>
  <c r="AE55" i="18"/>
  <c r="AM55" i="18" s="1"/>
  <c r="BA59" i="18"/>
  <c r="AZ59" i="18"/>
  <c r="BC59" i="18" s="1"/>
  <c r="BB59" i="18"/>
  <c r="AE63" i="18"/>
  <c r="AM63" i="18" s="1"/>
  <c r="BA67" i="18"/>
  <c r="AZ67" i="18"/>
  <c r="BC67" i="18" s="1"/>
  <c r="BB67" i="18"/>
  <c r="AE71" i="18"/>
  <c r="AM71" i="18" s="1"/>
  <c r="BA75" i="18"/>
  <c r="AZ75" i="18"/>
  <c r="BB75" i="18"/>
  <c r="AE78" i="18"/>
  <c r="AM78" i="18" s="1"/>
  <c r="R111" i="18"/>
  <c r="AV111" i="18"/>
  <c r="S111" i="18"/>
  <c r="BA121" i="18"/>
  <c r="AZ121" i="18"/>
  <c r="BB121" i="18"/>
  <c r="AZ157" i="18"/>
  <c r="BB157" i="18"/>
  <c r="BA157" i="18"/>
  <c r="BC157" i="18" s="1"/>
  <c r="Y163" i="18"/>
  <c r="AN163" i="18" s="1"/>
  <c r="AW163" i="18"/>
  <c r="BC163" i="18" s="1"/>
  <c r="T175" i="18"/>
  <c r="AW208" i="18"/>
  <c r="BC208" i="18" s="1"/>
  <c r="S208" i="18"/>
  <c r="T208" i="18" s="1"/>
  <c r="AX229" i="18"/>
  <c r="Y229" i="18"/>
  <c r="AN229" i="18" s="1"/>
  <c r="AW240" i="18"/>
  <c r="BC240" i="18" s="1"/>
  <c r="Y240" i="18"/>
  <c r="AN240" i="18" s="1"/>
  <c r="S240" i="18"/>
  <c r="T240" i="18" s="1"/>
  <c r="AE242" i="18"/>
  <c r="AM242" i="18" s="1"/>
  <c r="R277" i="18"/>
  <c r="AV277" i="18"/>
  <c r="S277" i="18"/>
  <c r="Y277" i="18"/>
  <c r="I280" i="18"/>
  <c r="O84" i="18"/>
  <c r="Z84" i="18"/>
  <c r="AV9" i="18"/>
  <c r="Y20" i="18"/>
  <c r="AN20" i="18" s="1"/>
  <c r="R20" i="18"/>
  <c r="T20" i="18" s="1"/>
  <c r="AE26" i="18"/>
  <c r="AM26" i="18" s="1"/>
  <c r="R30" i="18"/>
  <c r="T30" i="18" s="1"/>
  <c r="S30" i="18"/>
  <c r="BC35" i="18"/>
  <c r="Y35" i="18"/>
  <c r="BC47" i="18"/>
  <c r="Y47" i="18"/>
  <c r="Y52" i="18"/>
  <c r="AN52" i="18" s="1"/>
  <c r="AE53" i="18"/>
  <c r="AM53" i="18" s="1"/>
  <c r="Y60" i="18"/>
  <c r="AN60" i="18" s="1"/>
  <c r="AE61" i="18"/>
  <c r="AM61" i="18" s="1"/>
  <c r="Y68" i="18"/>
  <c r="AN68" i="18" s="1"/>
  <c r="AE69" i="18"/>
  <c r="AM69" i="18" s="1"/>
  <c r="P90" i="18"/>
  <c r="AZ92" i="18"/>
  <c r="BA92" i="18"/>
  <c r="BB94" i="18"/>
  <c r="BA94" i="18"/>
  <c r="BC94" i="18" s="1"/>
  <c r="AZ94" i="18"/>
  <c r="AW114" i="18"/>
  <c r="Y114" i="18"/>
  <c r="BB156" i="18"/>
  <c r="BA156" i="18"/>
  <c r="AZ156" i="18"/>
  <c r="BB170" i="18"/>
  <c r="BA170" i="18"/>
  <c r="BC170" i="18" s="1"/>
  <c r="BB171" i="18"/>
  <c r="BA171" i="18"/>
  <c r="AZ171" i="18"/>
  <c r="BC171" i="18" s="1"/>
  <c r="AW176" i="18"/>
  <c r="S176" i="18"/>
  <c r="T176" i="18" s="1"/>
  <c r="Y176" i="18"/>
  <c r="AN176" i="18" s="1"/>
  <c r="T177" i="18"/>
  <c r="BB178" i="18"/>
  <c r="BA178" i="18"/>
  <c r="AZ178" i="18"/>
  <c r="Y191" i="18"/>
  <c r="AW191" i="18"/>
  <c r="S191" i="18"/>
  <c r="T191" i="18" s="1"/>
  <c r="BB192" i="18"/>
  <c r="BA192" i="18"/>
  <c r="AZ192" i="18"/>
  <c r="Y197" i="18"/>
  <c r="AN197" i="18" s="1"/>
  <c r="R197" i="18"/>
  <c r="S197" i="18"/>
  <c r="AV197" i="18"/>
  <c r="AA84" i="18"/>
  <c r="S12" i="18"/>
  <c r="T12" i="18" s="1"/>
  <c r="S15" i="18"/>
  <c r="R15" i="18"/>
  <c r="T15" i="18" s="1"/>
  <c r="AV15" i="18"/>
  <c r="AV20" i="18"/>
  <c r="Y29" i="18"/>
  <c r="AN29" i="18" s="1"/>
  <c r="P30" i="18"/>
  <c r="AV30" i="18"/>
  <c r="AE34" i="18"/>
  <c r="AM34" i="18" s="1"/>
  <c r="AE35" i="18"/>
  <c r="AM35" i="18" s="1"/>
  <c r="S39" i="18"/>
  <c r="R39" i="18"/>
  <c r="AV39" i="18"/>
  <c r="Y43" i="18"/>
  <c r="AE47" i="18"/>
  <c r="AM47" i="18" s="1"/>
  <c r="T54" i="18"/>
  <c r="T62" i="18"/>
  <c r="T70" i="18"/>
  <c r="AV76" i="18"/>
  <c r="AE80" i="18"/>
  <c r="AM80" i="18" s="1"/>
  <c r="AE92" i="18"/>
  <c r="AM92" i="18" s="1"/>
  <c r="BB92" i="18"/>
  <c r="Y94" i="18"/>
  <c r="AN94" i="18" s="1"/>
  <c r="AV96" i="18"/>
  <c r="R96" i="18"/>
  <c r="Y96" i="18"/>
  <c r="AN96" i="18" s="1"/>
  <c r="AE98" i="18"/>
  <c r="AM98" i="18" s="1"/>
  <c r="Y101" i="18"/>
  <c r="AN101" i="18" s="1"/>
  <c r="AV101" i="18"/>
  <c r="BB106" i="18"/>
  <c r="BA106" i="18"/>
  <c r="AZ106" i="18"/>
  <c r="BA115" i="18"/>
  <c r="AZ115" i="18"/>
  <c r="BB115" i="18"/>
  <c r="AE126" i="18"/>
  <c r="AM126" i="18" s="1"/>
  <c r="I471" i="18"/>
  <c r="R156" i="18"/>
  <c r="S156" i="18"/>
  <c r="Y157" i="18"/>
  <c r="AN157" i="18" s="1"/>
  <c r="R157" i="18"/>
  <c r="S157" i="18"/>
  <c r="Y173" i="18"/>
  <c r="AN173" i="18" s="1"/>
  <c r="AV173" i="18"/>
  <c r="R173" i="18"/>
  <c r="S173" i="18"/>
  <c r="Y181" i="18"/>
  <c r="AN181" i="18" s="1"/>
  <c r="R181" i="18"/>
  <c r="S181" i="18"/>
  <c r="AV181" i="18"/>
  <c r="Y199" i="18"/>
  <c r="AN199" i="18" s="1"/>
  <c r="AW199" i="18"/>
  <c r="BC199" i="18" s="1"/>
  <c r="AW204" i="18"/>
  <c r="S204" i="18"/>
  <c r="T204" i="18" s="1"/>
  <c r="AB84" i="18"/>
  <c r="R19" i="18"/>
  <c r="S19" i="18"/>
  <c r="AE38" i="18"/>
  <c r="AM38" i="18" s="1"/>
  <c r="AN38" i="18" s="1"/>
  <c r="Y42" i="18"/>
  <c r="AN42" i="18" s="1"/>
  <c r="AE43" i="18"/>
  <c r="AM43" i="18" s="1"/>
  <c r="AW44" i="18"/>
  <c r="Y44" i="18"/>
  <c r="AN44" i="18" s="1"/>
  <c r="AE46" i="18"/>
  <c r="AM46" i="18" s="1"/>
  <c r="R50" i="18"/>
  <c r="S50" i="18"/>
  <c r="Y51" i="18"/>
  <c r="AN51" i="18" s="1"/>
  <c r="R51" i="18"/>
  <c r="T51" i="18" s="1"/>
  <c r="AV52" i="18"/>
  <c r="AE56" i="18"/>
  <c r="AM56" i="18" s="1"/>
  <c r="Y59" i="18"/>
  <c r="AN59" i="18" s="1"/>
  <c r="R59" i="18"/>
  <c r="T59" i="18" s="1"/>
  <c r="AV60" i="18"/>
  <c r="AE64" i="18"/>
  <c r="AM64" i="18" s="1"/>
  <c r="Y67" i="18"/>
  <c r="AN67" i="18" s="1"/>
  <c r="R67" i="18"/>
  <c r="T67" i="18" s="1"/>
  <c r="AV68" i="18"/>
  <c r="AE72" i="18"/>
  <c r="AM72" i="18" s="1"/>
  <c r="Y75" i="18"/>
  <c r="AN75" i="18" s="1"/>
  <c r="R75" i="18"/>
  <c r="T75" i="18" s="1"/>
  <c r="AE79" i="18"/>
  <c r="AM79" i="18" s="1"/>
  <c r="O128" i="18"/>
  <c r="Y103" i="18"/>
  <c r="AN103" i="18" s="1"/>
  <c r="AV103" i="18"/>
  <c r="AE105" i="18"/>
  <c r="AM105" i="18" s="1"/>
  <c r="S106" i="18"/>
  <c r="AE106" i="18"/>
  <c r="AM106" i="18" s="1"/>
  <c r="Y111" i="18"/>
  <c r="AN111" i="18" s="1"/>
  <c r="S126" i="18"/>
  <c r="BB136" i="18"/>
  <c r="BA136" i="18"/>
  <c r="AZ136" i="18"/>
  <c r="BC136" i="18" s="1"/>
  <c r="AW156" i="18"/>
  <c r="Y175" i="18"/>
  <c r="AW175" i="18"/>
  <c r="BB188" i="18"/>
  <c r="BA188" i="18"/>
  <c r="AZ188" i="18"/>
  <c r="BC188" i="18"/>
  <c r="AW192" i="18"/>
  <c r="BC192" i="18" s="1"/>
  <c r="S192" i="18"/>
  <c r="T192" i="18" s="1"/>
  <c r="Y192" i="18"/>
  <c r="Y198" i="18"/>
  <c r="T199" i="18"/>
  <c r="S205" i="18"/>
  <c r="R205" i="18"/>
  <c r="R212" i="18"/>
  <c r="T212" i="18" s="1"/>
  <c r="S212" i="18"/>
  <c r="AV212" i="18"/>
  <c r="Y212" i="18"/>
  <c r="AV14" i="18"/>
  <c r="AV17" i="18"/>
  <c r="Y26" i="18"/>
  <c r="AV36" i="18"/>
  <c r="AV48" i="18"/>
  <c r="AV56" i="18"/>
  <c r="AV64" i="18"/>
  <c r="M71" i="18"/>
  <c r="P71" i="18" s="1"/>
  <c r="AV72" i="18"/>
  <c r="M79" i="18"/>
  <c r="P79" i="18" s="1"/>
  <c r="AV80" i="18"/>
  <c r="I128" i="18"/>
  <c r="V128" i="18"/>
  <c r="S105" i="18"/>
  <c r="AV105" i="18"/>
  <c r="R105" i="18"/>
  <c r="BB109" i="18"/>
  <c r="BA109" i="18"/>
  <c r="AV118" i="18"/>
  <c r="R118" i="18"/>
  <c r="S118" i="18"/>
  <c r="AE120" i="18"/>
  <c r="AM120" i="18" s="1"/>
  <c r="Y122" i="18"/>
  <c r="AN122" i="18" s="1"/>
  <c r="AV124" i="18"/>
  <c r="R124" i="18"/>
  <c r="S137" i="18"/>
  <c r="AV137" i="18"/>
  <c r="R137" i="18"/>
  <c r="V471" i="18"/>
  <c r="V255" i="18"/>
  <c r="AZ159" i="18"/>
  <c r="BA159" i="18"/>
  <c r="AV161" i="18"/>
  <c r="R161" i="18"/>
  <c r="T161" i="18" s="1"/>
  <c r="AW167" i="18"/>
  <c r="BC167" i="18" s="1"/>
  <c r="Y167" i="18"/>
  <c r="AN167" i="18" s="1"/>
  <c r="S169" i="18"/>
  <c r="AV169" i="18"/>
  <c r="R169" i="18"/>
  <c r="Y182" i="18"/>
  <c r="AE192" i="18"/>
  <c r="AM192" i="18" s="1"/>
  <c r="AE198" i="18"/>
  <c r="AM198" i="18" s="1"/>
  <c r="P202" i="18"/>
  <c r="AW202" i="18" s="1"/>
  <c r="AE207" i="18"/>
  <c r="AM207" i="18" s="1"/>
  <c r="S213" i="18"/>
  <c r="AV213" i="18"/>
  <c r="R213" i="18"/>
  <c r="Y213" i="18"/>
  <c r="AN213" i="18" s="1"/>
  <c r="Y219" i="18"/>
  <c r="AN219" i="18" s="1"/>
  <c r="AW219" i="18"/>
  <c r="AW222" i="18"/>
  <c r="Y224" i="18"/>
  <c r="AN224" i="18" s="1"/>
  <c r="AW224" i="18"/>
  <c r="S224" i="18"/>
  <c r="T224" i="18" s="1"/>
  <c r="AN226" i="18"/>
  <c r="S305" i="18"/>
  <c r="AW305" i="18"/>
  <c r="BC305" i="18" s="1"/>
  <c r="Y305" i="18"/>
  <c r="AN305" i="18" s="1"/>
  <c r="AV22" i="18"/>
  <c r="AV25" i="18"/>
  <c r="AV33" i="18"/>
  <c r="AV43" i="18"/>
  <c r="AV53" i="18"/>
  <c r="AV61" i="18"/>
  <c r="AV69" i="18"/>
  <c r="M76" i="18"/>
  <c r="P76" i="18" s="1"/>
  <c r="AW76" i="18" s="1"/>
  <c r="AV77" i="18"/>
  <c r="AB128" i="18"/>
  <c r="AZ114" i="18"/>
  <c r="BA114" i="18"/>
  <c r="AV125" i="18"/>
  <c r="R125" i="18"/>
  <c r="S125" i="18"/>
  <c r="N471" i="18"/>
  <c r="Y158" i="18"/>
  <c r="AN158" i="18" s="1"/>
  <c r="R158" i="18"/>
  <c r="AV158" i="18"/>
  <c r="S158" i="18"/>
  <c r="Y189" i="18"/>
  <c r="AN189" i="18" s="1"/>
  <c r="S189" i="18"/>
  <c r="R189" i="18"/>
  <c r="AZ214" i="18"/>
  <c r="BC214" i="18" s="1"/>
  <c r="BB214" i="18"/>
  <c r="BA214" i="18"/>
  <c r="Y352" i="18"/>
  <c r="AN352" i="18" s="1"/>
  <c r="AV352" i="18"/>
  <c r="R352" i="18"/>
  <c r="S352" i="18"/>
  <c r="M69" i="18"/>
  <c r="M77" i="18"/>
  <c r="P77" i="18" s="1"/>
  <c r="AW77" i="18" s="1"/>
  <c r="R90" i="18"/>
  <c r="AC128" i="18"/>
  <c r="AV90" i="18"/>
  <c r="R100" i="18"/>
  <c r="Y108" i="18"/>
  <c r="AN108" i="18" s="1"/>
  <c r="Y109" i="18"/>
  <c r="AN109" i="18" s="1"/>
  <c r="AE114" i="18"/>
  <c r="AM114" i="18" s="1"/>
  <c r="BB114" i="18"/>
  <c r="Y116" i="18"/>
  <c r="AN116" i="18" s="1"/>
  <c r="AV116" i="18"/>
  <c r="S122" i="18"/>
  <c r="V138" i="18"/>
  <c r="Y137" i="18"/>
  <c r="AN137" i="18" s="1"/>
  <c r="AE159" i="18"/>
  <c r="AM159" i="18" s="1"/>
  <c r="BB159" i="18"/>
  <c r="Y165" i="18"/>
  <c r="AN165" i="18" s="1"/>
  <c r="S165" i="18"/>
  <c r="AV165" i="18"/>
  <c r="R165" i="18"/>
  <c r="AZ168" i="18"/>
  <c r="BA168" i="18"/>
  <c r="BB168" i="18"/>
  <c r="Y169" i="18"/>
  <c r="AN169" i="18" s="1"/>
  <c r="R172" i="18"/>
  <c r="S172" i="18"/>
  <c r="AV172" i="18"/>
  <c r="S178" i="18"/>
  <c r="R178" i="18"/>
  <c r="S186" i="18"/>
  <c r="R186" i="18"/>
  <c r="T186" i="18" s="1"/>
  <c r="Y186" i="18"/>
  <c r="AN186" i="18" s="1"/>
  <c r="AV186" i="18"/>
  <c r="R188" i="18"/>
  <c r="Y188" i="18"/>
  <c r="AN188" i="18" s="1"/>
  <c r="S188" i="18"/>
  <c r="BB200" i="18"/>
  <c r="AW220" i="18"/>
  <c r="Y220" i="18"/>
  <c r="BB229" i="18"/>
  <c r="BA229" i="18"/>
  <c r="AZ229" i="18"/>
  <c r="S295" i="18"/>
  <c r="T295" i="18" s="1"/>
  <c r="Y295" i="18"/>
  <c r="AN295" i="18" s="1"/>
  <c r="AW295" i="18"/>
  <c r="BC295" i="18" s="1"/>
  <c r="M70" i="18"/>
  <c r="P70" i="18" s="1"/>
  <c r="S90" i="18"/>
  <c r="S98" i="18"/>
  <c r="AV104" i="18"/>
  <c r="R104" i="18"/>
  <c r="Y104" i="18"/>
  <c r="AN104" i="18" s="1"/>
  <c r="AV108" i="18"/>
  <c r="M109" i="18"/>
  <c r="P109" i="18" s="1"/>
  <c r="AW109" i="18" s="1"/>
  <c r="Y118" i="18"/>
  <c r="AN118" i="18" s="1"/>
  <c r="AZ120" i="18"/>
  <c r="BA120" i="18"/>
  <c r="AV122" i="18"/>
  <c r="AV144" i="18"/>
  <c r="S144" i="18"/>
  <c r="R144" i="18"/>
  <c r="Y161" i="18"/>
  <c r="BB163" i="18"/>
  <c r="AZ163" i="18"/>
  <c r="BA163" i="18"/>
  <c r="BC176" i="18"/>
  <c r="BB176" i="18"/>
  <c r="AE182" i="18"/>
  <c r="AM182" i="18" s="1"/>
  <c r="AV189" i="18"/>
  <c r="S194" i="18"/>
  <c r="R194" i="18"/>
  <c r="T194" i="18" s="1"/>
  <c r="AE200" i="18"/>
  <c r="AM200" i="18" s="1"/>
  <c r="AV202" i="18"/>
  <c r="R202" i="18"/>
  <c r="T225" i="18"/>
  <c r="AC255" i="18"/>
  <c r="Y159" i="18"/>
  <c r="S162" i="18"/>
  <c r="Y171" i="18"/>
  <c r="AN171" i="18" s="1"/>
  <c r="P179" i="18"/>
  <c r="AW179" i="18" s="1"/>
  <c r="BB179" i="18"/>
  <c r="BA179" i="18"/>
  <c r="AZ179" i="18"/>
  <c r="BA191" i="18"/>
  <c r="P195" i="18"/>
  <c r="AW195" i="18" s="1"/>
  <c r="BB195" i="18"/>
  <c r="BA195" i="18"/>
  <c r="AZ195" i="18"/>
  <c r="Y203" i="18"/>
  <c r="AN203" i="18" s="1"/>
  <c r="AW203" i="18"/>
  <c r="BC203" i="18" s="1"/>
  <c r="P206" i="18"/>
  <c r="AE212" i="18"/>
  <c r="AM212" i="18" s="1"/>
  <c r="T217" i="18"/>
  <c r="AZ224" i="18"/>
  <c r="BC224" i="18"/>
  <c r="AW225" i="18"/>
  <c r="BC225" i="18" s="1"/>
  <c r="Y225" i="18"/>
  <c r="AN225" i="18" s="1"/>
  <c r="AW228" i="18"/>
  <c r="Y228" i="18"/>
  <c r="AN228" i="18" s="1"/>
  <c r="AN242" i="18"/>
  <c r="AW245" i="18"/>
  <c r="S245" i="18"/>
  <c r="AB280" i="18"/>
  <c r="R113" i="18"/>
  <c r="AV113" i="18"/>
  <c r="O471" i="18"/>
  <c r="Z255" i="18"/>
  <c r="AE161" i="18"/>
  <c r="AM161" i="18" s="1"/>
  <c r="R162" i="18"/>
  <c r="Y166" i="18"/>
  <c r="AN166" i="18" s="1"/>
  <c r="S170" i="18"/>
  <c r="R170" i="18"/>
  <c r="Y170" i="18"/>
  <c r="AN170" i="18" s="1"/>
  <c r="R180" i="18"/>
  <c r="Y180" i="18"/>
  <c r="AN180" i="18" s="1"/>
  <c r="AE183" i="18"/>
  <c r="AM183" i="18" s="1"/>
  <c r="T184" i="18"/>
  <c r="BB185" i="18"/>
  <c r="BC185" i="18" s="1"/>
  <c r="R187" i="18"/>
  <c r="R196" i="18"/>
  <c r="T196" i="18" s="1"/>
  <c r="Y196" i="18"/>
  <c r="AN196" i="18" s="1"/>
  <c r="AE199" i="18"/>
  <c r="AM199" i="18" s="1"/>
  <c r="BB201" i="18"/>
  <c r="R229" i="18"/>
  <c r="S229" i="18"/>
  <c r="AW315" i="18"/>
  <c r="S315" i="18"/>
  <c r="T315" i="18" s="1"/>
  <c r="R119" i="18"/>
  <c r="AV119" i="18"/>
  <c r="R126" i="18"/>
  <c r="AV126" i="18"/>
  <c r="AA255" i="18"/>
  <c r="AZ160" i="18"/>
  <c r="AV162" i="18"/>
  <c r="BB167" i="18"/>
  <c r="AE175" i="18"/>
  <c r="AM175" i="18" s="1"/>
  <c r="AZ175" i="18"/>
  <c r="BB177" i="18"/>
  <c r="AV180" i="18"/>
  <c r="P187" i="18"/>
  <c r="S187" i="18" s="1"/>
  <c r="AV187" i="18"/>
  <c r="AV196" i="18"/>
  <c r="AE201" i="18"/>
  <c r="AM201" i="18" s="1"/>
  <c r="Y208" i="18"/>
  <c r="AN208" i="18" s="1"/>
  <c r="BB208" i="18"/>
  <c r="BA208" i="18"/>
  <c r="AZ208" i="18"/>
  <c r="S210" i="18"/>
  <c r="AV210" i="18"/>
  <c r="R210" i="18"/>
  <c r="BC226" i="18"/>
  <c r="AV231" i="18"/>
  <c r="Y231" i="18"/>
  <c r="AN231" i="18" s="1"/>
  <c r="S231" i="18"/>
  <c r="R231" i="18"/>
  <c r="T231" i="18" s="1"/>
  <c r="BC233" i="18"/>
  <c r="BB233" i="18"/>
  <c r="BA233" i="18"/>
  <c r="AZ233" i="18"/>
  <c r="AV278" i="18"/>
  <c r="S278" i="18"/>
  <c r="R278" i="18"/>
  <c r="T278" i="18" s="1"/>
  <c r="Y278" i="18"/>
  <c r="AN278" i="18" s="1"/>
  <c r="AB255" i="18"/>
  <c r="AE177" i="18"/>
  <c r="AM177" i="18" s="1"/>
  <c r="S179" i="18"/>
  <c r="R179" i="18"/>
  <c r="AZ185" i="18"/>
  <c r="AE191" i="18"/>
  <c r="AM191" i="18" s="1"/>
  <c r="BB193" i="18"/>
  <c r="AE193" i="18"/>
  <c r="AM193" i="18" s="1"/>
  <c r="R195" i="18"/>
  <c r="BB204" i="18"/>
  <c r="BA204" i="18"/>
  <c r="AZ204" i="18"/>
  <c r="AV206" i="18"/>
  <c r="R206" i="18"/>
  <c r="Y215" i="18"/>
  <c r="AN215" i="18" s="1"/>
  <c r="S215" i="18"/>
  <c r="AV215" i="18"/>
  <c r="R215" i="18"/>
  <c r="Y217" i="18"/>
  <c r="AW217" i="18"/>
  <c r="BC217" i="18" s="1"/>
  <c r="BA240" i="18"/>
  <c r="AZ240" i="18"/>
  <c r="AA280" i="18"/>
  <c r="V332" i="18"/>
  <c r="W285" i="18"/>
  <c r="AZ309" i="18"/>
  <c r="BB309" i="18"/>
  <c r="BA309" i="18"/>
  <c r="S293" i="18"/>
  <c r="R293" i="18"/>
  <c r="AV293" i="18"/>
  <c r="R306" i="18"/>
  <c r="S306" i="18"/>
  <c r="AV306" i="18"/>
  <c r="I332" i="18"/>
  <c r="BA343" i="18"/>
  <c r="AZ343" i="18"/>
  <c r="BC343" i="18" s="1"/>
  <c r="BB343" i="18"/>
  <c r="BA285" i="18"/>
  <c r="AZ285" i="18"/>
  <c r="BB285" i="18"/>
  <c r="BB318" i="18"/>
  <c r="BA318" i="18"/>
  <c r="AZ318" i="18"/>
  <c r="AZ322" i="18"/>
  <c r="BC322" i="18" s="1"/>
  <c r="BA322" i="18"/>
  <c r="BB322" i="18"/>
  <c r="R349" i="18"/>
  <c r="S349" i="18"/>
  <c r="AV349" i="18"/>
  <c r="AW289" i="18"/>
  <c r="S289" i="18"/>
  <c r="BB292" i="18"/>
  <c r="R296" i="18"/>
  <c r="S296" i="18"/>
  <c r="Y296" i="18"/>
  <c r="AN296" i="18" s="1"/>
  <c r="AV296" i="18"/>
  <c r="Y308" i="18"/>
  <c r="AN308" i="18" s="1"/>
  <c r="AW308" i="18"/>
  <c r="BC308" i="18" s="1"/>
  <c r="Y324" i="18"/>
  <c r="AN324" i="18" s="1"/>
  <c r="S356" i="18"/>
  <c r="R356" i="18"/>
  <c r="AV356" i="18"/>
  <c r="Y356" i="18"/>
  <c r="AN356" i="18" s="1"/>
  <c r="Y359" i="18"/>
  <c r="AN359" i="18" s="1"/>
  <c r="AV174" i="18"/>
  <c r="AV182" i="18"/>
  <c r="R185" i="18"/>
  <c r="R193" i="18"/>
  <c r="AV198" i="18"/>
  <c r="Y216" i="18"/>
  <c r="AN216" i="18" s="1"/>
  <c r="S219" i="18"/>
  <c r="T219" i="18" s="1"/>
  <c r="Y221" i="18"/>
  <c r="AN221" i="18" s="1"/>
  <c r="Y223" i="18"/>
  <c r="AN223" i="18" s="1"/>
  <c r="AV223" i="18"/>
  <c r="AV232" i="18"/>
  <c r="R232" i="18"/>
  <c r="S232" i="18"/>
  <c r="S235" i="18"/>
  <c r="R235" i="18"/>
  <c r="T235" i="18" s="1"/>
  <c r="AW241" i="18"/>
  <c r="BC241" i="18" s="1"/>
  <c r="Y241" i="18"/>
  <c r="Y247" i="18"/>
  <c r="AN247" i="18" s="1"/>
  <c r="R247" i="18"/>
  <c r="AV247" i="18"/>
  <c r="S247" i="18"/>
  <c r="Y248" i="18"/>
  <c r="AN248" i="18" s="1"/>
  <c r="S248" i="18"/>
  <c r="R248" i="18"/>
  <c r="S287" i="18"/>
  <c r="T287" i="18" s="1"/>
  <c r="AW287" i="18"/>
  <c r="T289" i="18"/>
  <c r="AW290" i="18"/>
  <c r="BC290" i="18" s="1"/>
  <c r="Y290" i="18"/>
  <c r="AN290" i="18" s="1"/>
  <c r="BB290" i="18"/>
  <c r="BA290" i="18"/>
  <c r="AZ290" i="18"/>
  <c r="S313" i="18"/>
  <c r="T313" i="18" s="1"/>
  <c r="Y313" i="18"/>
  <c r="AN313" i="18" s="1"/>
  <c r="AW313" i="18"/>
  <c r="R322" i="18"/>
  <c r="S322" i="18"/>
  <c r="Y322" i="18"/>
  <c r="AN322" i="18" s="1"/>
  <c r="R346" i="18"/>
  <c r="S346" i="18"/>
  <c r="AV346" i="18"/>
  <c r="Y346" i="18"/>
  <c r="AN346" i="18" s="1"/>
  <c r="Y354" i="18"/>
  <c r="AN354" i="18" s="1"/>
  <c r="AV368" i="18"/>
  <c r="S368" i="18"/>
  <c r="R368" i="18"/>
  <c r="Y368" i="18"/>
  <c r="AN368" i="18" s="1"/>
  <c r="AW387" i="18"/>
  <c r="BC387" i="18" s="1"/>
  <c r="BD387" i="18" s="1"/>
  <c r="Y387" i="18"/>
  <c r="AN387" i="18" s="1"/>
  <c r="AZ388" i="18"/>
  <c r="BA388" i="18"/>
  <c r="BB388" i="18"/>
  <c r="S177" i="18"/>
  <c r="S185" i="18"/>
  <c r="S193" i="18"/>
  <c r="S201" i="18"/>
  <c r="T201" i="18" s="1"/>
  <c r="Y204" i="18"/>
  <c r="AN204" i="18" s="1"/>
  <c r="S207" i="18"/>
  <c r="T207" i="18" s="1"/>
  <c r="S211" i="18"/>
  <c r="T211" i="18" s="1"/>
  <c r="AV211" i="18"/>
  <c r="AE217" i="18"/>
  <c r="AM217" i="18" s="1"/>
  <c r="AE220" i="18"/>
  <c r="AM220" i="18" s="1"/>
  <c r="Y222" i="18"/>
  <c r="AN222" i="18" s="1"/>
  <c r="R222" i="18"/>
  <c r="T222" i="18" s="1"/>
  <c r="BB228" i="18"/>
  <c r="BA228" i="18"/>
  <c r="Y238" i="18"/>
  <c r="AN238" i="18" s="1"/>
  <c r="S238" i="18"/>
  <c r="R238" i="18"/>
  <c r="BA245" i="18"/>
  <c r="AZ245" i="18"/>
  <c r="BB245" i="18"/>
  <c r="Y252" i="18"/>
  <c r="AN252" i="18" s="1"/>
  <c r="AP252" i="18" s="1"/>
  <c r="AQ252" i="18" s="1"/>
  <c r="AR252" i="18" s="1"/>
  <c r="S252" i="18"/>
  <c r="AW304" i="18"/>
  <c r="S304" i="18"/>
  <c r="T304" i="18" s="1"/>
  <c r="BB316" i="18"/>
  <c r="BA316" i="18"/>
  <c r="AZ316" i="18"/>
  <c r="S353" i="18"/>
  <c r="T353" i="18" s="1"/>
  <c r="Y353" i="18"/>
  <c r="AN353" i="18" s="1"/>
  <c r="AW353" i="18"/>
  <c r="S393" i="18"/>
  <c r="R393" i="18"/>
  <c r="T393" i="18" s="1"/>
  <c r="Y393" i="18"/>
  <c r="AN393" i="18" s="1"/>
  <c r="AV393" i="18"/>
  <c r="S203" i="18"/>
  <c r="T203" i="18" s="1"/>
  <c r="Y211" i="18"/>
  <c r="AN211" i="18" s="1"/>
  <c r="Y214" i="18"/>
  <c r="AN214" i="18" s="1"/>
  <c r="AV220" i="18"/>
  <c r="AE225" i="18"/>
  <c r="AM225" i="18" s="1"/>
  <c r="S228" i="18"/>
  <c r="R228" i="18"/>
  <c r="T228" i="18" s="1"/>
  <c r="T252" i="18"/>
  <c r="N332" i="18"/>
  <c r="Y294" i="18"/>
  <c r="AN294" i="18" s="1"/>
  <c r="AV294" i="18"/>
  <c r="R294" i="18"/>
  <c r="BB297" i="18"/>
  <c r="BA297" i="18"/>
  <c r="AZ297" i="18"/>
  <c r="Y301" i="18"/>
  <c r="AN301" i="18" s="1"/>
  <c r="AV301" i="18"/>
  <c r="S301" i="18"/>
  <c r="R301" i="18"/>
  <c r="R311" i="18"/>
  <c r="AV311" i="18"/>
  <c r="W469" i="18"/>
  <c r="AX339" i="18"/>
  <c r="S387" i="18"/>
  <c r="T387" i="18" s="1"/>
  <c r="AW392" i="18"/>
  <c r="BC392" i="18" s="1"/>
  <c r="Y392" i="18"/>
  <c r="AN392" i="18" s="1"/>
  <c r="S392" i="18"/>
  <c r="T392" i="18" s="1"/>
  <c r="AZ203" i="18"/>
  <c r="Y207" i="18"/>
  <c r="AV221" i="18"/>
  <c r="BA222" i="18"/>
  <c r="AZ222" i="18"/>
  <c r="BB222" i="18"/>
  <c r="R223" i="18"/>
  <c r="T223" i="18" s="1"/>
  <c r="Y234" i="18"/>
  <c r="AN234" i="18" s="1"/>
  <c r="AV235" i="18"/>
  <c r="AZ238" i="18"/>
  <c r="BA238" i="18"/>
  <c r="BC238" i="18"/>
  <c r="Y243" i="18"/>
  <c r="AN243" i="18" s="1"/>
  <c r="AV248" i="18"/>
  <c r="O332" i="18"/>
  <c r="Y291" i="18"/>
  <c r="AN291" i="18" s="1"/>
  <c r="R291" i="18"/>
  <c r="S291" i="18"/>
  <c r="AV291" i="18"/>
  <c r="AZ292" i="18"/>
  <c r="Y293" i="18"/>
  <c r="AN293" i="18" s="1"/>
  <c r="S303" i="18"/>
  <c r="R303" i="18"/>
  <c r="AV303" i="18"/>
  <c r="Y303" i="18"/>
  <c r="AN303" i="18" s="1"/>
  <c r="Y306" i="18"/>
  <c r="AN306" i="18" s="1"/>
  <c r="AW310" i="18"/>
  <c r="BC310" i="18" s="1"/>
  <c r="Y310" i="18"/>
  <c r="AN310" i="18" s="1"/>
  <c r="S310" i="18"/>
  <c r="P311" i="18"/>
  <c r="AW311" i="18" s="1"/>
  <c r="Y312" i="18"/>
  <c r="AN312" i="18" s="1"/>
  <c r="AV312" i="18"/>
  <c r="S312" i="18"/>
  <c r="R312" i="18"/>
  <c r="T312" i="18" s="1"/>
  <c r="P316" i="18"/>
  <c r="S316" i="18" s="1"/>
  <c r="Y339" i="18"/>
  <c r="AV219" i="18"/>
  <c r="P236" i="18"/>
  <c r="AW236" i="18" s="1"/>
  <c r="AV236" i="18"/>
  <c r="Y245" i="18"/>
  <c r="AN245" i="18" s="1"/>
  <c r="R245" i="18"/>
  <c r="BB279" i="18"/>
  <c r="BA279" i="18"/>
  <c r="AZ279" i="18"/>
  <c r="S285" i="18"/>
  <c r="R285" i="18"/>
  <c r="Y286" i="18"/>
  <c r="AN286" i="18" s="1"/>
  <c r="AV286" i="18"/>
  <c r="AZ288" i="18"/>
  <c r="BA288" i="18"/>
  <c r="T292" i="18"/>
  <c r="R297" i="18"/>
  <c r="BB300" i="18"/>
  <c r="BA300" i="18"/>
  <c r="AZ300" i="18"/>
  <c r="BC300" i="18"/>
  <c r="BD300" i="18" s="1"/>
  <c r="S319" i="18"/>
  <c r="R319" i="18"/>
  <c r="AV319" i="18"/>
  <c r="L333" i="18"/>
  <c r="K332" i="18"/>
  <c r="BB329" i="18"/>
  <c r="S331" i="18"/>
  <c r="T331" i="18" s="1"/>
  <c r="Y331" i="18"/>
  <c r="AN331" i="18" s="1"/>
  <c r="AW339" i="18"/>
  <c r="BE342" i="18"/>
  <c r="AO342" i="18" s="1"/>
  <c r="S226" i="18"/>
  <c r="T226" i="18" s="1"/>
  <c r="Y237" i="18"/>
  <c r="AN237" i="18" s="1"/>
  <c r="R237" i="18"/>
  <c r="T237" i="18" s="1"/>
  <c r="BC243" i="18"/>
  <c r="BB243" i="18"/>
  <c r="BA243" i="18"/>
  <c r="R286" i="18"/>
  <c r="Y320" i="18"/>
  <c r="AN320" i="18" s="1"/>
  <c r="AV320" i="18"/>
  <c r="Y330" i="18"/>
  <c r="AN330" i="18" s="1"/>
  <c r="AV330" i="18"/>
  <c r="R330" i="18"/>
  <c r="T330" i="18" s="1"/>
  <c r="Y341" i="18"/>
  <c r="AN341" i="18" s="1"/>
  <c r="R341" i="18"/>
  <c r="AV341" i="18"/>
  <c r="S341" i="18"/>
  <c r="Y344" i="18"/>
  <c r="AN344" i="18" s="1"/>
  <c r="BB350" i="18"/>
  <c r="BA350" i="18"/>
  <c r="AZ350" i="18"/>
  <c r="BC350" i="18" s="1"/>
  <c r="BC365" i="18"/>
  <c r="BD365" i="18" s="1"/>
  <c r="S233" i="18"/>
  <c r="T233" i="18" s="1"/>
  <c r="Y233" i="18"/>
  <c r="AN233" i="18" s="1"/>
  <c r="AV237" i="18"/>
  <c r="AE241" i="18"/>
  <c r="AM241" i="18" s="1"/>
  <c r="S243" i="18"/>
  <c r="R243" i="18"/>
  <c r="S286" i="18"/>
  <c r="R288" i="18"/>
  <c r="P298" i="18"/>
  <c r="Y298" i="18" s="1"/>
  <c r="AN298" i="18" s="1"/>
  <c r="AZ298" i="18"/>
  <c r="BA298" i="18"/>
  <c r="BB298" i="18"/>
  <c r="T305" i="18"/>
  <c r="BB308" i="18"/>
  <c r="BA308" i="18"/>
  <c r="AZ308" i="18"/>
  <c r="Y317" i="18"/>
  <c r="AN317" i="18" s="1"/>
  <c r="R317" i="18"/>
  <c r="S317" i="18"/>
  <c r="AV317" i="18"/>
  <c r="Y319" i="18"/>
  <c r="AN319" i="18" s="1"/>
  <c r="AW326" i="18"/>
  <c r="Y326" i="18"/>
  <c r="AN326" i="18" s="1"/>
  <c r="S329" i="18"/>
  <c r="Y329" i="18"/>
  <c r="AN329" i="18" s="1"/>
  <c r="AW331" i="18"/>
  <c r="AW362" i="18"/>
  <c r="BC362" i="18" s="1"/>
  <c r="BD362" i="18" s="1"/>
  <c r="S362" i="18"/>
  <c r="T362" i="18" s="1"/>
  <c r="AX367" i="18"/>
  <c r="Y367" i="18"/>
  <c r="AN367" i="18" s="1"/>
  <c r="S234" i="18"/>
  <c r="R234" i="18"/>
  <c r="T234" i="18" s="1"/>
  <c r="AV234" i="18"/>
  <c r="R236" i="18"/>
  <c r="BB246" i="18"/>
  <c r="BA246" i="18"/>
  <c r="AZ246" i="18"/>
  <c r="BC246" i="18"/>
  <c r="BC287" i="18"/>
  <c r="P288" i="18"/>
  <c r="S288" i="18" s="1"/>
  <c r="Y289" i="18"/>
  <c r="AN289" i="18" s="1"/>
  <c r="AW292" i="18"/>
  <c r="Y292" i="18"/>
  <c r="AN292" i="18" s="1"/>
  <c r="Y297" i="18"/>
  <c r="AN297" i="18" s="1"/>
  <c r="T302" i="18"/>
  <c r="S321" i="18"/>
  <c r="T321" i="18" s="1"/>
  <c r="Y321" i="18"/>
  <c r="AN321" i="18" s="1"/>
  <c r="T326" i="18"/>
  <c r="BA329" i="18"/>
  <c r="BC329" i="18" s="1"/>
  <c r="S350" i="18"/>
  <c r="T350" i="18" s="1"/>
  <c r="Y350" i="18"/>
  <c r="AN350" i="18" s="1"/>
  <c r="BB353" i="18"/>
  <c r="BA353" i="18"/>
  <c r="AZ353" i="18"/>
  <c r="BB357" i="18"/>
  <c r="BA357" i="18"/>
  <c r="AZ357" i="18"/>
  <c r="BC357" i="18" s="1"/>
  <c r="Y365" i="18"/>
  <c r="AN365" i="18" s="1"/>
  <c r="BB370" i="18"/>
  <c r="BC370" i="18" s="1"/>
  <c r="BA370" i="18"/>
  <c r="AZ370" i="18"/>
  <c r="AX383" i="18"/>
  <c r="Y383" i="18"/>
  <c r="AN383" i="18" s="1"/>
  <c r="AV242" i="18"/>
  <c r="R298" i="18"/>
  <c r="S300" i="18"/>
  <c r="R300" i="18"/>
  <c r="BB310" i="18"/>
  <c r="BA310" i="18"/>
  <c r="BC313" i="18"/>
  <c r="AZ314" i="18"/>
  <c r="BA314" i="18"/>
  <c r="T318" i="18"/>
  <c r="P327" i="18"/>
  <c r="S327" i="18" s="1"/>
  <c r="BA327" i="18"/>
  <c r="AZ327" i="18"/>
  <c r="BB327" i="18"/>
  <c r="AW355" i="18"/>
  <c r="S355" i="18"/>
  <c r="T355" i="18" s="1"/>
  <c r="AW358" i="18"/>
  <c r="BC358" i="18" s="1"/>
  <c r="S358" i="18"/>
  <c r="T358" i="18" s="1"/>
  <c r="Y385" i="18"/>
  <c r="AN385" i="18" s="1"/>
  <c r="AW385" i="18"/>
  <c r="BC419" i="18"/>
  <c r="BC427" i="18"/>
  <c r="S241" i="18"/>
  <c r="T241" i="18" s="1"/>
  <c r="R242" i="18"/>
  <c r="T242" i="18" s="1"/>
  <c r="R290" i="18"/>
  <c r="T290" i="18" s="1"/>
  <c r="Y304" i="18"/>
  <c r="AN304" i="18" s="1"/>
  <c r="AV304" i="18"/>
  <c r="T310" i="18"/>
  <c r="Y325" i="18"/>
  <c r="AN325" i="18" s="1"/>
  <c r="R325" i="18"/>
  <c r="R340" i="18"/>
  <c r="P340" i="18"/>
  <c r="BA340" i="18"/>
  <c r="AZ340" i="18"/>
  <c r="BB340" i="18"/>
  <c r="BB345" i="18"/>
  <c r="AZ345" i="18"/>
  <c r="BA345" i="18"/>
  <c r="BC345" i="18" s="1"/>
  <c r="Y379" i="18"/>
  <c r="AN379" i="18" s="1"/>
  <c r="R379" i="18"/>
  <c r="S379" i="18"/>
  <c r="AV379" i="18"/>
  <c r="Y404" i="18"/>
  <c r="AN404" i="18" s="1"/>
  <c r="AX404" i="18"/>
  <c r="BB287" i="18"/>
  <c r="AV289" i="18"/>
  <c r="BB295" i="18"/>
  <c r="BB302" i="18"/>
  <c r="S308" i="18"/>
  <c r="R314" i="18"/>
  <c r="BB326" i="18"/>
  <c r="BA326" i="18"/>
  <c r="BC326" i="18" s="1"/>
  <c r="BD326" i="18" s="1"/>
  <c r="L469" i="18"/>
  <c r="Y345" i="18"/>
  <c r="AN345" i="18" s="1"/>
  <c r="BB348" i="18"/>
  <c r="BA348" i="18"/>
  <c r="AZ348" i="18"/>
  <c r="BC348" i="18"/>
  <c r="R351" i="18"/>
  <c r="AV351" i="18"/>
  <c r="BB358" i="18"/>
  <c r="R381" i="18"/>
  <c r="AV381" i="18"/>
  <c r="Y300" i="18"/>
  <c r="AN300" i="18" s="1"/>
  <c r="AZ302" i="18"/>
  <c r="BC302" i="18" s="1"/>
  <c r="Y309" i="18"/>
  <c r="AN309" i="18" s="1"/>
  <c r="R309" i="18"/>
  <c r="AZ310" i="18"/>
  <c r="P314" i="18"/>
  <c r="S314" i="18" s="1"/>
  <c r="Y315" i="18"/>
  <c r="AN315" i="18" s="1"/>
  <c r="AW318" i="18"/>
  <c r="Y318" i="18"/>
  <c r="AN318" i="18" s="1"/>
  <c r="BB324" i="18"/>
  <c r="BA324" i="18"/>
  <c r="AZ324" i="18"/>
  <c r="R327" i="18"/>
  <c r="Y328" i="18"/>
  <c r="AN328" i="18" s="1"/>
  <c r="AV328" i="18"/>
  <c r="N469" i="18"/>
  <c r="S344" i="18"/>
  <c r="T344" i="18" s="1"/>
  <c r="T345" i="18"/>
  <c r="Y347" i="18"/>
  <c r="AN347" i="18" s="1"/>
  <c r="AV347" i="18"/>
  <c r="S347" i="18"/>
  <c r="R347" i="18"/>
  <c r="T347" i="18" s="1"/>
  <c r="P351" i="18"/>
  <c r="R354" i="18"/>
  <c r="AV354" i="18"/>
  <c r="S354" i="18"/>
  <c r="AV367" i="18"/>
  <c r="S367" i="18"/>
  <c r="R367" i="18"/>
  <c r="T367" i="18" s="1"/>
  <c r="Y369" i="18"/>
  <c r="AN369" i="18" s="1"/>
  <c r="AV369" i="18"/>
  <c r="S369" i="18"/>
  <c r="R369" i="18"/>
  <c r="T369" i="18" s="1"/>
  <c r="BB374" i="18"/>
  <c r="BA374" i="18"/>
  <c r="AZ374" i="18"/>
  <c r="P381" i="18"/>
  <c r="V469" i="18"/>
  <c r="AV339" i="18"/>
  <c r="BA359" i="18"/>
  <c r="AZ359" i="18"/>
  <c r="Y360" i="18"/>
  <c r="AN360" i="18" s="1"/>
  <c r="AV360" i="18"/>
  <c r="T361" i="18"/>
  <c r="AW364" i="18"/>
  <c r="BC364" i="18" s="1"/>
  <c r="S364" i="18"/>
  <c r="T364" i="18" s="1"/>
  <c r="BB366" i="18"/>
  <c r="BA366" i="18"/>
  <c r="AW390" i="18"/>
  <c r="AX396" i="18"/>
  <c r="Y396" i="18"/>
  <c r="AN396" i="18" s="1"/>
  <c r="AV397" i="18"/>
  <c r="S403" i="18"/>
  <c r="T403" i="18" s="1"/>
  <c r="Y403" i="18"/>
  <c r="AN403" i="18" s="1"/>
  <c r="BC411" i="18"/>
  <c r="BD411" i="18" s="1"/>
  <c r="R429" i="18"/>
  <c r="P429" i="18"/>
  <c r="S437" i="18"/>
  <c r="AW437" i="18"/>
  <c r="BC437" i="18" s="1"/>
  <c r="AW415" i="18"/>
  <c r="BC415" i="18" s="1"/>
  <c r="S415" i="18"/>
  <c r="AZ391" i="18"/>
  <c r="BC391" i="18" s="1"/>
  <c r="BB391" i="18"/>
  <c r="Y405" i="18"/>
  <c r="AN405" i="18" s="1"/>
  <c r="R405" i="18"/>
  <c r="S405" i="18"/>
  <c r="AV405" i="18"/>
  <c r="BA413" i="18"/>
  <c r="AZ413" i="18"/>
  <c r="AW426" i="18"/>
  <c r="Y426" i="18"/>
  <c r="AN426" i="18" s="1"/>
  <c r="Y437" i="18"/>
  <c r="AN437" i="18" s="1"/>
  <c r="AW438" i="18"/>
  <c r="Y438" i="18"/>
  <c r="AN438" i="18" s="1"/>
  <c r="AW402" i="18"/>
  <c r="BC402" i="18" s="1"/>
  <c r="Y402" i="18"/>
  <c r="AN402" i="18" s="1"/>
  <c r="BB403" i="18"/>
  <c r="BA403" i="18"/>
  <c r="AZ403" i="18"/>
  <c r="BB446" i="18"/>
  <c r="BA446" i="18"/>
  <c r="AZ446" i="18"/>
  <c r="BC446" i="18"/>
  <c r="Y451" i="18"/>
  <c r="AN451" i="18" s="1"/>
  <c r="AW451" i="18"/>
  <c r="BA305" i="18"/>
  <c r="R308" i="18"/>
  <c r="BA313" i="18"/>
  <c r="R316" i="18"/>
  <c r="BA321" i="18"/>
  <c r="R324" i="18"/>
  <c r="T324" i="18" s="1"/>
  <c r="BA331" i="18"/>
  <c r="R339" i="18"/>
  <c r="S343" i="18"/>
  <c r="T343" i="18" s="1"/>
  <c r="AV344" i="18"/>
  <c r="Y357" i="18"/>
  <c r="AN357" i="18" s="1"/>
  <c r="S359" i="18"/>
  <c r="R359" i="18"/>
  <c r="BC359" i="18"/>
  <c r="R360" i="18"/>
  <c r="R371" i="18"/>
  <c r="AV371" i="18"/>
  <c r="Y386" i="18"/>
  <c r="AN386" i="18" s="1"/>
  <c r="BA391" i="18"/>
  <c r="AW398" i="18"/>
  <c r="S398" i="18"/>
  <c r="T398" i="18" s="1"/>
  <c r="AW403" i="18"/>
  <c r="AW406" i="18"/>
  <c r="Y406" i="18"/>
  <c r="AN406" i="18" s="1"/>
  <c r="BD408" i="18"/>
  <c r="BE408" i="18" s="1"/>
  <c r="AO408" i="18" s="1"/>
  <c r="AX411" i="18"/>
  <c r="S412" i="18"/>
  <c r="T412" i="18" s="1"/>
  <c r="Y412" i="18"/>
  <c r="AN412" i="18" s="1"/>
  <c r="AW412" i="18"/>
  <c r="R413" i="18"/>
  <c r="P413" i="18"/>
  <c r="BD414" i="18"/>
  <c r="BB443" i="18"/>
  <c r="BA443" i="18"/>
  <c r="AZ443" i="18"/>
  <c r="AX444" i="18"/>
  <c r="Y444" i="18"/>
  <c r="AN444" i="18" s="1"/>
  <c r="BC448" i="18"/>
  <c r="AV299" i="18"/>
  <c r="BB305" i="18"/>
  <c r="AV307" i="18"/>
  <c r="BB313" i="18"/>
  <c r="AV315" i="18"/>
  <c r="BB321" i="18"/>
  <c r="AV323" i="18"/>
  <c r="R329" i="18"/>
  <c r="AZ329" i="18"/>
  <c r="BB331" i="18"/>
  <c r="K333" i="18"/>
  <c r="S339" i="18"/>
  <c r="Y342" i="18"/>
  <c r="AN342" i="18" s="1"/>
  <c r="Y343" i="18"/>
  <c r="AN343" i="18" s="1"/>
  <c r="S348" i="18"/>
  <c r="T348" i="18" s="1"/>
  <c r="Y348" i="18"/>
  <c r="AN348" i="18" s="1"/>
  <c r="S360" i="18"/>
  <c r="Y362" i="18"/>
  <c r="AN362" i="18" s="1"/>
  <c r="AW372" i="18"/>
  <c r="Y372" i="18"/>
  <c r="AN372" i="18" s="1"/>
  <c r="S372" i="18"/>
  <c r="T372" i="18" s="1"/>
  <c r="AW377" i="18"/>
  <c r="BC377" i="18" s="1"/>
  <c r="Y377" i="18"/>
  <c r="AN377" i="18" s="1"/>
  <c r="Y394" i="18"/>
  <c r="AN394" i="18" s="1"/>
  <c r="AV394" i="18"/>
  <c r="S394" i="18"/>
  <c r="R394" i="18"/>
  <c r="Y442" i="18"/>
  <c r="AN442" i="18" s="1"/>
  <c r="R442" i="18"/>
  <c r="S442" i="18"/>
  <c r="AV442" i="18"/>
  <c r="Y355" i="18"/>
  <c r="AN355" i="18" s="1"/>
  <c r="R366" i="18"/>
  <c r="P366" i="18"/>
  <c r="T377" i="18"/>
  <c r="T384" i="18"/>
  <c r="R386" i="18"/>
  <c r="S386" i="18"/>
  <c r="AV386" i="18"/>
  <c r="BB390" i="18"/>
  <c r="BA390" i="18"/>
  <c r="AZ390" i="18"/>
  <c r="AW400" i="18"/>
  <c r="BC400" i="18" s="1"/>
  <c r="Y400" i="18"/>
  <c r="AN400" i="18" s="1"/>
  <c r="AW401" i="18"/>
  <c r="BC401" i="18" s="1"/>
  <c r="Y401" i="18"/>
  <c r="AN401" i="18" s="1"/>
  <c r="AX453" i="18"/>
  <c r="Y453" i="18"/>
  <c r="AN453" i="18" s="1"/>
  <c r="S373" i="18"/>
  <c r="R373" i="18"/>
  <c r="I375" i="18"/>
  <c r="R376" i="18"/>
  <c r="S376" i="18"/>
  <c r="S380" i="18"/>
  <c r="T380" i="18" s="1"/>
  <c r="AW389" i="18"/>
  <c r="BC389" i="18" s="1"/>
  <c r="Y389" i="18"/>
  <c r="AN389" i="18" s="1"/>
  <c r="BB402" i="18"/>
  <c r="AZ414" i="18"/>
  <c r="BC414" i="18" s="1"/>
  <c r="BB414" i="18"/>
  <c r="BA414" i="18"/>
  <c r="AW434" i="18"/>
  <c r="S434" i="18"/>
  <c r="T434" i="18" s="1"/>
  <c r="AW459" i="18"/>
  <c r="Y459" i="18"/>
  <c r="AN459" i="18" s="1"/>
  <c r="S459" i="18"/>
  <c r="BB378" i="18"/>
  <c r="BA378" i="18"/>
  <c r="AZ378" i="18"/>
  <c r="BC378" i="18"/>
  <c r="S383" i="18"/>
  <c r="R383" i="18"/>
  <c r="T383" i="18" s="1"/>
  <c r="Y384" i="18"/>
  <c r="AN384" i="18" s="1"/>
  <c r="AV384" i="18"/>
  <c r="S390" i="18"/>
  <c r="R396" i="18"/>
  <c r="S396" i="18"/>
  <c r="R404" i="18"/>
  <c r="S404" i="18"/>
  <c r="BB431" i="18"/>
  <c r="BA431" i="18"/>
  <c r="BC431" i="18" s="1"/>
  <c r="AZ431" i="18"/>
  <c r="BB457" i="18"/>
  <c r="BA457" i="18"/>
  <c r="AZ457" i="18"/>
  <c r="AV355" i="18"/>
  <c r="Y361" i="18"/>
  <c r="AN361" i="18" s="1"/>
  <c r="AV361" i="18"/>
  <c r="S370" i="18"/>
  <c r="T370" i="18" s="1"/>
  <c r="Y370" i="18"/>
  <c r="AN370" i="18" s="1"/>
  <c r="BC372" i="18"/>
  <c r="Y374" i="18"/>
  <c r="AN374" i="18" s="1"/>
  <c r="AV376" i="18"/>
  <c r="AW382" i="18"/>
  <c r="BC382" i="18" s="1"/>
  <c r="Y382" i="18"/>
  <c r="AN382" i="18" s="1"/>
  <c r="AV383" i="18"/>
  <c r="R388" i="18"/>
  <c r="S388" i="18"/>
  <c r="S389" i="18"/>
  <c r="T389" i="18" s="1"/>
  <c r="Y391" i="18"/>
  <c r="AN391" i="18" s="1"/>
  <c r="R391" i="18"/>
  <c r="T391" i="18" s="1"/>
  <c r="AV404" i="18"/>
  <c r="BC407" i="18"/>
  <c r="BD407" i="18" s="1"/>
  <c r="R414" i="18"/>
  <c r="S414" i="18"/>
  <c r="Y414" i="18"/>
  <c r="AN414" i="18" s="1"/>
  <c r="Y417" i="18"/>
  <c r="AN417" i="18" s="1"/>
  <c r="BA420" i="18"/>
  <c r="AZ420" i="18"/>
  <c r="BC420" i="18" s="1"/>
  <c r="AW421" i="18"/>
  <c r="BC421" i="18" s="1"/>
  <c r="Y421" i="18"/>
  <c r="AN421" i="18" s="1"/>
  <c r="S421" i="18"/>
  <c r="T421" i="18" s="1"/>
  <c r="Y425" i="18"/>
  <c r="AN425" i="18" s="1"/>
  <c r="S425" i="18"/>
  <c r="R425" i="18"/>
  <c r="AV425" i="18"/>
  <c r="AZ433" i="18"/>
  <c r="BB433" i="18"/>
  <c r="BC433" i="18" s="1"/>
  <c r="BA433" i="18"/>
  <c r="AW435" i="18"/>
  <c r="BC435" i="18" s="1"/>
  <c r="BD435" i="18" s="1"/>
  <c r="S435" i="18"/>
  <c r="T435" i="18" s="1"/>
  <c r="Y435" i="18"/>
  <c r="AN435" i="18" s="1"/>
  <c r="R440" i="18"/>
  <c r="P440" i="18"/>
  <c r="BA440" i="18"/>
  <c r="AZ440" i="18"/>
  <c r="BB440" i="18"/>
  <c r="P363" i="18"/>
  <c r="Y363" i="18" s="1"/>
  <c r="AN363" i="18" s="1"/>
  <c r="S365" i="18"/>
  <c r="T365" i="18" s="1"/>
  <c r="Y366" i="18"/>
  <c r="AN366" i="18" s="1"/>
  <c r="AV373" i="18"/>
  <c r="T382" i="18"/>
  <c r="S385" i="18"/>
  <c r="T385" i="18" s="1"/>
  <c r="P388" i="18"/>
  <c r="AW388" i="18" s="1"/>
  <c r="BB392" i="18"/>
  <c r="BA392" i="18"/>
  <c r="T395" i="18"/>
  <c r="BC395" i="18"/>
  <c r="AV396" i="18"/>
  <c r="L397" i="18"/>
  <c r="Y398" i="18"/>
  <c r="AN398" i="18" s="1"/>
  <c r="S406" i="18"/>
  <c r="R406" i="18"/>
  <c r="T406" i="18" s="1"/>
  <c r="AV406" i="18"/>
  <c r="Y408" i="18"/>
  <c r="AN408" i="18" s="1"/>
  <c r="AW410" i="18"/>
  <c r="BC410" i="18" s="1"/>
  <c r="S410" i="18"/>
  <c r="BB415" i="18"/>
  <c r="BA415" i="18"/>
  <c r="AZ415" i="18"/>
  <c r="P430" i="18"/>
  <c r="Y415" i="18"/>
  <c r="AN415" i="18" s="1"/>
  <c r="R415" i="18"/>
  <c r="BB416" i="18"/>
  <c r="BA416" i="18"/>
  <c r="AZ416" i="18"/>
  <c r="BC416" i="18" s="1"/>
  <c r="BA419" i="18"/>
  <c r="BB419" i="18"/>
  <c r="AZ419" i="18"/>
  <c r="AW423" i="18"/>
  <c r="S423" i="18"/>
  <c r="T423" i="18" s="1"/>
  <c r="S439" i="18"/>
  <c r="AW439" i="18"/>
  <c r="R441" i="18"/>
  <c r="S441" i="18"/>
  <c r="AZ451" i="18"/>
  <c r="BA451" i="18"/>
  <c r="BB451" i="18"/>
  <c r="S462" i="18"/>
  <c r="Y462" i="18"/>
  <c r="AN462" i="18" s="1"/>
  <c r="BB479" i="18"/>
  <c r="BA479" i="18"/>
  <c r="AZ479" i="18"/>
  <c r="BC479" i="18" s="1"/>
  <c r="S468" i="18"/>
  <c r="R468" i="18"/>
  <c r="T468" i="18" s="1"/>
  <c r="Y468" i="18"/>
  <c r="AN468" i="18" s="1"/>
  <c r="AP468" i="18" s="1"/>
  <c r="AQ468" i="18" s="1"/>
  <c r="AR468" i="18" s="1"/>
  <c r="R378" i="18"/>
  <c r="T378" i="18" s="1"/>
  <c r="BA380" i="18"/>
  <c r="BC380" i="18" s="1"/>
  <c r="BA385" i="18"/>
  <c r="R390" i="18"/>
  <c r="BA395" i="18"/>
  <c r="AV398" i="18"/>
  <c r="AV399" i="18"/>
  <c r="S400" i="18"/>
  <c r="T400" i="18" s="1"/>
  <c r="S402" i="18"/>
  <c r="T402" i="18" s="1"/>
  <c r="S407" i="18"/>
  <c r="T407" i="18" s="1"/>
  <c r="BB424" i="18"/>
  <c r="AZ424" i="18"/>
  <c r="BC424" i="18" s="1"/>
  <c r="BA424" i="18"/>
  <c r="R428" i="18"/>
  <c r="T428" i="18" s="1"/>
  <c r="Y428" i="18"/>
  <c r="AN428" i="18" s="1"/>
  <c r="AV432" i="18"/>
  <c r="Y432" i="18"/>
  <c r="AN432" i="18" s="1"/>
  <c r="S432" i="18"/>
  <c r="R432" i="18"/>
  <c r="Y439" i="18"/>
  <c r="AN439" i="18" s="1"/>
  <c r="Y441" i="18"/>
  <c r="AN441" i="18" s="1"/>
  <c r="Y443" i="18"/>
  <c r="AN443" i="18" s="1"/>
  <c r="AW449" i="18"/>
  <c r="BC449" i="18" s="1"/>
  <c r="Y449" i="18"/>
  <c r="AN449" i="18" s="1"/>
  <c r="S449" i="18"/>
  <c r="T449" i="18" s="1"/>
  <c r="R465" i="18"/>
  <c r="Y465" i="18"/>
  <c r="AN465" i="18" s="1"/>
  <c r="S465" i="18"/>
  <c r="AV465" i="18"/>
  <c r="BB380" i="18"/>
  <c r="BB385" i="18"/>
  <c r="BB395" i="18"/>
  <c r="S417" i="18"/>
  <c r="R417" i="18"/>
  <c r="AV418" i="18"/>
  <c r="Y418" i="18"/>
  <c r="AN418" i="18" s="1"/>
  <c r="S419" i="18"/>
  <c r="T419" i="18" s="1"/>
  <c r="Y419" i="18"/>
  <c r="AN419" i="18" s="1"/>
  <c r="BD422" i="18"/>
  <c r="BE422" i="18" s="1"/>
  <c r="AO422" i="18" s="1"/>
  <c r="BA427" i="18"/>
  <c r="AZ427" i="18"/>
  <c r="AW447" i="18"/>
  <c r="BC447" i="18" s="1"/>
  <c r="BD447" i="18" s="1"/>
  <c r="S447" i="18"/>
  <c r="T447" i="18" s="1"/>
  <c r="BA462" i="18"/>
  <c r="AZ462" i="18"/>
  <c r="P399" i="18"/>
  <c r="S401" i="18"/>
  <c r="T401" i="18" s="1"/>
  <c r="Y407" i="18"/>
  <c r="AN407" i="18" s="1"/>
  <c r="T410" i="18"/>
  <c r="BA412" i="18"/>
  <c r="R416" i="18"/>
  <c r="T416" i="18" s="1"/>
  <c r="AV417" i="18"/>
  <c r="AV426" i="18"/>
  <c r="S426" i="18"/>
  <c r="R426" i="18"/>
  <c r="T426" i="18" s="1"/>
  <c r="AV428" i="18"/>
  <c r="T439" i="18"/>
  <c r="AV441" i="18"/>
  <c r="Y456" i="18"/>
  <c r="AN456" i="18" s="1"/>
  <c r="R456" i="18"/>
  <c r="T456" i="18" s="1"/>
  <c r="AV456" i="18"/>
  <c r="AW462" i="18"/>
  <c r="BC462" i="18" s="1"/>
  <c r="R433" i="18"/>
  <c r="T433" i="18" s="1"/>
  <c r="Y433" i="18"/>
  <c r="AN433" i="18" s="1"/>
  <c r="R450" i="18"/>
  <c r="P450" i="18"/>
  <c r="S453" i="18"/>
  <c r="R453" i="18"/>
  <c r="AV453" i="18"/>
  <c r="BB458" i="18"/>
  <c r="AZ458" i="18"/>
  <c r="BA458" i="18"/>
  <c r="AW464" i="18"/>
  <c r="BC464" i="18" s="1"/>
  <c r="S464" i="18"/>
  <c r="T424" i="18"/>
  <c r="Y424" i="18"/>
  <c r="AN424" i="18" s="1"/>
  <c r="Y427" i="18"/>
  <c r="AN427" i="18" s="1"/>
  <c r="S444" i="18"/>
  <c r="R444" i="18"/>
  <c r="T444" i="18" s="1"/>
  <c r="AV444" i="18"/>
  <c r="BD410" i="18"/>
  <c r="Y423" i="18"/>
  <c r="AN423" i="18" s="1"/>
  <c r="AV423" i="18"/>
  <c r="Y452" i="18"/>
  <c r="AN452" i="18" s="1"/>
  <c r="S452" i="18"/>
  <c r="R452" i="18"/>
  <c r="T452" i="18" s="1"/>
  <c r="AV452" i="18"/>
  <c r="AV461" i="18"/>
  <c r="S461" i="18"/>
  <c r="R461" i="18"/>
  <c r="Y461" i="18"/>
  <c r="AN461" i="18" s="1"/>
  <c r="Y466" i="18"/>
  <c r="AN466" i="18" s="1"/>
  <c r="AV466" i="18"/>
  <c r="R466" i="18"/>
  <c r="S466" i="18"/>
  <c r="P409" i="18"/>
  <c r="Y409" i="18" s="1"/>
  <c r="AN409" i="18" s="1"/>
  <c r="S411" i="18"/>
  <c r="T411" i="18" s="1"/>
  <c r="Y422" i="18"/>
  <c r="AN422" i="18" s="1"/>
  <c r="AZ430" i="18"/>
  <c r="R443" i="18"/>
  <c r="BB449" i="18"/>
  <c r="BA449" i="18"/>
  <c r="T455" i="18"/>
  <c r="P436" i="18"/>
  <c r="S438" i="18"/>
  <c r="AV439" i="18"/>
  <c r="Y445" i="18"/>
  <c r="AN445" i="18" s="1"/>
  <c r="BB450" i="18"/>
  <c r="P454" i="18"/>
  <c r="P458" i="18"/>
  <c r="AV459" i="18"/>
  <c r="R459" i="18"/>
  <c r="R462" i="18"/>
  <c r="T462" i="18" s="1"/>
  <c r="P467" i="18"/>
  <c r="S467" i="18" s="1"/>
  <c r="BB489" i="18"/>
  <c r="BC489" i="18" s="1"/>
  <c r="BA489" i="18"/>
  <c r="AZ489" i="18"/>
  <c r="Y429" i="18"/>
  <c r="AN429" i="18" s="1"/>
  <c r="AV429" i="18"/>
  <c r="R437" i="18"/>
  <c r="T437" i="18" s="1"/>
  <c r="R438" i="18"/>
  <c r="R445" i="18"/>
  <c r="AV445" i="18"/>
  <c r="Y446" i="18"/>
  <c r="AN446" i="18" s="1"/>
  <c r="BA450" i="18"/>
  <c r="AW463" i="18"/>
  <c r="BC463" i="18" s="1"/>
  <c r="Y463" i="18"/>
  <c r="AN463" i="18" s="1"/>
  <c r="AZ463" i="18"/>
  <c r="AZ464" i="18"/>
  <c r="BA464" i="18"/>
  <c r="AE477" i="18"/>
  <c r="AD481" i="18"/>
  <c r="BC480" i="18"/>
  <c r="BB480" i="18"/>
  <c r="BA480" i="18"/>
  <c r="AZ480" i="18"/>
  <c r="S445" i="18"/>
  <c r="Y457" i="18"/>
  <c r="AN457" i="18" s="1"/>
  <c r="R457" i="18"/>
  <c r="Y434" i="18"/>
  <c r="AN434" i="18" s="1"/>
  <c r="AV434" i="18"/>
  <c r="BD437" i="18"/>
  <c r="AV438" i="18"/>
  <c r="AZ448" i="18"/>
  <c r="R451" i="18"/>
  <c r="S451" i="18"/>
  <c r="AV454" i="18"/>
  <c r="BA463" i="18"/>
  <c r="AV467" i="18"/>
  <c r="R467" i="18"/>
  <c r="S448" i="18"/>
  <c r="T448" i="18" s="1"/>
  <c r="BC477" i="18"/>
  <c r="BA477" i="18"/>
  <c r="AZ477" i="18"/>
  <c r="Y447" i="18"/>
  <c r="AN447" i="18" s="1"/>
  <c r="Y448" i="18"/>
  <c r="AN448" i="18" s="1"/>
  <c r="S455" i="18"/>
  <c r="AV455" i="18"/>
  <c r="Y455" i="18"/>
  <c r="AN455" i="18" s="1"/>
  <c r="S460" i="18"/>
  <c r="T460" i="18" s="1"/>
  <c r="AV460" i="18"/>
  <c r="BD477" i="18"/>
  <c r="AX478" i="18"/>
  <c r="Y478" i="18"/>
  <c r="AN478" i="18" s="1"/>
  <c r="AZ478" i="18"/>
  <c r="S479" i="18"/>
  <c r="T479" i="18" s="1"/>
  <c r="R480" i="18"/>
  <c r="I481" i="18"/>
  <c r="W487" i="18"/>
  <c r="Y487" i="18" s="1"/>
  <c r="AZ487" i="18"/>
  <c r="BC488" i="18"/>
  <c r="I490" i="18"/>
  <c r="R464" i="18"/>
  <c r="Y477" i="18"/>
  <c r="BA478" i="18"/>
  <c r="S480" i="18"/>
  <c r="R488" i="18"/>
  <c r="T488" i="18" s="1"/>
  <c r="BB478" i="18"/>
  <c r="Y479" i="18"/>
  <c r="AN479" i="18" s="1"/>
  <c r="Y489" i="18"/>
  <c r="AN489" i="18" s="1"/>
  <c r="Y480" i="18"/>
  <c r="AN480" i="18" s="1"/>
  <c r="AZ488" i="18"/>
  <c r="S477" i="18"/>
  <c r="T477" i="18" s="1"/>
  <c r="T481" i="18" s="1"/>
  <c r="BA488" i="18"/>
  <c r="R489" i="18"/>
  <c r="S489" i="18"/>
  <c r="S490" i="18" s="1"/>
  <c r="AW235" i="18" l="1"/>
  <c r="T325" i="18"/>
  <c r="S202" i="18"/>
  <c r="BC229" i="18"/>
  <c r="AN64" i="18"/>
  <c r="AW325" i="18"/>
  <c r="BC325" i="18" s="1"/>
  <c r="BD325" i="18" s="1"/>
  <c r="BE325" i="18" s="1"/>
  <c r="AO325" i="18" s="1"/>
  <c r="S325" i="18"/>
  <c r="T329" i="18"/>
  <c r="T181" i="18"/>
  <c r="BC297" i="18"/>
  <c r="T162" i="18"/>
  <c r="AN159" i="18"/>
  <c r="AN183" i="18"/>
  <c r="AN97" i="18"/>
  <c r="AN220" i="18"/>
  <c r="T405" i="18"/>
  <c r="BC106" i="18"/>
  <c r="T414" i="18"/>
  <c r="T213" i="18"/>
  <c r="T244" i="18"/>
  <c r="AN24" i="18"/>
  <c r="AW297" i="18"/>
  <c r="S297" i="18"/>
  <c r="T297" i="18" s="1"/>
  <c r="S236" i="18"/>
  <c r="AP422" i="18"/>
  <c r="AQ422" i="18" s="1"/>
  <c r="AR422" i="18" s="1"/>
  <c r="T461" i="18"/>
  <c r="BC412" i="18"/>
  <c r="T417" i="18"/>
  <c r="T308" i="18"/>
  <c r="T286" i="18"/>
  <c r="BC177" i="18"/>
  <c r="AN16" i="18"/>
  <c r="AP16" i="18" s="1"/>
  <c r="AQ16" i="18" s="1"/>
  <c r="AR16" i="18" s="1"/>
  <c r="AN185" i="18"/>
  <c r="Y17" i="18"/>
  <c r="AN17" i="18" s="1"/>
  <c r="T467" i="18"/>
  <c r="BC353" i="18"/>
  <c r="T445" i="18"/>
  <c r="T453" i="18"/>
  <c r="Y388" i="18"/>
  <c r="AN388" i="18" s="1"/>
  <c r="T394" i="18"/>
  <c r="BC388" i="18"/>
  <c r="BC195" i="18"/>
  <c r="BD195" i="18" s="1"/>
  <c r="BE195" i="18" s="1"/>
  <c r="AO195" i="18" s="1"/>
  <c r="AP195" i="18" s="1"/>
  <c r="AN56" i="18"/>
  <c r="AN120" i="18"/>
  <c r="T459" i="18"/>
  <c r="T432" i="18"/>
  <c r="T441" i="18"/>
  <c r="T354" i="18"/>
  <c r="T317" i="18"/>
  <c r="BC292" i="18"/>
  <c r="T293" i="18"/>
  <c r="T188" i="18"/>
  <c r="P471" i="18"/>
  <c r="T173" i="18"/>
  <c r="AN43" i="18"/>
  <c r="AN201" i="18"/>
  <c r="T360" i="18"/>
  <c r="AN10" i="18"/>
  <c r="AN72" i="18"/>
  <c r="T466" i="18"/>
  <c r="T341" i="18"/>
  <c r="BC204" i="18"/>
  <c r="BC201" i="18"/>
  <c r="BC179" i="18"/>
  <c r="BC62" i="18"/>
  <c r="T443" i="18"/>
  <c r="T425" i="18"/>
  <c r="AP342" i="18"/>
  <c r="AQ342" i="18" s="1"/>
  <c r="AR342" i="18" s="1"/>
  <c r="T359" i="18"/>
  <c r="Y311" i="18"/>
  <c r="AN311" i="18" s="1"/>
  <c r="T180" i="18"/>
  <c r="AN47" i="18"/>
  <c r="BC44" i="18"/>
  <c r="AN113" i="18"/>
  <c r="BC65" i="18"/>
  <c r="T164" i="18"/>
  <c r="BC390" i="18"/>
  <c r="T245" i="18"/>
  <c r="T327" i="18"/>
  <c r="T303" i="18"/>
  <c r="T215" i="18"/>
  <c r="T179" i="18"/>
  <c r="Y202" i="18"/>
  <c r="AN202" i="18" s="1"/>
  <c r="Y195" i="18"/>
  <c r="AN195" i="18" s="1"/>
  <c r="T178" i="18"/>
  <c r="AN182" i="18"/>
  <c r="Y105" i="18"/>
  <c r="Y76" i="18"/>
  <c r="AN76" i="18" s="1"/>
  <c r="AO84" i="18"/>
  <c r="AW443" i="18"/>
  <c r="BC443" i="18" s="1"/>
  <c r="BD443" i="18" s="1"/>
  <c r="BE443" i="18" s="1"/>
  <c r="AO443" i="18" s="1"/>
  <c r="AP443" i="18" s="1"/>
  <c r="AQ443" i="18" s="1"/>
  <c r="AR443" i="18" s="1"/>
  <c r="S443" i="18"/>
  <c r="AX144" i="18"/>
  <c r="Y144" i="18"/>
  <c r="AN144" i="18" s="1"/>
  <c r="AW294" i="18"/>
  <c r="S294" i="18"/>
  <c r="T294" i="18" s="1"/>
  <c r="Y178" i="18"/>
  <c r="AN178" i="18" s="1"/>
  <c r="AW178" i="18"/>
  <c r="BC178" i="18" s="1"/>
  <c r="S180" i="18"/>
  <c r="AW180" i="18"/>
  <c r="AN235" i="18"/>
  <c r="AW457" i="18"/>
  <c r="BC457" i="18" s="1"/>
  <c r="S457" i="18"/>
  <c r="T457" i="18" s="1"/>
  <c r="Y194" i="18"/>
  <c r="AN194" i="18" s="1"/>
  <c r="AW194" i="18"/>
  <c r="BC194" i="18" s="1"/>
  <c r="BD194" i="18" s="1"/>
  <c r="BE194" i="18" s="1"/>
  <c r="AO194" i="18" s="1"/>
  <c r="AP194" i="18" s="1"/>
  <c r="AW309" i="18"/>
  <c r="BC309" i="18" s="1"/>
  <c r="BD309" i="18" s="1"/>
  <c r="S309" i="18"/>
  <c r="T309" i="18" s="1"/>
  <c r="AW166" i="18"/>
  <c r="BC166" i="18" s="1"/>
  <c r="BD166" i="18" s="1"/>
  <c r="BE166" i="18" s="1"/>
  <c r="AO166" i="18" s="1"/>
  <c r="AP166" i="18" s="1"/>
  <c r="S166" i="18"/>
  <c r="T166" i="18" s="1"/>
  <c r="AW232" i="18"/>
  <c r="Y232" i="18"/>
  <c r="AN232" i="18" s="1"/>
  <c r="AW162" i="18"/>
  <c r="Y162" i="18"/>
  <c r="AN162" i="18" s="1"/>
  <c r="AW374" i="18"/>
  <c r="BC374" i="18" s="1"/>
  <c r="S374" i="18"/>
  <c r="T374" i="18" s="1"/>
  <c r="Y117" i="18"/>
  <c r="AN117" i="18" s="1"/>
  <c r="AW117" i="18"/>
  <c r="AN14" i="18"/>
  <c r="AW349" i="18"/>
  <c r="Y349" i="18"/>
  <c r="AN349" i="18" s="1"/>
  <c r="AW371" i="18"/>
  <c r="BC371" i="18" s="1"/>
  <c r="Y371" i="18"/>
  <c r="AN371" i="18" s="1"/>
  <c r="AW376" i="18"/>
  <c r="Y376" i="18"/>
  <c r="AN376" i="18" s="1"/>
  <c r="AW112" i="18"/>
  <c r="Y112" i="18"/>
  <c r="AN112" i="18" s="1"/>
  <c r="BD489" i="18"/>
  <c r="BE489" i="18" s="1"/>
  <c r="AO489" i="18" s="1"/>
  <c r="AP489" i="18" s="1"/>
  <c r="AQ489" i="18" s="1"/>
  <c r="AR489" i="18" s="1"/>
  <c r="BD63" i="18"/>
  <c r="BE63" i="18" s="1"/>
  <c r="AO63" i="18" s="1"/>
  <c r="BD201" i="18"/>
  <c r="BE201" i="18" s="1"/>
  <c r="AO201" i="18" s="1"/>
  <c r="AP201" i="18" s="1"/>
  <c r="BD412" i="18"/>
  <c r="BE412" i="18" s="1"/>
  <c r="AO412" i="18" s="1"/>
  <c r="AP412" i="18" s="1"/>
  <c r="AQ412" i="18" s="1"/>
  <c r="AR412" i="18" s="1"/>
  <c r="BD431" i="18"/>
  <c r="BE431" i="18" s="1"/>
  <c r="AO431" i="18" s="1"/>
  <c r="AP431" i="18" s="1"/>
  <c r="AQ431" i="18" s="1"/>
  <c r="AR431" i="18" s="1"/>
  <c r="BD185" i="18"/>
  <c r="BE185" i="18" s="1"/>
  <c r="AO185" i="18" s="1"/>
  <c r="BD168" i="18"/>
  <c r="BE168" i="18" s="1"/>
  <c r="AO168" i="18" s="1"/>
  <c r="AP168" i="18" s="1"/>
  <c r="BD433" i="18"/>
  <c r="BE433" i="18" s="1"/>
  <c r="AO433" i="18" s="1"/>
  <c r="AP433" i="18" s="1"/>
  <c r="AQ433" i="18" s="1"/>
  <c r="AR433" i="18" s="1"/>
  <c r="BD421" i="18"/>
  <c r="BE421" i="18" s="1"/>
  <c r="AO421" i="18" s="1"/>
  <c r="AP421" i="18" s="1"/>
  <c r="AQ421" i="18" s="1"/>
  <c r="AR421" i="18" s="1"/>
  <c r="BE377" i="18"/>
  <c r="AO377" i="18" s="1"/>
  <c r="AP377" i="18" s="1"/>
  <c r="AQ377" i="18" s="1"/>
  <c r="AR377" i="18" s="1"/>
  <c r="BD377" i="18"/>
  <c r="BD462" i="18"/>
  <c r="BE462" i="18" s="1"/>
  <c r="AO462" i="18" s="1"/>
  <c r="AP462" i="18" s="1"/>
  <c r="AQ462" i="18" s="1"/>
  <c r="AR462" i="18" s="1"/>
  <c r="BD370" i="18"/>
  <c r="BE370" i="18" s="1"/>
  <c r="AO370" i="18" s="1"/>
  <c r="AP370" i="18" s="1"/>
  <c r="AQ370" i="18" s="1"/>
  <c r="AR370" i="18" s="1"/>
  <c r="BC478" i="18"/>
  <c r="BD464" i="18"/>
  <c r="BE464" i="18" s="1"/>
  <c r="AO464" i="18" s="1"/>
  <c r="AP464" i="18" s="1"/>
  <c r="AQ464" i="18" s="1"/>
  <c r="AR464" i="18" s="1"/>
  <c r="BD449" i="18"/>
  <c r="BE449" i="18" s="1"/>
  <c r="AO449" i="18" s="1"/>
  <c r="AP449" i="18" s="1"/>
  <c r="AQ449" i="18" s="1"/>
  <c r="AR449" i="18" s="1"/>
  <c r="BD416" i="18"/>
  <c r="BE416" i="18" s="1"/>
  <c r="AO416" i="18" s="1"/>
  <c r="AP416" i="18" s="1"/>
  <c r="AQ416" i="18" s="1"/>
  <c r="AR416" i="18" s="1"/>
  <c r="AZ355" i="18"/>
  <c r="BA355" i="18"/>
  <c r="BB355" i="18"/>
  <c r="BC355" i="18" s="1"/>
  <c r="BD402" i="18"/>
  <c r="BE402" i="18" s="1"/>
  <c r="AO402" i="18" s="1"/>
  <c r="AP402" i="18" s="1"/>
  <c r="AQ402" i="18" s="1"/>
  <c r="AR402" i="18" s="1"/>
  <c r="BD359" i="18"/>
  <c r="BE359" i="18" s="1"/>
  <c r="AO359" i="18" s="1"/>
  <c r="AP359" i="18" s="1"/>
  <c r="AQ359" i="18" s="1"/>
  <c r="AR359" i="18" s="1"/>
  <c r="BD353" i="18"/>
  <c r="BE353" i="18" s="1"/>
  <c r="AO353" i="18" s="1"/>
  <c r="AP353" i="18" s="1"/>
  <c r="AQ353" i="18" s="1"/>
  <c r="AR353" i="18" s="1"/>
  <c r="BD287" i="18"/>
  <c r="BE287" i="18" s="1"/>
  <c r="AO287" i="18" s="1"/>
  <c r="AP287" i="18" s="1"/>
  <c r="AQ287" i="18" s="1"/>
  <c r="AR287" i="18" s="1"/>
  <c r="BB234" i="18"/>
  <c r="BA234" i="18"/>
  <c r="AZ234" i="18"/>
  <c r="BC234" i="18" s="1"/>
  <c r="BC320" i="18"/>
  <c r="AZ320" i="18"/>
  <c r="BB320" i="18"/>
  <c r="BA320" i="18"/>
  <c r="AZ248" i="18"/>
  <c r="BC248" i="18" s="1"/>
  <c r="BA248" i="18"/>
  <c r="BB248" i="18"/>
  <c r="BD392" i="18"/>
  <c r="BE392" i="18" s="1"/>
  <c r="AO392" i="18" s="1"/>
  <c r="AP392" i="18" s="1"/>
  <c r="AQ392" i="18" s="1"/>
  <c r="AR392" i="18" s="1"/>
  <c r="BB294" i="18"/>
  <c r="BA294" i="18"/>
  <c r="AZ294" i="18"/>
  <c r="BC294" i="18" s="1"/>
  <c r="BD193" i="18"/>
  <c r="BE193" i="18" s="1"/>
  <c r="AO193" i="18" s="1"/>
  <c r="BD233" i="18"/>
  <c r="BE233" i="18" s="1"/>
  <c r="AO233" i="18" s="1"/>
  <c r="AP233" i="18" s="1"/>
  <c r="BB210" i="18"/>
  <c r="BA210" i="18"/>
  <c r="AZ210" i="18"/>
  <c r="BC210" i="18" s="1"/>
  <c r="BB187" i="18"/>
  <c r="BA187" i="18"/>
  <c r="AZ187" i="18"/>
  <c r="BC228" i="18"/>
  <c r="BD203" i="18"/>
  <c r="BE203" i="18" s="1"/>
  <c r="AO203" i="18" s="1"/>
  <c r="AP203" i="18" s="1"/>
  <c r="P69" i="18"/>
  <c r="M84" i="18"/>
  <c r="BD171" i="18"/>
  <c r="BE171" i="18" s="1"/>
  <c r="AO171" i="18" s="1"/>
  <c r="AP171" i="18" s="1"/>
  <c r="BD19" i="18"/>
  <c r="BE19" i="18" s="1"/>
  <c r="AO19" i="18" s="1"/>
  <c r="BC110" i="18"/>
  <c r="BD26" i="18"/>
  <c r="BE26" i="18" s="1"/>
  <c r="AO26" i="18" s="1"/>
  <c r="BD73" i="18"/>
  <c r="BE73" i="18" s="1"/>
  <c r="AO73" i="18" s="1"/>
  <c r="AP73" i="18" s="1"/>
  <c r="AQ73" i="18" s="1"/>
  <c r="AR73" i="18" s="1"/>
  <c r="BB95" i="18"/>
  <c r="BA95" i="18"/>
  <c r="AZ95" i="18"/>
  <c r="BC95" i="18" s="1"/>
  <c r="T489" i="18"/>
  <c r="T490" i="18" s="1"/>
  <c r="Y490" i="18"/>
  <c r="AN487" i="18"/>
  <c r="BD463" i="18"/>
  <c r="BE463" i="18" s="1"/>
  <c r="AO463" i="18" s="1"/>
  <c r="AP463" i="18" s="1"/>
  <c r="AQ463" i="18" s="1"/>
  <c r="AR463" i="18" s="1"/>
  <c r="AZ376" i="18"/>
  <c r="BC376" i="18" s="1"/>
  <c r="BA376" i="18"/>
  <c r="BB376" i="18"/>
  <c r="BC321" i="18"/>
  <c r="BC397" i="18"/>
  <c r="BB397" i="18"/>
  <c r="BA397" i="18"/>
  <c r="AZ397" i="18"/>
  <c r="BC324" i="18"/>
  <c r="BA289" i="18"/>
  <c r="BC289" i="18" s="1"/>
  <c r="AZ289" i="18"/>
  <c r="BB289" i="18"/>
  <c r="AW316" i="18"/>
  <c r="BC316" i="18" s="1"/>
  <c r="Y316" i="18"/>
  <c r="AN316" i="18" s="1"/>
  <c r="BD310" i="18"/>
  <c r="BE310" i="18" s="1"/>
  <c r="AO310" i="18" s="1"/>
  <c r="AP310" i="18" s="1"/>
  <c r="AQ310" i="18" s="1"/>
  <c r="AR310" i="18" s="1"/>
  <c r="T368" i="18"/>
  <c r="BB349" i="18"/>
  <c r="BA349" i="18"/>
  <c r="AZ349" i="18"/>
  <c r="BC349" i="18" s="1"/>
  <c r="BC156" i="18"/>
  <c r="BC114" i="18"/>
  <c r="BD163" i="18"/>
  <c r="BE163" i="18" s="1"/>
  <c r="AO163" i="18" s="1"/>
  <c r="AP163" i="18" s="1"/>
  <c r="BD54" i="18"/>
  <c r="BE54" i="18" s="1"/>
  <c r="AO54" i="18" s="1"/>
  <c r="BD372" i="18"/>
  <c r="BE372" i="18" s="1"/>
  <c r="AO372" i="18" s="1"/>
  <c r="AP372" i="18" s="1"/>
  <c r="AQ372" i="18" s="1"/>
  <c r="AR372" i="18" s="1"/>
  <c r="BA286" i="18"/>
  <c r="AZ286" i="18"/>
  <c r="BC286" i="18" s="1"/>
  <c r="BB286" i="18"/>
  <c r="BD290" i="18"/>
  <c r="BE290" i="18" s="1"/>
  <c r="AO290" i="18" s="1"/>
  <c r="AP290" i="18" s="1"/>
  <c r="AQ290" i="18" s="1"/>
  <c r="AR290" i="18" s="1"/>
  <c r="BD177" i="18"/>
  <c r="BE177" i="18" s="1"/>
  <c r="AO177" i="18" s="1"/>
  <c r="BD167" i="18"/>
  <c r="BE167" i="18" s="1"/>
  <c r="AO167" i="18" s="1"/>
  <c r="AP167" i="18" s="1"/>
  <c r="BD136" i="18"/>
  <c r="BE136" i="18" s="1"/>
  <c r="AO136" i="18" s="1"/>
  <c r="AP136" i="18" s="1"/>
  <c r="AQ136" i="18" s="1"/>
  <c r="AR136" i="18" s="1"/>
  <c r="BD94" i="18"/>
  <c r="BE94" i="18" s="1"/>
  <c r="AO94" i="18" s="1"/>
  <c r="AP94" i="18" s="1"/>
  <c r="AQ94" i="18" s="1"/>
  <c r="AR94" i="18" s="1"/>
  <c r="BD157" i="18"/>
  <c r="BE157" i="18" s="1"/>
  <c r="AO157" i="18" s="1"/>
  <c r="AP157" i="18" s="1"/>
  <c r="BB454" i="18"/>
  <c r="BA454" i="18"/>
  <c r="AZ454" i="18"/>
  <c r="BB429" i="18"/>
  <c r="BA429" i="18"/>
  <c r="AZ429" i="18"/>
  <c r="AZ341" i="18"/>
  <c r="BC341" i="18" s="1"/>
  <c r="BA341" i="18"/>
  <c r="BB341" i="18"/>
  <c r="BA108" i="18"/>
  <c r="BC108" i="18" s="1"/>
  <c r="AZ108" i="18"/>
  <c r="BB108" i="18"/>
  <c r="BD207" i="18"/>
  <c r="BE207" i="18" s="1"/>
  <c r="AO207" i="18" s="1"/>
  <c r="BD424" i="18"/>
  <c r="BE424" i="18" s="1"/>
  <c r="AO424" i="18" s="1"/>
  <c r="AP424" i="18" s="1"/>
  <c r="AQ424" i="18" s="1"/>
  <c r="AR424" i="18" s="1"/>
  <c r="AW351" i="18"/>
  <c r="Y351" i="18"/>
  <c r="AN351" i="18" s="1"/>
  <c r="P469" i="18"/>
  <c r="BD358" i="18"/>
  <c r="BE358" i="18" s="1"/>
  <c r="AO358" i="18" s="1"/>
  <c r="AP358" i="18" s="1"/>
  <c r="AQ358" i="18" s="1"/>
  <c r="AR358" i="18" s="1"/>
  <c r="BD388" i="18"/>
  <c r="BE388" i="18" s="1"/>
  <c r="AO388" i="18" s="1"/>
  <c r="AP388" i="18" s="1"/>
  <c r="AQ388" i="18" s="1"/>
  <c r="AR388" i="18" s="1"/>
  <c r="BB36" i="18"/>
  <c r="AZ36" i="18"/>
  <c r="BC36" i="18" s="1"/>
  <c r="BA36" i="18"/>
  <c r="BD49" i="18"/>
  <c r="BE49" i="18" s="1"/>
  <c r="AO49" i="18" s="1"/>
  <c r="BE78" i="18"/>
  <c r="AO78" i="18" s="1"/>
  <c r="BD78" i="18"/>
  <c r="BB453" i="18"/>
  <c r="BA453" i="18"/>
  <c r="AZ453" i="18"/>
  <c r="BC453" i="18" s="1"/>
  <c r="BD176" i="18"/>
  <c r="BE176" i="18" s="1"/>
  <c r="AO176" i="18" s="1"/>
  <c r="AP176" i="18" s="1"/>
  <c r="AZ144" i="18"/>
  <c r="BA144" i="18"/>
  <c r="BC144" i="18" s="1"/>
  <c r="BB144" i="18"/>
  <c r="BA125" i="18"/>
  <c r="BC125" i="18" s="1"/>
  <c r="AZ125" i="18"/>
  <c r="BB125" i="18"/>
  <c r="AZ53" i="18"/>
  <c r="BC53" i="18" s="1"/>
  <c r="BB53" i="18"/>
  <c r="BA53" i="18"/>
  <c r="BA101" i="18"/>
  <c r="AZ101" i="18"/>
  <c r="BB101" i="18"/>
  <c r="BC101" i="18"/>
  <c r="BA20" i="18"/>
  <c r="AZ20" i="18"/>
  <c r="BC20" i="18" s="1"/>
  <c r="BB20" i="18"/>
  <c r="AW126" i="18"/>
  <c r="Y126" i="18"/>
  <c r="AN126" i="18" s="1"/>
  <c r="BD75" i="18"/>
  <c r="BE75" i="18" s="1"/>
  <c r="AO75" i="18" s="1"/>
  <c r="AP75" i="18" s="1"/>
  <c r="AQ75" i="18" s="1"/>
  <c r="AR75" i="18" s="1"/>
  <c r="BD50" i="18"/>
  <c r="BE50" i="18" s="1"/>
  <c r="AO50" i="18" s="1"/>
  <c r="P124" i="18"/>
  <c r="M128" i="18"/>
  <c r="T31" i="18"/>
  <c r="BE480" i="18"/>
  <c r="AO480" i="18" s="1"/>
  <c r="BD480" i="18"/>
  <c r="AZ428" i="18"/>
  <c r="BC428" i="18" s="1"/>
  <c r="BB428" i="18"/>
  <c r="BA428" i="18"/>
  <c r="BE326" i="18"/>
  <c r="AO326" i="18" s="1"/>
  <c r="BA301" i="18"/>
  <c r="AZ301" i="18"/>
  <c r="BC301" i="18" s="1"/>
  <c r="BB301" i="18"/>
  <c r="BB211" i="18"/>
  <c r="BA211" i="18"/>
  <c r="BC211" i="18" s="1"/>
  <c r="AZ211" i="18"/>
  <c r="BB48" i="18"/>
  <c r="AZ48" i="18"/>
  <c r="BA48" i="18"/>
  <c r="BC48" i="18" s="1"/>
  <c r="BE192" i="18"/>
  <c r="AO192" i="18" s="1"/>
  <c r="BD192" i="18"/>
  <c r="BD18" i="18"/>
  <c r="BE18" i="18" s="1"/>
  <c r="AO18" i="18" s="1"/>
  <c r="AP18" i="18" s="1"/>
  <c r="AQ18" i="18" s="1"/>
  <c r="AR18" i="18" s="1"/>
  <c r="BC369" i="18"/>
  <c r="BB369" i="18"/>
  <c r="BA369" i="18"/>
  <c r="AZ369" i="18"/>
  <c r="S351" i="18"/>
  <c r="T351" i="18" s="1"/>
  <c r="BE300" i="18"/>
  <c r="AO300" i="18" s="1"/>
  <c r="AZ137" i="18"/>
  <c r="BC137" i="18" s="1"/>
  <c r="BA137" i="18"/>
  <c r="BB137" i="18"/>
  <c r="BA118" i="18"/>
  <c r="AZ118" i="18"/>
  <c r="BC118" i="18" s="1"/>
  <c r="BB118" i="18"/>
  <c r="BD188" i="18"/>
  <c r="BE188" i="18" s="1"/>
  <c r="AO188" i="18" s="1"/>
  <c r="AP188" i="18" s="1"/>
  <c r="BD170" i="18"/>
  <c r="BE170" i="18" s="1"/>
  <c r="AO170" i="18" s="1"/>
  <c r="AP170" i="18" s="1"/>
  <c r="BD240" i="18"/>
  <c r="BE240" i="18" s="1"/>
  <c r="AO240" i="18" s="1"/>
  <c r="AP240" i="18" s="1"/>
  <c r="BD45" i="18"/>
  <c r="BE45" i="18" s="1"/>
  <c r="AO45" i="18" s="1"/>
  <c r="AW27" i="18"/>
  <c r="BC27" i="18" s="1"/>
  <c r="Y27" i="18"/>
  <c r="AN27" i="18" s="1"/>
  <c r="P84" i="18"/>
  <c r="AW6" i="18"/>
  <c r="BC6" i="18" s="1"/>
  <c r="Y6" i="18"/>
  <c r="BD183" i="18"/>
  <c r="BE183" i="18" s="1"/>
  <c r="AO183" i="18" s="1"/>
  <c r="AP183" i="18" s="1"/>
  <c r="BD98" i="18"/>
  <c r="BE98" i="18" s="1"/>
  <c r="AO98" i="18" s="1"/>
  <c r="AP98" i="18" s="1"/>
  <c r="AQ98" i="18" s="1"/>
  <c r="AR98" i="18" s="1"/>
  <c r="BD58" i="18"/>
  <c r="BE58" i="18" s="1"/>
  <c r="AO58" i="18" s="1"/>
  <c r="AP58" i="18" s="1"/>
  <c r="AQ58" i="18" s="1"/>
  <c r="AR58" i="18" s="1"/>
  <c r="BD42" i="18"/>
  <c r="BE42" i="18" s="1"/>
  <c r="AO42" i="18" s="1"/>
  <c r="AP42" i="18" s="1"/>
  <c r="AQ42" i="18" s="1"/>
  <c r="AR42" i="18" s="1"/>
  <c r="BA455" i="18"/>
  <c r="AZ455" i="18"/>
  <c r="BC455" i="18" s="1"/>
  <c r="BB455" i="18"/>
  <c r="BD357" i="18"/>
  <c r="BE357" i="18" s="1"/>
  <c r="AO357" i="18" s="1"/>
  <c r="AP357" i="18" s="1"/>
  <c r="AQ357" i="18" s="1"/>
  <c r="AR357" i="18" s="1"/>
  <c r="BD10" i="18"/>
  <c r="BE10" i="18" s="1"/>
  <c r="AO10" i="18" s="1"/>
  <c r="AP10" i="18" s="1"/>
  <c r="AQ10" i="18" s="1"/>
  <c r="AR10" i="18" s="1"/>
  <c r="AW454" i="18"/>
  <c r="BC454" i="18" s="1"/>
  <c r="Y454" i="18"/>
  <c r="AN454" i="18" s="1"/>
  <c r="S454" i="18"/>
  <c r="T454" i="18" s="1"/>
  <c r="BD400" i="18"/>
  <c r="BE400" i="18" s="1"/>
  <c r="AO400" i="18" s="1"/>
  <c r="AP400" i="18" s="1"/>
  <c r="AQ400" i="18" s="1"/>
  <c r="AR400" i="18" s="1"/>
  <c r="BA406" i="18"/>
  <c r="AZ406" i="18"/>
  <c r="BC406" i="18" s="1"/>
  <c r="BB406" i="18"/>
  <c r="BE414" i="18"/>
  <c r="AO414" i="18" s="1"/>
  <c r="BD448" i="18"/>
  <c r="BE448" i="18" s="1"/>
  <c r="AO448" i="18" s="1"/>
  <c r="AP448" i="18" s="1"/>
  <c r="AQ448" i="18" s="1"/>
  <c r="AR448" i="18" s="1"/>
  <c r="BC403" i="18"/>
  <c r="T339" i="18"/>
  <c r="BC451" i="18"/>
  <c r="T381" i="18"/>
  <c r="BD427" i="18"/>
  <c r="BE427" i="18" s="1"/>
  <c r="AO427" i="18" s="1"/>
  <c r="AP427" i="18" s="1"/>
  <c r="AQ427" i="18" s="1"/>
  <c r="AR427" i="18" s="1"/>
  <c r="AZ174" i="18"/>
  <c r="BC174" i="18"/>
  <c r="BB174" i="18"/>
  <c r="BA174" i="18"/>
  <c r="BD322" i="18"/>
  <c r="BE322" i="18" s="1"/>
  <c r="AO322" i="18" s="1"/>
  <c r="AP322" i="18" s="1"/>
  <c r="AQ322" i="18" s="1"/>
  <c r="AR322" i="18" s="1"/>
  <c r="BA293" i="18"/>
  <c r="BC293" i="18" s="1"/>
  <c r="AZ293" i="18"/>
  <c r="BB293" i="18"/>
  <c r="BB119" i="18"/>
  <c r="BA119" i="18"/>
  <c r="AZ119" i="18"/>
  <c r="BC119" i="18" s="1"/>
  <c r="BD229" i="18"/>
  <c r="BE229" i="18" s="1"/>
  <c r="AO229" i="18" s="1"/>
  <c r="AP229" i="18" s="1"/>
  <c r="BB158" i="18"/>
  <c r="BA158" i="18"/>
  <c r="AZ158" i="18"/>
  <c r="BC158" i="18" s="1"/>
  <c r="BC159" i="18"/>
  <c r="BA181" i="18"/>
  <c r="AZ181" i="18"/>
  <c r="BC181" i="18"/>
  <c r="BB181" i="18"/>
  <c r="BC92" i="18"/>
  <c r="BD59" i="18"/>
  <c r="BE59" i="18" s="1"/>
  <c r="AO59" i="18" s="1"/>
  <c r="AP59" i="18" s="1"/>
  <c r="AQ59" i="18" s="1"/>
  <c r="AR59" i="18" s="1"/>
  <c r="BD62" i="18"/>
  <c r="BE62" i="18" s="1"/>
  <c r="AO62" i="18" s="1"/>
  <c r="AP62" i="18" s="1"/>
  <c r="AQ62" i="18" s="1"/>
  <c r="AR62" i="18" s="1"/>
  <c r="BD31" i="18"/>
  <c r="BE31" i="18" s="1"/>
  <c r="AO31" i="18" s="1"/>
  <c r="AP31" i="18" s="1"/>
  <c r="AQ31" i="18" s="1"/>
  <c r="AR31" i="18" s="1"/>
  <c r="BD184" i="18"/>
  <c r="BE184" i="18" s="1"/>
  <c r="AO184" i="18" s="1"/>
  <c r="AP184" i="18" s="1"/>
  <c r="AN156" i="18"/>
  <c r="BD205" i="18"/>
  <c r="BE205" i="18" s="1"/>
  <c r="AO205" i="18" s="1"/>
  <c r="AP205" i="18" s="1"/>
  <c r="AW381" i="18"/>
  <c r="Y381" i="18"/>
  <c r="AN381" i="18" s="1"/>
  <c r="BE365" i="18"/>
  <c r="AO365" i="18" s="1"/>
  <c r="BD297" i="18"/>
  <c r="BE297" i="18" s="1"/>
  <c r="AO297" i="18" s="1"/>
  <c r="AP297" i="18" s="1"/>
  <c r="AQ297" i="18" s="1"/>
  <c r="AR297" i="18" s="1"/>
  <c r="BB39" i="18"/>
  <c r="BA39" i="18"/>
  <c r="BC39" i="18" s="1"/>
  <c r="AZ39" i="18"/>
  <c r="Y280" i="18"/>
  <c r="AN277" i="18"/>
  <c r="AW458" i="18"/>
  <c r="BC458" i="18" s="1"/>
  <c r="S458" i="18"/>
  <c r="T458" i="18" s="1"/>
  <c r="Y458" i="18"/>
  <c r="AN458" i="18" s="1"/>
  <c r="BC385" i="18"/>
  <c r="BD479" i="18"/>
  <c r="BE479" i="18" s="1"/>
  <c r="AO479" i="18" s="1"/>
  <c r="AP479" i="18" s="1"/>
  <c r="AQ479" i="18" s="1"/>
  <c r="AR479" i="18" s="1"/>
  <c r="AW430" i="18"/>
  <c r="BC430" i="18" s="1"/>
  <c r="Y430" i="18"/>
  <c r="AN430" i="18" s="1"/>
  <c r="S430" i="18"/>
  <c r="T430" i="18" s="1"/>
  <c r="AP408" i="18"/>
  <c r="AQ408" i="18" s="1"/>
  <c r="AR408" i="18" s="1"/>
  <c r="S440" i="18"/>
  <c r="T440" i="18" s="1"/>
  <c r="AW440" i="18"/>
  <c r="BC440" i="18" s="1"/>
  <c r="Y440" i="18"/>
  <c r="AN440" i="18" s="1"/>
  <c r="BD420" i="18"/>
  <c r="BE420" i="18" s="1"/>
  <c r="AO420" i="18" s="1"/>
  <c r="AP420" i="18" s="1"/>
  <c r="AQ420" i="18" s="1"/>
  <c r="AR420" i="18" s="1"/>
  <c r="S413" i="18"/>
  <c r="T413" i="18" s="1"/>
  <c r="Y413" i="18"/>
  <c r="AN413" i="18" s="1"/>
  <c r="AW413" i="18"/>
  <c r="BC413" i="18" s="1"/>
  <c r="BD391" i="18"/>
  <c r="BE391" i="18" s="1"/>
  <c r="AO391" i="18" s="1"/>
  <c r="AP391" i="18" s="1"/>
  <c r="AQ391" i="18" s="1"/>
  <c r="AR391" i="18" s="1"/>
  <c r="S381" i="18"/>
  <c r="BD329" i="18"/>
  <c r="BE329" i="18" s="1"/>
  <c r="AO329" i="18" s="1"/>
  <c r="AP329" i="18" s="1"/>
  <c r="AQ329" i="18" s="1"/>
  <c r="AR329" i="18" s="1"/>
  <c r="BA311" i="18"/>
  <c r="BC311" i="18" s="1"/>
  <c r="AZ311" i="18"/>
  <c r="BB311" i="18"/>
  <c r="BD350" i="18"/>
  <c r="BE350" i="18" s="1"/>
  <c r="AO350" i="18" s="1"/>
  <c r="AP350" i="18" s="1"/>
  <c r="AQ350" i="18" s="1"/>
  <c r="AR350" i="18" s="1"/>
  <c r="W332" i="18"/>
  <c r="AX285" i="18"/>
  <c r="BC285" i="18" s="1"/>
  <c r="Y285" i="18"/>
  <c r="BA215" i="18"/>
  <c r="BC215" i="18" s="1"/>
  <c r="AZ215" i="18"/>
  <c r="BB215" i="18"/>
  <c r="AZ43" i="18"/>
  <c r="BA43" i="18"/>
  <c r="BC43" i="18" s="1"/>
  <c r="BD37" i="18"/>
  <c r="BE37" i="18" s="1"/>
  <c r="AO37" i="18" s="1"/>
  <c r="BC93" i="18"/>
  <c r="BD65" i="18"/>
  <c r="BE65" i="18" s="1"/>
  <c r="AO65" i="18" s="1"/>
  <c r="AP65" i="18" s="1"/>
  <c r="AQ65" i="18" s="1"/>
  <c r="AR65" i="18" s="1"/>
  <c r="AZ21" i="18"/>
  <c r="BA21" i="18"/>
  <c r="BC21" i="18"/>
  <c r="BB21" i="18"/>
  <c r="BD380" i="18"/>
  <c r="BE380" i="18"/>
  <c r="AO380" i="18" s="1"/>
  <c r="AP380" i="18" s="1"/>
  <c r="AQ380" i="18" s="1"/>
  <c r="AR380" i="18" s="1"/>
  <c r="BD488" i="18"/>
  <c r="BE488" i="18" s="1"/>
  <c r="AO488" i="18" s="1"/>
  <c r="AP488" i="18" s="1"/>
  <c r="AQ488" i="18" s="1"/>
  <c r="AR488" i="18" s="1"/>
  <c r="AZ432" i="18"/>
  <c r="BC432" i="18" s="1"/>
  <c r="BA432" i="18"/>
  <c r="BB432" i="18"/>
  <c r="BD415" i="18"/>
  <c r="BE415" i="18" s="1"/>
  <c r="AO415" i="18" s="1"/>
  <c r="AP415" i="18" s="1"/>
  <c r="AQ415" i="18" s="1"/>
  <c r="AR415" i="18" s="1"/>
  <c r="BB323" i="18"/>
  <c r="BA323" i="18"/>
  <c r="AZ323" i="18"/>
  <c r="BC323" i="18" s="1"/>
  <c r="BD419" i="18"/>
  <c r="BE419" i="18" s="1"/>
  <c r="AO419" i="18" s="1"/>
  <c r="AP419" i="18" s="1"/>
  <c r="AQ419" i="18" s="1"/>
  <c r="AR419" i="18" s="1"/>
  <c r="BC331" i="18"/>
  <c r="BC279" i="18"/>
  <c r="BB220" i="18"/>
  <c r="BA220" i="18"/>
  <c r="AZ220" i="18"/>
  <c r="BC220" i="18" s="1"/>
  <c r="T248" i="18"/>
  <c r="BD241" i="18"/>
  <c r="BE241" i="18" s="1"/>
  <c r="AO241" i="18" s="1"/>
  <c r="BC318" i="18"/>
  <c r="BD343" i="18"/>
  <c r="BE343" i="18" s="1"/>
  <c r="AO343" i="18" s="1"/>
  <c r="AP343" i="18" s="1"/>
  <c r="AQ343" i="18" s="1"/>
  <c r="AR343" i="18" s="1"/>
  <c r="BB196" i="18"/>
  <c r="BA196" i="18"/>
  <c r="AZ196" i="18"/>
  <c r="BC196" i="18" s="1"/>
  <c r="AW206" i="18"/>
  <c r="Y206" i="18"/>
  <c r="AN206" i="18" s="1"/>
  <c r="S206" i="18"/>
  <c r="T206" i="18" s="1"/>
  <c r="BD179" i="18"/>
  <c r="BE179" i="18" s="1"/>
  <c r="AO179" i="18" s="1"/>
  <c r="BD214" i="18"/>
  <c r="BE214" i="18" s="1"/>
  <c r="AO214" i="18" s="1"/>
  <c r="AP214" i="18" s="1"/>
  <c r="AZ60" i="18"/>
  <c r="BC60" i="18" s="1"/>
  <c r="BA60" i="18"/>
  <c r="BB60" i="18"/>
  <c r="BC115" i="18"/>
  <c r="BD208" i="18"/>
  <c r="BE208" i="18" s="1"/>
  <c r="AO208" i="18" s="1"/>
  <c r="AP208" i="18" s="1"/>
  <c r="BC121" i="18"/>
  <c r="BD38" i="18"/>
  <c r="BE38" i="18" s="1"/>
  <c r="AO38" i="18" s="1"/>
  <c r="AP38" i="18" s="1"/>
  <c r="AQ38" i="18" s="1"/>
  <c r="AR38" i="18" s="1"/>
  <c r="AE84" i="18"/>
  <c r="BD209" i="18"/>
  <c r="BE209" i="18" s="1"/>
  <c r="AO209" i="18" s="1"/>
  <c r="AP209" i="18" s="1"/>
  <c r="BD8" i="18"/>
  <c r="BE8" i="18" s="1"/>
  <c r="AO8" i="18" s="1"/>
  <c r="AP8" i="18" s="1"/>
  <c r="AQ8" i="18" s="1"/>
  <c r="AR8" i="18" s="1"/>
  <c r="BD100" i="18"/>
  <c r="BE100" i="18" s="1"/>
  <c r="AO100" i="18" s="1"/>
  <c r="BD32" i="18"/>
  <c r="BE32" i="18" s="1"/>
  <c r="AO32" i="18" s="1"/>
  <c r="AZ423" i="18"/>
  <c r="BC423" i="18" s="1"/>
  <c r="BB423" i="18"/>
  <c r="BA423" i="18"/>
  <c r="BD378" i="18"/>
  <c r="BE378" i="18" s="1"/>
  <c r="AO378" i="18" s="1"/>
  <c r="AP378" i="18" s="1"/>
  <c r="AQ378" i="18" s="1"/>
  <c r="AR378" i="18" s="1"/>
  <c r="BD302" i="18"/>
  <c r="BE302" i="18" s="1"/>
  <c r="AO302" i="18" s="1"/>
  <c r="AP302" i="18" s="1"/>
  <c r="AQ302" i="18" s="1"/>
  <c r="AR302" i="18" s="1"/>
  <c r="BD292" i="18"/>
  <c r="BE292" i="18" s="1"/>
  <c r="AO292" i="18" s="1"/>
  <c r="AP292" i="18" s="1"/>
  <c r="AQ292" i="18" s="1"/>
  <c r="AR292" i="18" s="1"/>
  <c r="BD204" i="18"/>
  <c r="BE204" i="18" s="1"/>
  <c r="AO204" i="18" s="1"/>
  <c r="AP204" i="18" s="1"/>
  <c r="BD295" i="18"/>
  <c r="BE295" i="18" s="1"/>
  <c r="AO295" i="18" s="1"/>
  <c r="AP295" i="18" s="1"/>
  <c r="AQ295" i="18" s="1"/>
  <c r="AR295" i="18" s="1"/>
  <c r="BD106" i="18"/>
  <c r="BE106" i="18"/>
  <c r="AO106" i="18" s="1"/>
  <c r="BD67" i="18"/>
  <c r="BE67" i="18" s="1"/>
  <c r="AO67" i="18" s="1"/>
  <c r="AP67" i="18" s="1"/>
  <c r="AQ67" i="18" s="1"/>
  <c r="AR67" i="18" s="1"/>
  <c r="BD66" i="18"/>
  <c r="BE66" i="18" s="1"/>
  <c r="AO66" i="18" s="1"/>
  <c r="BD44" i="18"/>
  <c r="BE44" i="18" s="1"/>
  <c r="AO44" i="18" s="1"/>
  <c r="AP44" i="18" s="1"/>
  <c r="AQ44" i="18" s="1"/>
  <c r="AR44" i="18" s="1"/>
  <c r="AE481" i="18"/>
  <c r="AM477" i="18"/>
  <c r="AM481" i="18" s="1"/>
  <c r="AZ456" i="18"/>
  <c r="BB456" i="18"/>
  <c r="BC456" i="18" s="1"/>
  <c r="BA456" i="18"/>
  <c r="BD395" i="18"/>
  <c r="BE395" i="18" s="1"/>
  <c r="AO395" i="18" s="1"/>
  <c r="AP395" i="18" s="1"/>
  <c r="AQ395" i="18" s="1"/>
  <c r="AR395" i="18" s="1"/>
  <c r="BB373" i="18"/>
  <c r="BA373" i="18"/>
  <c r="AZ373" i="18"/>
  <c r="BC373" i="18"/>
  <c r="T396" i="18"/>
  <c r="BD390" i="18"/>
  <c r="BE390" i="18" s="1"/>
  <c r="AO390" i="18" s="1"/>
  <c r="AP390" i="18" s="1"/>
  <c r="AQ390" i="18" s="1"/>
  <c r="AR390" i="18" s="1"/>
  <c r="BA442" i="18"/>
  <c r="AZ442" i="18"/>
  <c r="BC442" i="18" s="1"/>
  <c r="BB442" i="18"/>
  <c r="BD345" i="18"/>
  <c r="BE345" i="18" s="1"/>
  <c r="AO345" i="18" s="1"/>
  <c r="AP345" i="18" s="1"/>
  <c r="AQ345" i="18" s="1"/>
  <c r="AR345" i="18" s="1"/>
  <c r="BE407" i="18"/>
  <c r="AO407" i="18" s="1"/>
  <c r="BB347" i="18"/>
  <c r="BA347" i="18"/>
  <c r="AZ347" i="18"/>
  <c r="BC347" i="18" s="1"/>
  <c r="BA237" i="18"/>
  <c r="AZ237" i="18"/>
  <c r="BC237" i="18" s="1"/>
  <c r="BB237" i="18"/>
  <c r="R332" i="18"/>
  <c r="T285" i="18"/>
  <c r="BB236" i="18"/>
  <c r="BA236" i="18"/>
  <c r="BC236" i="18" s="1"/>
  <c r="AZ236" i="18"/>
  <c r="AZ291" i="18"/>
  <c r="BA291" i="18"/>
  <c r="BB291" i="18"/>
  <c r="BC291" i="18" s="1"/>
  <c r="AZ306" i="18"/>
  <c r="BC306" i="18" s="1"/>
  <c r="BA306" i="18"/>
  <c r="BB306" i="18"/>
  <c r="BB162" i="18"/>
  <c r="BA162" i="18"/>
  <c r="AZ162" i="18"/>
  <c r="BC162" i="18" s="1"/>
  <c r="BB104" i="18"/>
  <c r="BA104" i="18"/>
  <c r="AZ104" i="18"/>
  <c r="BC104" i="18" s="1"/>
  <c r="BC352" i="18"/>
  <c r="BB352" i="18"/>
  <c r="BA352" i="18"/>
  <c r="AZ352" i="18"/>
  <c r="AZ25" i="18"/>
  <c r="BA25" i="18"/>
  <c r="BC25" i="18" s="1"/>
  <c r="BB25" i="18"/>
  <c r="AW79" i="18"/>
  <c r="BC79" i="18" s="1"/>
  <c r="Y79" i="18"/>
  <c r="AN79" i="18" s="1"/>
  <c r="BC103" i="18"/>
  <c r="BB103" i="18"/>
  <c r="AZ103" i="18"/>
  <c r="BA103" i="18"/>
  <c r="BA197" i="18"/>
  <c r="BC197" i="18" s="1"/>
  <c r="AZ197" i="18"/>
  <c r="BB197" i="18"/>
  <c r="BB277" i="18"/>
  <c r="AZ277" i="18"/>
  <c r="BA277" i="18"/>
  <c r="BC277" i="18" s="1"/>
  <c r="BD51" i="18"/>
  <c r="BE51" i="18" s="1"/>
  <c r="AO51" i="18" s="1"/>
  <c r="AP51" i="18" s="1"/>
  <c r="AQ51" i="18" s="1"/>
  <c r="AR51" i="18" s="1"/>
  <c r="BB29" i="18"/>
  <c r="BA29" i="18"/>
  <c r="AZ29" i="18"/>
  <c r="BC29" i="18" s="1"/>
  <c r="Y19" i="18"/>
  <c r="AN19" i="18" s="1"/>
  <c r="Y481" i="18"/>
  <c r="AN477" i="18"/>
  <c r="BE477" i="18"/>
  <c r="AO477" i="18" s="1"/>
  <c r="BB417" i="18"/>
  <c r="BA417" i="18"/>
  <c r="AZ417" i="18"/>
  <c r="BC417" i="18" s="1"/>
  <c r="AW399" i="18"/>
  <c r="S399" i="18"/>
  <c r="T399" i="18" s="1"/>
  <c r="P397" i="18"/>
  <c r="R397" i="18"/>
  <c r="BE435" i="18"/>
  <c r="AO435" i="18" s="1"/>
  <c r="AP435" i="18" s="1"/>
  <c r="AQ435" i="18" s="1"/>
  <c r="AR435" i="18" s="1"/>
  <c r="AP414" i="18"/>
  <c r="AQ414" i="18" s="1"/>
  <c r="AR414" i="18" s="1"/>
  <c r="BB361" i="18"/>
  <c r="BA361" i="18"/>
  <c r="AZ361" i="18"/>
  <c r="BC361" i="18" s="1"/>
  <c r="Y399" i="18"/>
  <c r="AN399" i="18" s="1"/>
  <c r="AZ344" i="18"/>
  <c r="BA344" i="18"/>
  <c r="BB344" i="18"/>
  <c r="BC344" i="18"/>
  <c r="AZ360" i="18"/>
  <c r="BA360" i="18"/>
  <c r="BC360" i="18" s="1"/>
  <c r="BB360" i="18"/>
  <c r="AZ354" i="18"/>
  <c r="BC354" i="18" s="1"/>
  <c r="BB354" i="18"/>
  <c r="BA354" i="18"/>
  <c r="AZ381" i="18"/>
  <c r="BC381" i="18" s="1"/>
  <c r="BA381" i="18"/>
  <c r="BB381" i="18"/>
  <c r="BA351" i="18"/>
  <c r="BC351" i="18" s="1"/>
  <c r="AZ351" i="18"/>
  <c r="BB351" i="18"/>
  <c r="BE362" i="18"/>
  <c r="AO362" i="18" s="1"/>
  <c r="AZ317" i="18"/>
  <c r="BA317" i="18"/>
  <c r="BB317" i="18"/>
  <c r="BC317" i="18"/>
  <c r="BD243" i="18"/>
  <c r="BE243" i="18" s="1"/>
  <c r="AO243" i="18" s="1"/>
  <c r="AP243" i="18" s="1"/>
  <c r="BA319" i="18"/>
  <c r="AZ319" i="18"/>
  <c r="BB319" i="18"/>
  <c r="BC319" i="18"/>
  <c r="BC235" i="18"/>
  <c r="BB235" i="18"/>
  <c r="BA235" i="18"/>
  <c r="AZ235" i="18"/>
  <c r="BE387" i="18"/>
  <c r="AO387" i="18" s="1"/>
  <c r="AZ223" i="18"/>
  <c r="BC223" i="18" s="1"/>
  <c r="BA223" i="18"/>
  <c r="BB223" i="18"/>
  <c r="T185" i="18"/>
  <c r="BE309" i="18"/>
  <c r="AO309" i="18" s="1"/>
  <c r="BD217" i="18"/>
  <c r="BE217" i="18" s="1"/>
  <c r="AO217" i="18" s="1"/>
  <c r="BE226" i="18"/>
  <c r="AO226" i="18" s="1"/>
  <c r="BD226" i="18"/>
  <c r="AZ126" i="18"/>
  <c r="BB126" i="18"/>
  <c r="BA126" i="18"/>
  <c r="BC126" i="18" s="1"/>
  <c r="T187" i="18"/>
  <c r="AW70" i="18"/>
  <c r="BC70" i="18" s="1"/>
  <c r="Y70" i="18"/>
  <c r="AN70" i="18" s="1"/>
  <c r="R128" i="18"/>
  <c r="AZ69" i="18"/>
  <c r="BB69" i="18"/>
  <c r="BA69" i="18"/>
  <c r="BB105" i="18"/>
  <c r="BA105" i="18"/>
  <c r="BC105" i="18" s="1"/>
  <c r="AZ105" i="18"/>
  <c r="BC64" i="18"/>
  <c r="BB64" i="18"/>
  <c r="BA64" i="18"/>
  <c r="AZ64" i="18"/>
  <c r="BB212" i="18"/>
  <c r="BA212" i="18"/>
  <c r="AZ212" i="18"/>
  <c r="BC212" i="18" s="1"/>
  <c r="AN192" i="18"/>
  <c r="AP192" i="18" s="1"/>
  <c r="AN175" i="18"/>
  <c r="AZ52" i="18"/>
  <c r="BA52" i="18"/>
  <c r="BB52" i="18"/>
  <c r="BC52" i="18" s="1"/>
  <c r="BB30" i="18"/>
  <c r="BA30" i="18"/>
  <c r="AZ30" i="18"/>
  <c r="AP480" i="18"/>
  <c r="AQ480" i="18" s="1"/>
  <c r="AR480" i="18" s="1"/>
  <c r="T464" i="18"/>
  <c r="BA434" i="18"/>
  <c r="AZ434" i="18"/>
  <c r="BC434" i="18" s="1"/>
  <c r="BB434" i="18"/>
  <c r="T438" i="18"/>
  <c r="BA459" i="18"/>
  <c r="AZ459" i="18"/>
  <c r="BC459" i="18" s="1"/>
  <c r="AW436" i="18"/>
  <c r="BC436" i="18" s="1"/>
  <c r="Y436" i="18"/>
  <c r="AN436" i="18" s="1"/>
  <c r="S436" i="18"/>
  <c r="T436" i="18" s="1"/>
  <c r="BC466" i="18"/>
  <c r="BA466" i="18"/>
  <c r="AZ466" i="18"/>
  <c r="BB444" i="18"/>
  <c r="AZ444" i="18"/>
  <c r="BA444" i="18"/>
  <c r="BC444" i="18" s="1"/>
  <c r="AZ441" i="18"/>
  <c r="BB441" i="18"/>
  <c r="BA441" i="18"/>
  <c r="BC441" i="18"/>
  <c r="T465" i="18"/>
  <c r="T390" i="18"/>
  <c r="BE410" i="18"/>
  <c r="AO410" i="18" s="1"/>
  <c r="AP410" i="18" s="1"/>
  <c r="AQ410" i="18" s="1"/>
  <c r="AR410" i="18" s="1"/>
  <c r="AZ396" i="18"/>
  <c r="BC396" i="18" s="1"/>
  <c r="BA396" i="18"/>
  <c r="BB396" i="18"/>
  <c r="T404" i="18"/>
  <c r="BB299" i="18"/>
  <c r="BA299" i="18"/>
  <c r="AZ299" i="18"/>
  <c r="BC299" i="18" s="1"/>
  <c r="BB405" i="18"/>
  <c r="BA405" i="18"/>
  <c r="AZ405" i="18"/>
  <c r="BC405" i="18" s="1"/>
  <c r="AW429" i="18"/>
  <c r="BC429" i="18" s="1"/>
  <c r="S429" i="18"/>
  <c r="T429" i="18" s="1"/>
  <c r="Y314" i="18"/>
  <c r="AN314" i="18" s="1"/>
  <c r="AW314" i="18"/>
  <c r="BC314" i="18" s="1"/>
  <c r="T379" i="18"/>
  <c r="AP325" i="18"/>
  <c r="AQ325" i="18" s="1"/>
  <c r="AR325" i="18" s="1"/>
  <c r="T300" i="18"/>
  <c r="Y288" i="18"/>
  <c r="AN288" i="18" s="1"/>
  <c r="AW288" i="18"/>
  <c r="BC288" i="18" s="1"/>
  <c r="T236" i="18"/>
  <c r="T243" i="18"/>
  <c r="T319" i="18"/>
  <c r="AN339" i="18"/>
  <c r="T301" i="18"/>
  <c r="T346" i="18"/>
  <c r="AN241" i="18"/>
  <c r="AZ182" i="18"/>
  <c r="BC182" i="18" s="1"/>
  <c r="BB182" i="18"/>
  <c r="BA182" i="18"/>
  <c r="BA296" i="18"/>
  <c r="AZ296" i="18"/>
  <c r="BC296" i="18" s="1"/>
  <c r="BB296" i="18"/>
  <c r="AN217" i="18"/>
  <c r="AZ206" i="18"/>
  <c r="BC206" i="18"/>
  <c r="BA206" i="18"/>
  <c r="BB206" i="18"/>
  <c r="T210" i="18"/>
  <c r="T229" i="18"/>
  <c r="T170" i="18"/>
  <c r="AZ113" i="18"/>
  <c r="BC113" i="18" s="1"/>
  <c r="BB113" i="18"/>
  <c r="BA113" i="18"/>
  <c r="Y236" i="18"/>
  <c r="AN236" i="18" s="1"/>
  <c r="BC202" i="18"/>
  <c r="BB202" i="18"/>
  <c r="BA202" i="18"/>
  <c r="AZ202" i="18"/>
  <c r="T144" i="18"/>
  <c r="BC109" i="18"/>
  <c r="BB186" i="18"/>
  <c r="BA186" i="18"/>
  <c r="BC186" i="18" s="1"/>
  <c r="AZ186" i="18"/>
  <c r="T172" i="18"/>
  <c r="AZ61" i="18"/>
  <c r="BC61" i="18" s="1"/>
  <c r="BB61" i="18"/>
  <c r="BA61" i="18"/>
  <c r="BC222" i="18"/>
  <c r="T137" i="18"/>
  <c r="BB56" i="18"/>
  <c r="AZ56" i="18"/>
  <c r="BC56" i="18" s="1"/>
  <c r="BA56" i="18"/>
  <c r="BD199" i="18"/>
  <c r="BE199" i="18" s="1"/>
  <c r="AO199" i="18" s="1"/>
  <c r="AP199" i="18" s="1"/>
  <c r="BA173" i="18"/>
  <c r="AZ173" i="18"/>
  <c r="BC173" i="18"/>
  <c r="BB173" i="18"/>
  <c r="AW30" i="18"/>
  <c r="BC30" i="18" s="1"/>
  <c r="Y30" i="18"/>
  <c r="AN30" i="18" s="1"/>
  <c r="Y99" i="18"/>
  <c r="AN99" i="18" s="1"/>
  <c r="AW99" i="18"/>
  <c r="BC99" i="18" s="1"/>
  <c r="T49" i="18"/>
  <c r="Y37" i="18"/>
  <c r="AN37" i="18" s="1"/>
  <c r="BB244" i="18"/>
  <c r="BA244" i="18"/>
  <c r="AZ244" i="18"/>
  <c r="BC244" i="18" s="1"/>
  <c r="AN32" i="18"/>
  <c r="AW200" i="18"/>
  <c r="BC200" i="18" s="1"/>
  <c r="S200" i="18"/>
  <c r="T200" i="18" s="1"/>
  <c r="Y200" i="18"/>
  <c r="AN200" i="18" s="1"/>
  <c r="AN78" i="18"/>
  <c r="AP78" i="18" s="1"/>
  <c r="AQ78" i="18" s="1"/>
  <c r="AR78" i="18" s="1"/>
  <c r="AN61" i="18"/>
  <c r="AN63" i="18"/>
  <c r="T24" i="18"/>
  <c r="AN193" i="18"/>
  <c r="R138" i="18"/>
  <c r="AW28" i="18"/>
  <c r="BC28" i="18" s="1"/>
  <c r="Y28" i="18"/>
  <c r="AN28" i="18" s="1"/>
  <c r="BD46" i="18"/>
  <c r="BE46" i="18" s="1"/>
  <c r="AO46" i="18" s="1"/>
  <c r="BC339" i="18"/>
  <c r="BB339" i="18"/>
  <c r="BA339" i="18"/>
  <c r="AZ339" i="18"/>
  <c r="BB328" i="18"/>
  <c r="BA328" i="18"/>
  <c r="AZ328" i="18"/>
  <c r="BC328" i="18"/>
  <c r="AP309" i="18"/>
  <c r="AQ309" i="18" s="1"/>
  <c r="AR309" i="18" s="1"/>
  <c r="BD374" i="18"/>
  <c r="BE374" i="18" s="1"/>
  <c r="AO374" i="18" s="1"/>
  <c r="AP374" i="18" s="1"/>
  <c r="AQ374" i="18" s="1"/>
  <c r="AR374" i="18" s="1"/>
  <c r="BD348" i="18"/>
  <c r="BE348" i="18" s="1"/>
  <c r="AO348" i="18" s="1"/>
  <c r="AP348" i="18" s="1"/>
  <c r="AQ348" i="18" s="1"/>
  <c r="AR348" i="18" s="1"/>
  <c r="BD305" i="18"/>
  <c r="BE305" i="18" s="1"/>
  <c r="AO305" i="18" s="1"/>
  <c r="AP305" i="18" s="1"/>
  <c r="AQ305" i="18" s="1"/>
  <c r="AR305" i="18" s="1"/>
  <c r="BD313" i="18"/>
  <c r="BE313" i="18" s="1"/>
  <c r="AO313" i="18" s="1"/>
  <c r="AP313" i="18" s="1"/>
  <c r="AQ313" i="18" s="1"/>
  <c r="AR313" i="18" s="1"/>
  <c r="AP365" i="18"/>
  <c r="AQ365" i="18" s="1"/>
  <c r="AR365" i="18" s="1"/>
  <c r="BD246" i="18"/>
  <c r="BE246" i="18" s="1"/>
  <c r="AO246" i="18" s="1"/>
  <c r="AP246" i="18" s="1"/>
  <c r="BE308" i="18"/>
  <c r="AO308" i="18" s="1"/>
  <c r="AP308" i="18" s="1"/>
  <c r="AQ308" i="18" s="1"/>
  <c r="AR308" i="18" s="1"/>
  <c r="BD308" i="18"/>
  <c r="AW298" i="18"/>
  <c r="BC298" i="18" s="1"/>
  <c r="S298" i="18"/>
  <c r="T298" i="18" s="1"/>
  <c r="BB368" i="18"/>
  <c r="BA368" i="18"/>
  <c r="AZ368" i="18"/>
  <c r="BC368" i="18" s="1"/>
  <c r="T322" i="18"/>
  <c r="AP216" i="18"/>
  <c r="T296" i="18"/>
  <c r="T349" i="18"/>
  <c r="AW187" i="18"/>
  <c r="BC187" i="18" s="1"/>
  <c r="Y187" i="18"/>
  <c r="AN187" i="18" s="1"/>
  <c r="BB122" i="18"/>
  <c r="BA122" i="18"/>
  <c r="BC122" i="18" s="1"/>
  <c r="AZ122" i="18"/>
  <c r="T352" i="18"/>
  <c r="T189" i="18"/>
  <c r="T158" i="18"/>
  <c r="AZ33" i="18"/>
  <c r="BB33" i="18"/>
  <c r="BA33" i="18"/>
  <c r="BC33" i="18" s="1"/>
  <c r="BB161" i="18"/>
  <c r="BA161" i="18"/>
  <c r="BC161" i="18" s="1"/>
  <c r="AZ161" i="18"/>
  <c r="BB80" i="18"/>
  <c r="BA80" i="18"/>
  <c r="AZ80" i="18"/>
  <c r="BC80" i="18" s="1"/>
  <c r="AN26" i="18"/>
  <c r="T205" i="18"/>
  <c r="T50" i="18"/>
  <c r="T19" i="18"/>
  <c r="T157" i="18"/>
  <c r="T39" i="18"/>
  <c r="BB15" i="18"/>
  <c r="BA15" i="18"/>
  <c r="AZ15" i="18"/>
  <c r="BC15" i="18" s="1"/>
  <c r="AN114" i="18"/>
  <c r="AW90" i="18"/>
  <c r="P128" i="18"/>
  <c r="Y90" i="18"/>
  <c r="S280" i="18"/>
  <c r="AN80" i="18"/>
  <c r="AN45" i="18"/>
  <c r="BC120" i="18"/>
  <c r="BB57" i="18"/>
  <c r="BA57" i="18"/>
  <c r="AZ57" i="18"/>
  <c r="BC57" i="18" s="1"/>
  <c r="T21" i="18"/>
  <c r="T451" i="18"/>
  <c r="BE447" i="18"/>
  <c r="AO447" i="18" s="1"/>
  <c r="AP447" i="18" s="1"/>
  <c r="AQ447" i="18" s="1"/>
  <c r="AR447" i="18" s="1"/>
  <c r="BB425" i="18"/>
  <c r="BA425" i="18"/>
  <c r="AZ425" i="18"/>
  <c r="BC425" i="18" s="1"/>
  <c r="T388" i="18"/>
  <c r="T376" i="18"/>
  <c r="AZ386" i="18"/>
  <c r="BA386" i="18"/>
  <c r="BB386" i="18"/>
  <c r="BC386" i="18"/>
  <c r="BA315" i="18"/>
  <c r="AZ315" i="18"/>
  <c r="BB315" i="18"/>
  <c r="BC315" i="18" s="1"/>
  <c r="BE411" i="18"/>
  <c r="AO411" i="18" s="1"/>
  <c r="AP411" i="18" s="1"/>
  <c r="AQ411" i="18" s="1"/>
  <c r="AR411" i="18" s="1"/>
  <c r="BB304" i="18"/>
  <c r="BA304" i="18"/>
  <c r="BC304" i="18" s="1"/>
  <c r="AZ304" i="18"/>
  <c r="BC242" i="18"/>
  <c r="BB242" i="18"/>
  <c r="BA242" i="18"/>
  <c r="AZ242" i="18"/>
  <c r="AP326" i="18"/>
  <c r="AQ326" i="18" s="1"/>
  <c r="AR326" i="18" s="1"/>
  <c r="BD238" i="18"/>
  <c r="BE238" i="18" s="1"/>
  <c r="AO238" i="18" s="1"/>
  <c r="AP238" i="18" s="1"/>
  <c r="BB180" i="18"/>
  <c r="BA180" i="18"/>
  <c r="AZ180" i="18"/>
  <c r="BC180" i="18"/>
  <c r="BD225" i="18"/>
  <c r="BE225" i="18" s="1"/>
  <c r="AO225" i="18" s="1"/>
  <c r="AP225" i="18" s="1"/>
  <c r="AP226" i="18"/>
  <c r="BB17" i="18"/>
  <c r="AZ17" i="18"/>
  <c r="BC17" i="18" s="1"/>
  <c r="BA17" i="18"/>
  <c r="AZ76" i="18"/>
  <c r="BC76" i="18" s="1"/>
  <c r="BA76" i="18"/>
  <c r="BB76" i="18"/>
  <c r="AZ111" i="18"/>
  <c r="BA111" i="18"/>
  <c r="BB111" i="18"/>
  <c r="BC111" i="18" s="1"/>
  <c r="BD102" i="18"/>
  <c r="BE102" i="18" s="1"/>
  <c r="AO102" i="18" s="1"/>
  <c r="AP102" i="18" s="1"/>
  <c r="AQ102" i="18" s="1"/>
  <c r="AR102" i="18" s="1"/>
  <c r="BB40" i="18"/>
  <c r="BA40" i="18"/>
  <c r="AZ40" i="18"/>
  <c r="BC40" i="18"/>
  <c r="AW11" i="18"/>
  <c r="BC11" i="18" s="1"/>
  <c r="Y11" i="18"/>
  <c r="AN11" i="18" s="1"/>
  <c r="BA467" i="18"/>
  <c r="AZ467" i="18"/>
  <c r="AW467" i="18"/>
  <c r="BC467" i="18" s="1"/>
  <c r="Y467" i="18"/>
  <c r="AN467" i="18" s="1"/>
  <c r="AW409" i="18"/>
  <c r="BC409" i="18" s="1"/>
  <c r="S409" i="18"/>
  <c r="T409" i="18" s="1"/>
  <c r="BC461" i="18"/>
  <c r="BA461" i="18"/>
  <c r="AZ461" i="18"/>
  <c r="S450" i="18"/>
  <c r="T450" i="18" s="1"/>
  <c r="AW450" i="18"/>
  <c r="BC450" i="18" s="1"/>
  <c r="Y450" i="18"/>
  <c r="AN450" i="18" s="1"/>
  <c r="AP407" i="18"/>
  <c r="AQ407" i="18" s="1"/>
  <c r="AR407" i="18" s="1"/>
  <c r="AZ465" i="18"/>
  <c r="BA465" i="18"/>
  <c r="BC465" i="18"/>
  <c r="AZ399" i="18"/>
  <c r="BB399" i="18"/>
  <c r="BA399" i="18"/>
  <c r="BD401" i="18"/>
  <c r="BE401" i="18" s="1"/>
  <c r="AO401" i="18" s="1"/>
  <c r="AP401" i="18" s="1"/>
  <c r="AQ401" i="18" s="1"/>
  <c r="AR401" i="18" s="1"/>
  <c r="AZ404" i="18"/>
  <c r="BB404" i="18"/>
  <c r="BA404" i="18"/>
  <c r="BC404" i="18" s="1"/>
  <c r="BA383" i="18"/>
  <c r="AZ383" i="18"/>
  <c r="BB383" i="18"/>
  <c r="BC383" i="18"/>
  <c r="BB384" i="18"/>
  <c r="BA384" i="18"/>
  <c r="AZ384" i="18"/>
  <c r="BC384" i="18" s="1"/>
  <c r="S375" i="18"/>
  <c r="AV375" i="18"/>
  <c r="R375" i="18"/>
  <c r="T375" i="18" s="1"/>
  <c r="Y375" i="18"/>
  <c r="AN375" i="18" s="1"/>
  <c r="AW366" i="18"/>
  <c r="BC366" i="18" s="1"/>
  <c r="S366" i="18"/>
  <c r="T366" i="18" s="1"/>
  <c r="T442" i="18"/>
  <c r="AP362" i="18"/>
  <c r="AQ362" i="18" s="1"/>
  <c r="AR362" i="18" s="1"/>
  <c r="AZ371" i="18"/>
  <c r="BA371" i="18"/>
  <c r="BB371" i="18"/>
  <c r="T316" i="18"/>
  <c r="I469" i="18"/>
  <c r="BB367" i="18"/>
  <c r="BA367" i="18"/>
  <c r="AZ367" i="18"/>
  <c r="BC367" i="18" s="1"/>
  <c r="AP300" i="18"/>
  <c r="AQ300" i="18" s="1"/>
  <c r="AR300" i="18" s="1"/>
  <c r="T314" i="18"/>
  <c r="S340" i="18"/>
  <c r="AW340" i="18"/>
  <c r="BC340" i="18" s="1"/>
  <c r="Y340" i="18"/>
  <c r="AN340" i="18" s="1"/>
  <c r="T288" i="18"/>
  <c r="AZ312" i="18"/>
  <c r="BA312" i="18"/>
  <c r="BB312" i="18"/>
  <c r="BC312" i="18"/>
  <c r="BA221" i="18"/>
  <c r="AZ221" i="18"/>
  <c r="BB221" i="18"/>
  <c r="BC221" i="18" s="1"/>
  <c r="S311" i="18"/>
  <c r="T311" i="18" s="1"/>
  <c r="BA393" i="18"/>
  <c r="AZ393" i="18"/>
  <c r="BC393" i="18" s="1"/>
  <c r="BB393" i="18"/>
  <c r="BA247" i="18"/>
  <c r="AZ247" i="18"/>
  <c r="BC247" i="18" s="1"/>
  <c r="BB247" i="18"/>
  <c r="T232" i="18"/>
  <c r="AZ198" i="18"/>
  <c r="BB198" i="18"/>
  <c r="BC198" i="18" s="1"/>
  <c r="BA198" i="18"/>
  <c r="BB356" i="18"/>
  <c r="BC356" i="18" s="1"/>
  <c r="BA356" i="18"/>
  <c r="AZ356" i="18"/>
  <c r="T195" i="18"/>
  <c r="AZ278" i="18"/>
  <c r="BC278" i="18" s="1"/>
  <c r="BB278" i="18"/>
  <c r="BA278" i="18"/>
  <c r="S159" i="18"/>
  <c r="T159" i="18" s="1"/>
  <c r="BD224" i="18"/>
  <c r="BE224" i="18" s="1"/>
  <c r="AO224" i="18" s="1"/>
  <c r="AP224" i="18" s="1"/>
  <c r="BA189" i="18"/>
  <c r="AZ189" i="18"/>
  <c r="BB189" i="18"/>
  <c r="BC189" i="18" s="1"/>
  <c r="T165" i="18"/>
  <c r="BB90" i="18"/>
  <c r="AZ90" i="18"/>
  <c r="BA90" i="18"/>
  <c r="AZ77" i="18"/>
  <c r="BB77" i="18"/>
  <c r="BC77" i="18" s="1"/>
  <c r="BA77" i="18"/>
  <c r="AZ22" i="18"/>
  <c r="BC22" i="18" s="1"/>
  <c r="BB22" i="18"/>
  <c r="BA22" i="18"/>
  <c r="BA213" i="18"/>
  <c r="BB213" i="18"/>
  <c r="BC213" i="18" s="1"/>
  <c r="AZ213" i="18"/>
  <c r="T169" i="18"/>
  <c r="BB124" i="18"/>
  <c r="BA124" i="18"/>
  <c r="AZ124" i="18"/>
  <c r="AN105" i="18"/>
  <c r="BB72" i="18"/>
  <c r="AZ72" i="18"/>
  <c r="BC72" i="18" s="1"/>
  <c r="BA72" i="18"/>
  <c r="BB14" i="18"/>
  <c r="BA14" i="18"/>
  <c r="AZ14" i="18"/>
  <c r="BC14" i="18" s="1"/>
  <c r="AZ68" i="18"/>
  <c r="BA68" i="18"/>
  <c r="BC68" i="18" s="1"/>
  <c r="BB68" i="18"/>
  <c r="BC191" i="18"/>
  <c r="BD47" i="18"/>
  <c r="BE47" i="18" s="1"/>
  <c r="AO47" i="18" s="1"/>
  <c r="AP47" i="18" s="1"/>
  <c r="AQ47" i="18" s="1"/>
  <c r="AR47" i="18" s="1"/>
  <c r="AZ9" i="18"/>
  <c r="BC9" i="18" s="1"/>
  <c r="BA9" i="18"/>
  <c r="BB9" i="18"/>
  <c r="R280" i="18"/>
  <c r="T277" i="18"/>
  <c r="T280" i="18" s="1"/>
  <c r="AN53" i="18"/>
  <c r="Y77" i="18"/>
  <c r="AN77" i="18" s="1"/>
  <c r="AN54" i="18"/>
  <c r="BC160" i="18"/>
  <c r="AW135" i="18"/>
  <c r="BC135" i="18" s="1"/>
  <c r="S135" i="18"/>
  <c r="Y135" i="18"/>
  <c r="BA164" i="18"/>
  <c r="AZ164" i="18"/>
  <c r="BC164" i="18" s="1"/>
  <c r="BB164" i="18"/>
  <c r="T58" i="18"/>
  <c r="AN106" i="18"/>
  <c r="AN92" i="18"/>
  <c r="AX487" i="18"/>
  <c r="BC487" i="18" s="1"/>
  <c r="W490" i="18"/>
  <c r="BB81" i="18"/>
  <c r="BA81" i="18"/>
  <c r="AZ81" i="18"/>
  <c r="BC81" i="18" s="1"/>
  <c r="BA41" i="18"/>
  <c r="AZ41" i="18"/>
  <c r="BC41" i="18" s="1"/>
  <c r="BB41" i="18"/>
  <c r="R490" i="18"/>
  <c r="T480" i="18"/>
  <c r="BA460" i="18"/>
  <c r="AZ460" i="18"/>
  <c r="BC460" i="18"/>
  <c r="BA438" i="18"/>
  <c r="BC438" i="18"/>
  <c r="BB438" i="18"/>
  <c r="AZ438" i="18"/>
  <c r="BB445" i="18"/>
  <c r="AZ445" i="18"/>
  <c r="BA445" i="18"/>
  <c r="BC445" i="18" s="1"/>
  <c r="BB439" i="18"/>
  <c r="BA439" i="18"/>
  <c r="AZ439" i="18"/>
  <c r="BC439" i="18" s="1"/>
  <c r="BB452" i="18"/>
  <c r="BA452" i="18"/>
  <c r="AZ452" i="18"/>
  <c r="BC452" i="18" s="1"/>
  <c r="BB426" i="18"/>
  <c r="BA426" i="18"/>
  <c r="AZ426" i="18"/>
  <c r="BC426" i="18" s="1"/>
  <c r="BA418" i="18"/>
  <c r="AZ418" i="18"/>
  <c r="BC418" i="18"/>
  <c r="BB418" i="18"/>
  <c r="BB398" i="18"/>
  <c r="BA398" i="18"/>
  <c r="AZ398" i="18"/>
  <c r="BC398" i="18" s="1"/>
  <c r="BD446" i="18"/>
  <c r="BE446" i="18" s="1"/>
  <c r="AO446" i="18" s="1"/>
  <c r="AP446" i="18" s="1"/>
  <c r="AQ446" i="18" s="1"/>
  <c r="AR446" i="18" s="1"/>
  <c r="T415" i="18"/>
  <c r="BD389" i="18"/>
  <c r="BE389" i="18" s="1"/>
  <c r="AO389" i="18" s="1"/>
  <c r="AP389" i="18" s="1"/>
  <c r="AQ389" i="18" s="1"/>
  <c r="AR389" i="18" s="1"/>
  <c r="AW363" i="18"/>
  <c r="BC363" i="18" s="1"/>
  <c r="S363" i="18"/>
  <c r="T363" i="18" s="1"/>
  <c r="BD382" i="18"/>
  <c r="BE382" i="18" s="1"/>
  <c r="AO382" i="18" s="1"/>
  <c r="AP382" i="18" s="1"/>
  <c r="AQ382" i="18" s="1"/>
  <c r="AR382" i="18" s="1"/>
  <c r="BD364" i="18"/>
  <c r="BE364" i="18" s="1"/>
  <c r="AO364" i="18" s="1"/>
  <c r="AP364" i="18" s="1"/>
  <c r="AQ364" i="18" s="1"/>
  <c r="AR364" i="18" s="1"/>
  <c r="T373" i="18"/>
  <c r="T386" i="18"/>
  <c r="BA394" i="18"/>
  <c r="AZ394" i="18"/>
  <c r="BC394" i="18"/>
  <c r="BB394" i="18"/>
  <c r="BC307" i="18"/>
  <c r="BB307" i="18"/>
  <c r="BA307" i="18"/>
  <c r="AZ307" i="18"/>
  <c r="T371" i="18"/>
  <c r="BE437" i="18"/>
  <c r="AO437" i="18" s="1"/>
  <c r="AP437" i="18" s="1"/>
  <c r="AQ437" i="18" s="1"/>
  <c r="AR437" i="18" s="1"/>
  <c r="AZ379" i="18"/>
  <c r="BC379" i="18" s="1"/>
  <c r="BB379" i="18"/>
  <c r="BA379" i="18"/>
  <c r="T340" i="18"/>
  <c r="Y327" i="18"/>
  <c r="AN327" i="18" s="1"/>
  <c r="AW327" i="18"/>
  <c r="BC327" i="18" s="1"/>
  <c r="AZ330" i="18"/>
  <c r="BC330" i="18"/>
  <c r="BB330" i="18"/>
  <c r="BA330" i="18"/>
  <c r="BB219" i="18"/>
  <c r="AZ219" i="18"/>
  <c r="BC219" i="18" s="1"/>
  <c r="BA219" i="18"/>
  <c r="BA303" i="18"/>
  <c r="BC303" i="18" s="1"/>
  <c r="AZ303" i="18"/>
  <c r="BB303" i="18"/>
  <c r="T291" i="18"/>
  <c r="AN207" i="18"/>
  <c r="P332" i="18"/>
  <c r="T238" i="18"/>
  <c r="AP387" i="18"/>
  <c r="AQ387" i="18" s="1"/>
  <c r="AR387" i="18" s="1"/>
  <c r="AZ346" i="18"/>
  <c r="BB346" i="18"/>
  <c r="BA346" i="18"/>
  <c r="BC346" i="18" s="1"/>
  <c r="T247" i="18"/>
  <c r="BB232" i="18"/>
  <c r="BA232" i="18"/>
  <c r="AZ232" i="18"/>
  <c r="BC232" i="18" s="1"/>
  <c r="T193" i="18"/>
  <c r="T356" i="18"/>
  <c r="T306" i="18"/>
  <c r="S195" i="18"/>
  <c r="BB231" i="18"/>
  <c r="BC231" i="18" s="1"/>
  <c r="BA231" i="18"/>
  <c r="AZ231" i="18"/>
  <c r="AD256" i="18"/>
  <c r="BC245" i="18"/>
  <c r="T202" i="18"/>
  <c r="AN161" i="18"/>
  <c r="S128" i="18"/>
  <c r="BB172" i="18"/>
  <c r="BA172" i="18"/>
  <c r="AZ172" i="18"/>
  <c r="BC172" i="18"/>
  <c r="AZ165" i="18"/>
  <c r="BC165" i="18" s="1"/>
  <c r="BA165" i="18"/>
  <c r="BB165" i="18"/>
  <c r="BB116" i="18"/>
  <c r="BA116" i="18"/>
  <c r="AZ116" i="18"/>
  <c r="BC116" i="18" s="1"/>
  <c r="Y179" i="18"/>
  <c r="AN179" i="18" s="1"/>
  <c r="AZ169" i="18"/>
  <c r="BC169" i="18" s="1"/>
  <c r="BA169" i="18"/>
  <c r="BB169" i="18"/>
  <c r="AW71" i="18"/>
  <c r="BC71" i="18" s="1"/>
  <c r="Y71" i="18"/>
  <c r="AN71" i="18" s="1"/>
  <c r="AN212" i="18"/>
  <c r="AN198" i="18"/>
  <c r="BC175" i="18"/>
  <c r="BD55" i="18"/>
  <c r="BE55" i="18" s="1"/>
  <c r="AO55" i="18" s="1"/>
  <c r="R471" i="18"/>
  <c r="T156" i="18"/>
  <c r="BB96" i="18"/>
  <c r="BA96" i="18"/>
  <c r="AZ96" i="18"/>
  <c r="BC96" i="18" s="1"/>
  <c r="T197" i="18"/>
  <c r="AN191" i="18"/>
  <c r="AN35" i="18"/>
  <c r="AE85" i="18"/>
  <c r="BB12" i="18"/>
  <c r="BA12" i="18"/>
  <c r="BC12" i="18" s="1"/>
  <c r="AZ12" i="18"/>
  <c r="T18" i="18"/>
  <c r="BA112" i="18"/>
  <c r="AZ112" i="18"/>
  <c r="BC112" i="18" s="1"/>
  <c r="BB112" i="18"/>
  <c r="BB74" i="18"/>
  <c r="BA74" i="18"/>
  <c r="BC74" i="18" s="1"/>
  <c r="AZ74" i="18"/>
  <c r="Y50" i="18"/>
  <c r="AN50" i="18" s="1"/>
  <c r="T32" i="18"/>
  <c r="AW13" i="18"/>
  <c r="BC13" i="18" s="1"/>
  <c r="Y13" i="18"/>
  <c r="AN13" i="18" s="1"/>
  <c r="AE129" i="18"/>
  <c r="T40" i="18"/>
  <c r="BB117" i="18"/>
  <c r="BA117" i="18"/>
  <c r="AZ117" i="18"/>
  <c r="BC117" i="18" s="1"/>
  <c r="AN177" i="18"/>
  <c r="BC97" i="18"/>
  <c r="BB97" i="18"/>
  <c r="BA97" i="18"/>
  <c r="AZ97" i="18"/>
  <c r="AN34" i="18"/>
  <c r="AN55" i="18"/>
  <c r="T41" i="18"/>
  <c r="BD35" i="18"/>
  <c r="BE35" i="18" s="1"/>
  <c r="AO35" i="18" s="1"/>
  <c r="BB123" i="18"/>
  <c r="BA123" i="18"/>
  <c r="AZ123" i="18"/>
  <c r="BC123" i="18" s="1"/>
  <c r="Y66" i="18"/>
  <c r="AN66" i="18" s="1"/>
  <c r="Y49" i="18"/>
  <c r="AN49" i="18" s="1"/>
  <c r="AN9" i="18"/>
  <c r="AE128" i="18"/>
  <c r="AM90" i="18"/>
  <c r="AM128" i="18" s="1"/>
  <c r="AN100" i="18"/>
  <c r="AZ24" i="18"/>
  <c r="BA24" i="18"/>
  <c r="BB24" i="18"/>
  <c r="BC24" i="18" s="1"/>
  <c r="BA7" i="18"/>
  <c r="AZ7" i="18"/>
  <c r="BB7" i="18"/>
  <c r="BC7" i="18"/>
  <c r="BD127" i="18"/>
  <c r="BE127" i="18" s="1"/>
  <c r="AO127" i="18" s="1"/>
  <c r="AP127" i="18" s="1"/>
  <c r="AQ127" i="18" s="1"/>
  <c r="AR127" i="18" s="1"/>
  <c r="BD107" i="18"/>
  <c r="BE107" i="18" s="1"/>
  <c r="AO107" i="18" s="1"/>
  <c r="AP107" i="18" s="1"/>
  <c r="AQ107" i="18" s="1"/>
  <c r="AR107" i="18" s="1"/>
  <c r="BD34" i="18"/>
  <c r="BE34" i="18" s="1"/>
  <c r="AO34" i="18" s="1"/>
  <c r="AW91" i="18"/>
  <c r="BC91" i="18" s="1"/>
  <c r="Y91" i="18"/>
  <c r="AN91" i="18" s="1"/>
  <c r="AN41" i="18"/>
  <c r="AN46" i="18"/>
  <c r="BC399" i="18" l="1"/>
  <c r="AP19" i="18"/>
  <c r="AQ19" i="18" s="1"/>
  <c r="AR19" i="18" s="1"/>
  <c r="AP185" i="18"/>
  <c r="AQ185" i="18" s="1"/>
  <c r="S471" i="18"/>
  <c r="AP106" i="18"/>
  <c r="AQ106" i="18" s="1"/>
  <c r="AR106" i="18" s="1"/>
  <c r="AP193" i="18"/>
  <c r="AR166" i="18"/>
  <c r="AQ166" i="18"/>
  <c r="BD178" i="18"/>
  <c r="BE178" i="18"/>
  <c r="AO178" i="18" s="1"/>
  <c r="AP178" i="18" s="1"/>
  <c r="T471" i="18"/>
  <c r="AP207" i="18"/>
  <c r="BC90" i="18"/>
  <c r="S469" i="18"/>
  <c r="AP26" i="18"/>
  <c r="AQ26" i="18" s="1"/>
  <c r="AR26" i="18" s="1"/>
  <c r="AP177" i="18"/>
  <c r="AP55" i="18"/>
  <c r="AQ55" i="18" s="1"/>
  <c r="AR55" i="18" s="1"/>
  <c r="AP54" i="18"/>
  <c r="AQ54" i="18" s="1"/>
  <c r="AR54" i="18" s="1"/>
  <c r="BD303" i="18"/>
  <c r="BE303" i="18" s="1"/>
  <c r="AO303" i="18" s="1"/>
  <c r="AP303" i="18" s="1"/>
  <c r="AQ303" i="18" s="1"/>
  <c r="AR303" i="18" s="1"/>
  <c r="BD439" i="18"/>
  <c r="BE439" i="18" s="1"/>
  <c r="AO439" i="18" s="1"/>
  <c r="AP439" i="18" s="1"/>
  <c r="AQ439" i="18" s="1"/>
  <c r="AR439" i="18" s="1"/>
  <c r="BD367" i="18"/>
  <c r="BE367" i="18" s="1"/>
  <c r="AO367" i="18" s="1"/>
  <c r="AP367" i="18" s="1"/>
  <c r="AQ367" i="18" s="1"/>
  <c r="AR367" i="18" s="1"/>
  <c r="BE467" i="18"/>
  <c r="AO467" i="18" s="1"/>
  <c r="BD467" i="18"/>
  <c r="BD76" i="18"/>
  <c r="BE76" i="18" s="1"/>
  <c r="AO76" i="18" s="1"/>
  <c r="AP76" i="18" s="1"/>
  <c r="AQ76" i="18" s="1"/>
  <c r="AR76" i="18" s="1"/>
  <c r="BD161" i="18"/>
  <c r="BE161" i="18" s="1"/>
  <c r="AO161" i="18" s="1"/>
  <c r="AP161" i="18" s="1"/>
  <c r="AR199" i="18"/>
  <c r="AQ199" i="18"/>
  <c r="BD61" i="18"/>
  <c r="BE61" i="18" s="1"/>
  <c r="AO61" i="18" s="1"/>
  <c r="AP61" i="18" s="1"/>
  <c r="AQ61" i="18" s="1"/>
  <c r="AR61" i="18" s="1"/>
  <c r="BD296" i="18"/>
  <c r="BE296" i="18" s="1"/>
  <c r="AO296" i="18" s="1"/>
  <c r="AP296" i="18" s="1"/>
  <c r="AQ296" i="18" s="1"/>
  <c r="AR296" i="18" s="1"/>
  <c r="BD299" i="18"/>
  <c r="BE299" i="18" s="1"/>
  <c r="AO299" i="18" s="1"/>
  <c r="AP299" i="18" s="1"/>
  <c r="AQ299" i="18" s="1"/>
  <c r="AR299" i="18" s="1"/>
  <c r="BD459" i="18"/>
  <c r="BE459" i="18" s="1"/>
  <c r="AO459" i="18" s="1"/>
  <c r="AP459" i="18" s="1"/>
  <c r="AQ459" i="18" s="1"/>
  <c r="AR459" i="18" s="1"/>
  <c r="BD351" i="18"/>
  <c r="BE351" i="18" s="1"/>
  <c r="AO351" i="18" s="1"/>
  <c r="AP351" i="18" s="1"/>
  <c r="AQ351" i="18" s="1"/>
  <c r="AR351" i="18" s="1"/>
  <c r="BD360" i="18"/>
  <c r="BE360" i="18" s="1"/>
  <c r="AO360" i="18" s="1"/>
  <c r="AP360" i="18" s="1"/>
  <c r="AQ360" i="18" s="1"/>
  <c r="AR360" i="18" s="1"/>
  <c r="BD236" i="18"/>
  <c r="BE236" i="18" s="1"/>
  <c r="AO236" i="18" s="1"/>
  <c r="AP236" i="18" s="1"/>
  <c r="AR208" i="18"/>
  <c r="AQ208" i="18"/>
  <c r="AQ170" i="18"/>
  <c r="AR170" i="18"/>
  <c r="BD301" i="18"/>
  <c r="BE301" i="18" s="1"/>
  <c r="AO301" i="18" s="1"/>
  <c r="AP301" i="18" s="1"/>
  <c r="AQ301" i="18" s="1"/>
  <c r="AR301" i="18" s="1"/>
  <c r="BD144" i="18"/>
  <c r="BE144" i="18" s="1"/>
  <c r="AO144" i="18" s="1"/>
  <c r="AP144" i="18" s="1"/>
  <c r="AQ144" i="18" s="1"/>
  <c r="AR144" i="18" s="1"/>
  <c r="BD95" i="18"/>
  <c r="BE95" i="18" s="1"/>
  <c r="AO95" i="18" s="1"/>
  <c r="AP95" i="18" s="1"/>
  <c r="AQ95" i="18" s="1"/>
  <c r="AR95" i="18" s="1"/>
  <c r="AQ203" i="18"/>
  <c r="AR203" i="18"/>
  <c r="AR233" i="18"/>
  <c r="AQ233" i="18"/>
  <c r="BD355" i="18"/>
  <c r="BE355" i="18" s="1"/>
  <c r="AO355" i="18" s="1"/>
  <c r="AP355" i="18" s="1"/>
  <c r="AQ355" i="18" s="1"/>
  <c r="AR355" i="18" s="1"/>
  <c r="BD123" i="18"/>
  <c r="BE123" i="18" s="1"/>
  <c r="AO123" i="18" s="1"/>
  <c r="AP123" i="18" s="1"/>
  <c r="AQ123" i="18" s="1"/>
  <c r="AR123" i="18" s="1"/>
  <c r="BD96" i="18"/>
  <c r="BE96" i="18" s="1"/>
  <c r="AO96" i="18" s="1"/>
  <c r="AP96" i="18" s="1"/>
  <c r="AQ96" i="18" s="1"/>
  <c r="AR96" i="18" s="1"/>
  <c r="BE426" i="18"/>
  <c r="AO426" i="18" s="1"/>
  <c r="AP426" i="18" s="1"/>
  <c r="AQ426" i="18" s="1"/>
  <c r="AR426" i="18" s="1"/>
  <c r="BD426" i="18"/>
  <c r="BD81" i="18"/>
  <c r="BE81" i="18" s="1"/>
  <c r="AO81" i="18" s="1"/>
  <c r="AP81" i="18" s="1"/>
  <c r="AQ81" i="18" s="1"/>
  <c r="AR81" i="18" s="1"/>
  <c r="BE77" i="18"/>
  <c r="AO77" i="18" s="1"/>
  <c r="BD77" i="18"/>
  <c r="BD122" i="18"/>
  <c r="BE122" i="18" s="1"/>
  <c r="AO122" i="18" s="1"/>
  <c r="AP122" i="18" s="1"/>
  <c r="AQ122" i="18" s="1"/>
  <c r="AR122" i="18" s="1"/>
  <c r="AQ246" i="18"/>
  <c r="AR246" i="18"/>
  <c r="BD212" i="18"/>
  <c r="BE212" i="18" s="1"/>
  <c r="AO212" i="18" s="1"/>
  <c r="AP212" i="18" s="1"/>
  <c r="BD105" i="18"/>
  <c r="BE105" i="18" s="1"/>
  <c r="AO105" i="18" s="1"/>
  <c r="AP105" i="18" s="1"/>
  <c r="AQ105" i="18" s="1"/>
  <c r="AR105" i="18" s="1"/>
  <c r="BD417" i="18"/>
  <c r="BE417" i="18" s="1"/>
  <c r="AO417" i="18" s="1"/>
  <c r="AP417" i="18" s="1"/>
  <c r="AQ417" i="18" s="1"/>
  <c r="AR417" i="18" s="1"/>
  <c r="BD432" i="18"/>
  <c r="BE432" i="18" s="1"/>
  <c r="AO432" i="18" s="1"/>
  <c r="AP432" i="18" s="1"/>
  <c r="AQ432" i="18" s="1"/>
  <c r="AR432" i="18" s="1"/>
  <c r="BD158" i="18"/>
  <c r="BE158" i="18" s="1"/>
  <c r="AO158" i="18" s="1"/>
  <c r="AP158" i="18" s="1"/>
  <c r="BD137" i="18"/>
  <c r="BE137" i="18" s="1"/>
  <c r="AO137" i="18" s="1"/>
  <c r="AP137" i="18" s="1"/>
  <c r="AQ137" i="18" s="1"/>
  <c r="AR137" i="18" s="1"/>
  <c r="BD48" i="18"/>
  <c r="BE48" i="18" s="1"/>
  <c r="AO48" i="18" s="1"/>
  <c r="AP48" i="18" s="1"/>
  <c r="AQ48" i="18" s="1"/>
  <c r="AR48" i="18" s="1"/>
  <c r="AR167" i="18"/>
  <c r="AQ167" i="18"/>
  <c r="BD112" i="18"/>
  <c r="BE112" i="18" s="1"/>
  <c r="AO112" i="18" s="1"/>
  <c r="AP112" i="18" s="1"/>
  <c r="AQ112" i="18" s="1"/>
  <c r="AR112" i="18" s="1"/>
  <c r="BD116" i="18"/>
  <c r="BE116" i="18" s="1"/>
  <c r="AO116" i="18" s="1"/>
  <c r="AP116" i="18" s="1"/>
  <c r="AQ116" i="18" s="1"/>
  <c r="AR116" i="18" s="1"/>
  <c r="BD232" i="18"/>
  <c r="BE232" i="18" s="1"/>
  <c r="AO232" i="18" s="1"/>
  <c r="AP232" i="18" s="1"/>
  <c r="BD219" i="18"/>
  <c r="BE219" i="18" s="1"/>
  <c r="AO219" i="18" s="1"/>
  <c r="AP219" i="18" s="1"/>
  <c r="BD398" i="18"/>
  <c r="BE398" i="18" s="1"/>
  <c r="AO398" i="18" s="1"/>
  <c r="AP398" i="18" s="1"/>
  <c r="AQ398" i="18" s="1"/>
  <c r="AR398" i="18" s="1"/>
  <c r="BD247" i="18"/>
  <c r="BE247" i="18" s="1"/>
  <c r="AO247" i="18" s="1"/>
  <c r="AP247" i="18" s="1"/>
  <c r="BD221" i="18"/>
  <c r="BE221" i="18" s="1"/>
  <c r="AO221" i="18" s="1"/>
  <c r="AP221" i="18" s="1"/>
  <c r="BE404" i="18"/>
  <c r="AO404" i="18" s="1"/>
  <c r="AP404" i="18" s="1"/>
  <c r="AQ404" i="18" s="1"/>
  <c r="AR404" i="18" s="1"/>
  <c r="BD404" i="18"/>
  <c r="BD111" i="18"/>
  <c r="BE111" i="18" s="1"/>
  <c r="AO111" i="18" s="1"/>
  <c r="AP111" i="18" s="1"/>
  <c r="AQ111" i="18" s="1"/>
  <c r="AR111" i="18" s="1"/>
  <c r="BD17" i="18"/>
  <c r="BE17" i="18" s="1"/>
  <c r="AO17" i="18" s="1"/>
  <c r="AP17" i="18" s="1"/>
  <c r="AQ17" i="18" s="1"/>
  <c r="AR17" i="18" s="1"/>
  <c r="BD33" i="18"/>
  <c r="BE33" i="18" s="1"/>
  <c r="AO33" i="18" s="1"/>
  <c r="AP33" i="18" s="1"/>
  <c r="AQ33" i="18" s="1"/>
  <c r="AR33" i="18" s="1"/>
  <c r="BD368" i="18"/>
  <c r="BE368" i="18" s="1"/>
  <c r="AO368" i="18" s="1"/>
  <c r="AP368" i="18" s="1"/>
  <c r="AQ368" i="18" s="1"/>
  <c r="AR368" i="18" s="1"/>
  <c r="BD30" i="18"/>
  <c r="BE30" i="18" s="1"/>
  <c r="AO30" i="18" s="1"/>
  <c r="AP30" i="18" s="1"/>
  <c r="AQ30" i="18" s="1"/>
  <c r="AR30" i="18" s="1"/>
  <c r="BD56" i="18"/>
  <c r="BE56" i="18" s="1"/>
  <c r="AO56" i="18" s="1"/>
  <c r="AP56" i="18" s="1"/>
  <c r="AQ56" i="18" s="1"/>
  <c r="AR56" i="18" s="1"/>
  <c r="BD126" i="18"/>
  <c r="BE126" i="18" s="1"/>
  <c r="AO126" i="18" s="1"/>
  <c r="AP126" i="18" s="1"/>
  <c r="AQ126" i="18" s="1"/>
  <c r="AR126" i="18" s="1"/>
  <c r="BD29" i="18"/>
  <c r="BE29" i="18"/>
  <c r="AO29" i="18" s="1"/>
  <c r="AP29" i="18" s="1"/>
  <c r="AQ29" i="18" s="1"/>
  <c r="AR29" i="18" s="1"/>
  <c r="BD442" i="18"/>
  <c r="BE442" i="18" s="1"/>
  <c r="AO442" i="18" s="1"/>
  <c r="AP442" i="18" s="1"/>
  <c r="AQ442" i="18" s="1"/>
  <c r="AR442" i="18" s="1"/>
  <c r="BD196" i="18"/>
  <c r="BE196" i="18" s="1"/>
  <c r="AO196" i="18" s="1"/>
  <c r="AP196" i="18" s="1"/>
  <c r="BD220" i="18"/>
  <c r="BE220" i="18"/>
  <c r="AO220" i="18" s="1"/>
  <c r="AP220" i="18" s="1"/>
  <c r="BE323" i="18"/>
  <c r="AO323" i="18" s="1"/>
  <c r="AP323" i="18" s="1"/>
  <c r="AQ323" i="18" s="1"/>
  <c r="AR323" i="18" s="1"/>
  <c r="BD323" i="18"/>
  <c r="BD43" i="18"/>
  <c r="BE43" i="18" s="1"/>
  <c r="AO43" i="18" s="1"/>
  <c r="AP43" i="18" s="1"/>
  <c r="AQ43" i="18" s="1"/>
  <c r="AR43" i="18" s="1"/>
  <c r="BD39" i="18"/>
  <c r="BE39" i="18"/>
  <c r="AO39" i="18" s="1"/>
  <c r="AP39" i="18" s="1"/>
  <c r="AQ39" i="18" s="1"/>
  <c r="AR39" i="18" s="1"/>
  <c r="BD454" i="18"/>
  <c r="BE454" i="18" s="1"/>
  <c r="AO454" i="18" s="1"/>
  <c r="AP454" i="18" s="1"/>
  <c r="AQ454" i="18" s="1"/>
  <c r="AR454" i="18" s="1"/>
  <c r="AR176" i="18"/>
  <c r="AQ176" i="18"/>
  <c r="BD108" i="18"/>
  <c r="BE108" i="18" s="1"/>
  <c r="AO108" i="18" s="1"/>
  <c r="AP108" i="18" s="1"/>
  <c r="AQ108" i="18" s="1"/>
  <c r="AR108" i="18" s="1"/>
  <c r="BD349" i="18"/>
  <c r="BE349" i="18" s="1"/>
  <c r="AO349" i="18" s="1"/>
  <c r="AP349" i="18" s="1"/>
  <c r="AQ349" i="18" s="1"/>
  <c r="AR349" i="18" s="1"/>
  <c r="BD248" i="18"/>
  <c r="BE248" i="18" s="1"/>
  <c r="AO248" i="18" s="1"/>
  <c r="AP248" i="18" s="1"/>
  <c r="AR201" i="18"/>
  <c r="AQ201" i="18"/>
  <c r="BD12" i="18"/>
  <c r="BE12" i="18" s="1"/>
  <c r="AO12" i="18" s="1"/>
  <c r="AP12" i="18" s="1"/>
  <c r="AQ12" i="18" s="1"/>
  <c r="AR12" i="18" s="1"/>
  <c r="BD445" i="18"/>
  <c r="BE445" i="18" s="1"/>
  <c r="AO445" i="18" s="1"/>
  <c r="AP445" i="18" s="1"/>
  <c r="AQ445" i="18" s="1"/>
  <c r="AR445" i="18" s="1"/>
  <c r="BD164" i="18"/>
  <c r="BE164" i="18"/>
  <c r="AO164" i="18" s="1"/>
  <c r="AP164" i="18" s="1"/>
  <c r="BD72" i="18"/>
  <c r="BE72" i="18" s="1"/>
  <c r="AO72" i="18" s="1"/>
  <c r="AP72" i="18" s="1"/>
  <c r="AQ72" i="18" s="1"/>
  <c r="AR72" i="18" s="1"/>
  <c r="BD213" i="18"/>
  <c r="BE213" i="18" s="1"/>
  <c r="AO213" i="18" s="1"/>
  <c r="AP213" i="18" s="1"/>
  <c r="AQ224" i="18"/>
  <c r="AR224" i="18"/>
  <c r="BD384" i="18"/>
  <c r="BE384" i="18" s="1"/>
  <c r="AO384" i="18" s="1"/>
  <c r="AP384" i="18" s="1"/>
  <c r="AQ384" i="18" s="1"/>
  <c r="AR384" i="18" s="1"/>
  <c r="BD304" i="18"/>
  <c r="BE304" i="18" s="1"/>
  <c r="AO304" i="18" s="1"/>
  <c r="AP304" i="18" s="1"/>
  <c r="AQ304" i="18" s="1"/>
  <c r="AR304" i="18" s="1"/>
  <c r="BD57" i="18"/>
  <c r="BE57" i="18" s="1"/>
  <c r="AO57" i="18" s="1"/>
  <c r="AP57" i="18" s="1"/>
  <c r="AQ57" i="18" s="1"/>
  <c r="AR57" i="18" s="1"/>
  <c r="BD15" i="18"/>
  <c r="BE15" i="18" s="1"/>
  <c r="AO15" i="18" s="1"/>
  <c r="AP15" i="18" s="1"/>
  <c r="AQ15" i="18" s="1"/>
  <c r="AR15" i="18" s="1"/>
  <c r="BD186" i="18"/>
  <c r="BE186" i="18" s="1"/>
  <c r="AO186" i="18" s="1"/>
  <c r="AP186" i="18" s="1"/>
  <c r="BD381" i="18"/>
  <c r="BE381" i="18" s="1"/>
  <c r="AO381" i="18" s="1"/>
  <c r="AP381" i="18" s="1"/>
  <c r="AQ381" i="18" s="1"/>
  <c r="AR381" i="18" s="1"/>
  <c r="BD104" i="18"/>
  <c r="BE104" i="18" s="1"/>
  <c r="AO104" i="18" s="1"/>
  <c r="AP104" i="18" s="1"/>
  <c r="AQ104" i="18" s="1"/>
  <c r="AR104" i="18" s="1"/>
  <c r="BD306" i="18"/>
  <c r="BE306" i="18" s="1"/>
  <c r="AO306" i="18" s="1"/>
  <c r="AP306" i="18" s="1"/>
  <c r="AQ306" i="18" s="1"/>
  <c r="AR306" i="18" s="1"/>
  <c r="AQ209" i="18"/>
  <c r="AR209" i="18"/>
  <c r="AR194" i="18"/>
  <c r="AQ194" i="18"/>
  <c r="BD293" i="18"/>
  <c r="BE293" i="18" s="1"/>
  <c r="AO293" i="18" s="1"/>
  <c r="AP293" i="18" s="1"/>
  <c r="AQ293" i="18" s="1"/>
  <c r="AR293" i="18" s="1"/>
  <c r="BD455" i="18"/>
  <c r="BE455" i="18" s="1"/>
  <c r="AO455" i="18" s="1"/>
  <c r="AP455" i="18" s="1"/>
  <c r="AQ455" i="18" s="1"/>
  <c r="AR455" i="18" s="1"/>
  <c r="BD20" i="18"/>
  <c r="BE20" i="18" s="1"/>
  <c r="AO20" i="18" s="1"/>
  <c r="AP20" i="18" s="1"/>
  <c r="AQ20" i="18" s="1"/>
  <c r="AR20" i="18" s="1"/>
  <c r="BD53" i="18"/>
  <c r="BE53" i="18" s="1"/>
  <c r="AO53" i="18" s="1"/>
  <c r="AP53" i="18" s="1"/>
  <c r="AQ53" i="18" s="1"/>
  <c r="AR53" i="18" s="1"/>
  <c r="BD453" i="18"/>
  <c r="BE453" i="18" s="1"/>
  <c r="AO453" i="18" s="1"/>
  <c r="AP453" i="18" s="1"/>
  <c r="AQ453" i="18" s="1"/>
  <c r="AR453" i="18" s="1"/>
  <c r="BD36" i="18"/>
  <c r="BE36" i="18" s="1"/>
  <c r="AO36" i="18" s="1"/>
  <c r="AP36" i="18" s="1"/>
  <c r="AQ36" i="18" s="1"/>
  <c r="AR36" i="18" s="1"/>
  <c r="BD294" i="18"/>
  <c r="BE294" i="18" s="1"/>
  <c r="AO294" i="18" s="1"/>
  <c r="AP294" i="18" s="1"/>
  <c r="AQ294" i="18" s="1"/>
  <c r="AR294" i="18" s="1"/>
  <c r="BD231" i="18"/>
  <c r="BE231" i="18" s="1"/>
  <c r="AO231" i="18" s="1"/>
  <c r="AP231" i="18" s="1"/>
  <c r="BD90" i="18"/>
  <c r="BE90" i="18" s="1"/>
  <c r="AO90" i="18" s="1"/>
  <c r="BD356" i="18"/>
  <c r="BE356" i="18" s="1"/>
  <c r="AO356" i="18" s="1"/>
  <c r="AP356" i="18" s="1"/>
  <c r="AQ356" i="18" s="1"/>
  <c r="AR356" i="18" s="1"/>
  <c r="AR238" i="18"/>
  <c r="AQ238" i="18"/>
  <c r="BD80" i="18"/>
  <c r="BE80" i="18" s="1"/>
  <c r="AO80" i="18" s="1"/>
  <c r="AP80" i="18" s="1"/>
  <c r="AQ80" i="18" s="1"/>
  <c r="AR80" i="18" s="1"/>
  <c r="BD187" i="18"/>
  <c r="BE187" i="18" s="1"/>
  <c r="AO187" i="18" s="1"/>
  <c r="AP187" i="18" s="1"/>
  <c r="BD182" i="18"/>
  <c r="BE182" i="18" s="1"/>
  <c r="AO182" i="18" s="1"/>
  <c r="AP182" i="18" s="1"/>
  <c r="BD429" i="18"/>
  <c r="BE429" i="18" s="1"/>
  <c r="AO429" i="18" s="1"/>
  <c r="AP429" i="18" s="1"/>
  <c r="AQ429" i="18" s="1"/>
  <c r="AR429" i="18" s="1"/>
  <c r="BD434" i="18"/>
  <c r="BE434" i="18" s="1"/>
  <c r="AO434" i="18" s="1"/>
  <c r="AP434" i="18" s="1"/>
  <c r="AQ434" i="18" s="1"/>
  <c r="AR434" i="18" s="1"/>
  <c r="BD52" i="18"/>
  <c r="BE52" i="18" s="1"/>
  <c r="AO52" i="18" s="1"/>
  <c r="AP52" i="18" s="1"/>
  <c r="AQ52" i="18" s="1"/>
  <c r="AR52" i="18" s="1"/>
  <c r="BD197" i="18"/>
  <c r="BE197" i="18" s="1"/>
  <c r="AO197" i="18" s="1"/>
  <c r="AP197" i="18" s="1"/>
  <c r="BD291" i="18"/>
  <c r="BE291" i="18" s="1"/>
  <c r="AO291" i="18" s="1"/>
  <c r="AP291" i="18" s="1"/>
  <c r="AQ291" i="18" s="1"/>
  <c r="AR291" i="18" s="1"/>
  <c r="BD456" i="18"/>
  <c r="BE456" i="18" s="1"/>
  <c r="AO456" i="18" s="1"/>
  <c r="AP456" i="18" s="1"/>
  <c r="AQ456" i="18" s="1"/>
  <c r="AR456" i="18" s="1"/>
  <c r="AQ195" i="18"/>
  <c r="AR195" i="18"/>
  <c r="BD60" i="18"/>
  <c r="BE60" i="18" s="1"/>
  <c r="AO60" i="18" s="1"/>
  <c r="AP60" i="18" s="1"/>
  <c r="AQ60" i="18" s="1"/>
  <c r="AR60" i="18" s="1"/>
  <c r="AR184" i="18"/>
  <c r="AQ184" i="18"/>
  <c r="AR183" i="18"/>
  <c r="AQ183" i="18"/>
  <c r="AQ157" i="18"/>
  <c r="AR157" i="18"/>
  <c r="BD289" i="18"/>
  <c r="BE289" i="18" s="1"/>
  <c r="AO289" i="18" s="1"/>
  <c r="AP289" i="18" s="1"/>
  <c r="AQ289" i="18" s="1"/>
  <c r="AR289" i="18" s="1"/>
  <c r="AR185" i="18"/>
  <c r="BD379" i="18"/>
  <c r="BE379" i="18" s="1"/>
  <c r="AO379" i="18" s="1"/>
  <c r="AP379" i="18" s="1"/>
  <c r="AQ379" i="18" s="1"/>
  <c r="AR379" i="18" s="1"/>
  <c r="BD452" i="18"/>
  <c r="BE452" i="18" s="1"/>
  <c r="AO452" i="18" s="1"/>
  <c r="AP452" i="18" s="1"/>
  <c r="AQ452" i="18" s="1"/>
  <c r="AR452" i="18" s="1"/>
  <c r="BD9" i="18"/>
  <c r="BE9" i="18" s="1"/>
  <c r="AO9" i="18" s="1"/>
  <c r="AP9" i="18" s="1"/>
  <c r="AQ9" i="18" s="1"/>
  <c r="AR9" i="18" s="1"/>
  <c r="BD68" i="18"/>
  <c r="BE68" i="18" s="1"/>
  <c r="AO68" i="18" s="1"/>
  <c r="AP68" i="18" s="1"/>
  <c r="AQ68" i="18" s="1"/>
  <c r="AR68" i="18" s="1"/>
  <c r="BE405" i="18"/>
  <c r="AO405" i="18" s="1"/>
  <c r="AP405" i="18" s="1"/>
  <c r="AQ405" i="18" s="1"/>
  <c r="AR405" i="18" s="1"/>
  <c r="BD405" i="18"/>
  <c r="BD223" i="18"/>
  <c r="BE223" i="18" s="1"/>
  <c r="AO223" i="18" s="1"/>
  <c r="AP223" i="18" s="1"/>
  <c r="BD25" i="18"/>
  <c r="BE25" i="18" s="1"/>
  <c r="AO25" i="18" s="1"/>
  <c r="AP25" i="18" s="1"/>
  <c r="AQ25" i="18" s="1"/>
  <c r="AR25" i="18" s="1"/>
  <c r="BD237" i="18"/>
  <c r="BE237" i="18" s="1"/>
  <c r="AO237" i="18" s="1"/>
  <c r="AP237" i="18" s="1"/>
  <c r="AR204" i="18"/>
  <c r="AQ204" i="18"/>
  <c r="BD423" i="18"/>
  <c r="BE423" i="18" s="1"/>
  <c r="AO423" i="18" s="1"/>
  <c r="AP423" i="18" s="1"/>
  <c r="AQ423" i="18" s="1"/>
  <c r="AR423" i="18" s="1"/>
  <c r="AR214" i="18"/>
  <c r="AQ214" i="18"/>
  <c r="BD311" i="18"/>
  <c r="BE311" i="18" s="1"/>
  <c r="AO311" i="18" s="1"/>
  <c r="AP311" i="18" s="1"/>
  <c r="AQ311" i="18" s="1"/>
  <c r="AR311" i="18" s="1"/>
  <c r="BD406" i="18"/>
  <c r="BE406" i="18" s="1"/>
  <c r="AO406" i="18" s="1"/>
  <c r="AP406" i="18" s="1"/>
  <c r="AQ406" i="18" s="1"/>
  <c r="AR406" i="18" s="1"/>
  <c r="BD118" i="18"/>
  <c r="BE118" i="18" s="1"/>
  <c r="AO118" i="18" s="1"/>
  <c r="AP118" i="18" s="1"/>
  <c r="AQ118" i="18" s="1"/>
  <c r="AR118" i="18" s="1"/>
  <c r="BD211" i="18"/>
  <c r="BE211" i="18" s="1"/>
  <c r="AO211" i="18" s="1"/>
  <c r="AP211" i="18" s="1"/>
  <c r="BD428" i="18"/>
  <c r="BE428" i="18" s="1"/>
  <c r="AO428" i="18" s="1"/>
  <c r="AP428" i="18" s="1"/>
  <c r="AQ428" i="18" s="1"/>
  <c r="AR428" i="18" s="1"/>
  <c r="BD341" i="18"/>
  <c r="BE341" i="18" s="1"/>
  <c r="AO341" i="18" s="1"/>
  <c r="AP341" i="18" s="1"/>
  <c r="AQ341" i="18" s="1"/>
  <c r="AR341" i="18" s="1"/>
  <c r="AR171" i="18"/>
  <c r="AQ171" i="18"/>
  <c r="BD210" i="18"/>
  <c r="BE210" i="18" s="1"/>
  <c r="AO210" i="18" s="1"/>
  <c r="AP210" i="18" s="1"/>
  <c r="BD24" i="18"/>
  <c r="BE24" i="18" s="1"/>
  <c r="AO24" i="18" s="1"/>
  <c r="AP24" i="18" s="1"/>
  <c r="AQ24" i="18" s="1"/>
  <c r="AR24" i="18" s="1"/>
  <c r="BD346" i="18"/>
  <c r="BE346" i="18" s="1"/>
  <c r="AO346" i="18" s="1"/>
  <c r="AP346" i="18" s="1"/>
  <c r="AQ346" i="18" s="1"/>
  <c r="AR346" i="18" s="1"/>
  <c r="BD198" i="18"/>
  <c r="BE198" i="18" s="1"/>
  <c r="AO198" i="18" s="1"/>
  <c r="AP198" i="18" s="1"/>
  <c r="AR225" i="18"/>
  <c r="AQ225" i="18"/>
  <c r="BD315" i="18"/>
  <c r="BE315" i="18" s="1"/>
  <c r="AO315" i="18" s="1"/>
  <c r="AP315" i="18" s="1"/>
  <c r="AQ315" i="18" s="1"/>
  <c r="AR315" i="18" s="1"/>
  <c r="BD244" i="18"/>
  <c r="BE244" i="18" s="1"/>
  <c r="AO244" i="18" s="1"/>
  <c r="AP244" i="18" s="1"/>
  <c r="BD113" i="18"/>
  <c r="BE113" i="18" s="1"/>
  <c r="AO113" i="18" s="1"/>
  <c r="AP113" i="18" s="1"/>
  <c r="AQ113" i="18" s="1"/>
  <c r="AR113" i="18" s="1"/>
  <c r="BD354" i="18"/>
  <c r="BE354" i="18" s="1"/>
  <c r="AO354" i="18" s="1"/>
  <c r="AP354" i="18" s="1"/>
  <c r="AQ354" i="18" s="1"/>
  <c r="AR354" i="18" s="1"/>
  <c r="BD162" i="18"/>
  <c r="BE162" i="18" s="1"/>
  <c r="AO162" i="18" s="1"/>
  <c r="AP162" i="18" s="1"/>
  <c r="BD215" i="18"/>
  <c r="BE215" i="18" s="1"/>
  <c r="AO215" i="18" s="1"/>
  <c r="AP215" i="18" s="1"/>
  <c r="BD119" i="18"/>
  <c r="BE119" i="18" s="1"/>
  <c r="AO119" i="18" s="1"/>
  <c r="AP119" i="18" s="1"/>
  <c r="AQ119" i="18" s="1"/>
  <c r="AR119" i="18" s="1"/>
  <c r="BD125" i="18"/>
  <c r="BE125" i="18" s="1"/>
  <c r="AO125" i="18" s="1"/>
  <c r="AP125" i="18" s="1"/>
  <c r="AQ125" i="18" s="1"/>
  <c r="AR125" i="18" s="1"/>
  <c r="BD286" i="18"/>
  <c r="BE286" i="18" s="1"/>
  <c r="AO286" i="18" s="1"/>
  <c r="AP286" i="18" s="1"/>
  <c r="AQ286" i="18" s="1"/>
  <c r="AR286" i="18" s="1"/>
  <c r="BD117" i="18"/>
  <c r="BE117" i="18"/>
  <c r="AO117" i="18" s="1"/>
  <c r="AP117" i="18" s="1"/>
  <c r="AQ117" i="18" s="1"/>
  <c r="AR117" i="18" s="1"/>
  <c r="BE74" i="18"/>
  <c r="AO74" i="18" s="1"/>
  <c r="AP74" i="18" s="1"/>
  <c r="AQ74" i="18" s="1"/>
  <c r="AR74" i="18" s="1"/>
  <c r="BD74" i="18"/>
  <c r="BD169" i="18"/>
  <c r="BE169" i="18" s="1"/>
  <c r="AO169" i="18" s="1"/>
  <c r="AP169" i="18" s="1"/>
  <c r="BD165" i="18"/>
  <c r="BE165" i="18" s="1"/>
  <c r="AO165" i="18" s="1"/>
  <c r="AP165" i="18" s="1"/>
  <c r="BD41" i="18"/>
  <c r="BE41" i="18" s="1"/>
  <c r="AO41" i="18" s="1"/>
  <c r="AP41" i="18" s="1"/>
  <c r="AQ41" i="18" s="1"/>
  <c r="AR41" i="18" s="1"/>
  <c r="BD14" i="18"/>
  <c r="BE14" i="18"/>
  <c r="AO14" i="18" s="1"/>
  <c r="AP14" i="18" s="1"/>
  <c r="AQ14" i="18" s="1"/>
  <c r="AR14" i="18" s="1"/>
  <c r="BD22" i="18"/>
  <c r="BE22" i="18" s="1"/>
  <c r="AO22" i="18" s="1"/>
  <c r="AP22" i="18" s="1"/>
  <c r="AQ22" i="18" s="1"/>
  <c r="AR22" i="18" s="1"/>
  <c r="BD189" i="18"/>
  <c r="BE189" i="18" s="1"/>
  <c r="AO189" i="18" s="1"/>
  <c r="AP189" i="18" s="1"/>
  <c r="BD278" i="18"/>
  <c r="BE278" i="18" s="1"/>
  <c r="AO278" i="18" s="1"/>
  <c r="AP278" i="18" s="1"/>
  <c r="AQ278" i="18" s="1"/>
  <c r="AR278" i="18" s="1"/>
  <c r="BD393" i="18"/>
  <c r="BE393" i="18" s="1"/>
  <c r="AO393" i="18" s="1"/>
  <c r="AP393" i="18" s="1"/>
  <c r="AQ393" i="18" s="1"/>
  <c r="AR393" i="18" s="1"/>
  <c r="BD399" i="18"/>
  <c r="BE399" i="18" s="1"/>
  <c r="AO399" i="18" s="1"/>
  <c r="AP399" i="18" s="1"/>
  <c r="AQ399" i="18" s="1"/>
  <c r="AR399" i="18" s="1"/>
  <c r="BD425" i="18"/>
  <c r="BE425" i="18" s="1"/>
  <c r="AO425" i="18" s="1"/>
  <c r="AP425" i="18" s="1"/>
  <c r="AQ425" i="18" s="1"/>
  <c r="AR425" i="18" s="1"/>
  <c r="BD396" i="18"/>
  <c r="BE396" i="18" s="1"/>
  <c r="AO396" i="18" s="1"/>
  <c r="AP396" i="18" s="1"/>
  <c r="AQ396" i="18" s="1"/>
  <c r="AR396" i="18" s="1"/>
  <c r="BE444" i="18"/>
  <c r="AO444" i="18" s="1"/>
  <c r="AP444" i="18" s="1"/>
  <c r="AQ444" i="18" s="1"/>
  <c r="AR444" i="18" s="1"/>
  <c r="BD444" i="18"/>
  <c r="AQ243" i="18"/>
  <c r="AR243" i="18"/>
  <c r="BD361" i="18"/>
  <c r="BE361" i="18" s="1"/>
  <c r="AO361" i="18" s="1"/>
  <c r="AP361" i="18" s="1"/>
  <c r="AQ361" i="18" s="1"/>
  <c r="AR361" i="18" s="1"/>
  <c r="BD277" i="18"/>
  <c r="BE277" i="18"/>
  <c r="AO277" i="18" s="1"/>
  <c r="BD347" i="18"/>
  <c r="BE347" i="18" s="1"/>
  <c r="AO347" i="18" s="1"/>
  <c r="AP347" i="18" s="1"/>
  <c r="AQ347" i="18" s="1"/>
  <c r="AR347" i="18" s="1"/>
  <c r="AR240" i="18"/>
  <c r="AQ240" i="18"/>
  <c r="AR163" i="18"/>
  <c r="AQ163" i="18"/>
  <c r="BD376" i="18"/>
  <c r="BE376" i="18" s="1"/>
  <c r="AO376" i="18" s="1"/>
  <c r="AP376" i="18" s="1"/>
  <c r="AQ376" i="18" s="1"/>
  <c r="AR376" i="18" s="1"/>
  <c r="BD234" i="18"/>
  <c r="BE234" i="18" s="1"/>
  <c r="AO234" i="18" s="1"/>
  <c r="AP234" i="18" s="1"/>
  <c r="AR177" i="18"/>
  <c r="AQ177" i="18"/>
  <c r="Y138" i="18"/>
  <c r="AN135" i="18"/>
  <c r="S332" i="18"/>
  <c r="BD340" i="18"/>
  <c r="BE340" i="18" s="1"/>
  <c r="AO340" i="18" s="1"/>
  <c r="AP340" i="18" s="1"/>
  <c r="AQ340" i="18" s="1"/>
  <c r="AR340" i="18" s="1"/>
  <c r="BD371" i="18"/>
  <c r="BE371" i="18" s="1"/>
  <c r="AO371" i="18" s="1"/>
  <c r="AP371" i="18" s="1"/>
  <c r="AQ371" i="18" s="1"/>
  <c r="AR371" i="18" s="1"/>
  <c r="AQ229" i="18"/>
  <c r="AR229" i="18"/>
  <c r="BE386" i="18"/>
  <c r="AO386" i="18" s="1"/>
  <c r="AP386" i="18" s="1"/>
  <c r="AQ386" i="18" s="1"/>
  <c r="AR386" i="18" s="1"/>
  <c r="BD386" i="18"/>
  <c r="BD441" i="18"/>
  <c r="BE441" i="18" s="1"/>
  <c r="AO441" i="18" s="1"/>
  <c r="AP441" i="18" s="1"/>
  <c r="AQ441" i="18" s="1"/>
  <c r="AR441" i="18" s="1"/>
  <c r="BD115" i="18"/>
  <c r="BE115" i="18" s="1"/>
  <c r="AO115" i="18" s="1"/>
  <c r="AP115" i="18" s="1"/>
  <c r="AQ115" i="18" s="1"/>
  <c r="AR115" i="18" s="1"/>
  <c r="AN471" i="18"/>
  <c r="R469" i="18"/>
  <c r="BD27" i="18"/>
  <c r="BE27" i="18" s="1"/>
  <c r="AO27" i="18" s="1"/>
  <c r="AP27" i="18" s="1"/>
  <c r="AQ27" i="18" s="1"/>
  <c r="AR27" i="18" s="1"/>
  <c r="BD114" i="18"/>
  <c r="BE114" i="18" s="1"/>
  <c r="AO114" i="18" s="1"/>
  <c r="AP114" i="18" s="1"/>
  <c r="AQ114" i="18" s="1"/>
  <c r="AR114" i="18" s="1"/>
  <c r="S138" i="18"/>
  <c r="T135" i="18"/>
  <c r="T138" i="18" s="1"/>
  <c r="BD366" i="18"/>
  <c r="BE366" i="18" s="1"/>
  <c r="AO366" i="18" s="1"/>
  <c r="AP366" i="18" s="1"/>
  <c r="AQ366" i="18" s="1"/>
  <c r="AR366" i="18" s="1"/>
  <c r="BD409" i="18"/>
  <c r="BE409" i="18" s="1"/>
  <c r="AO409" i="18" s="1"/>
  <c r="AP409" i="18" s="1"/>
  <c r="AQ409" i="18" s="1"/>
  <c r="AR409" i="18" s="1"/>
  <c r="BD28" i="18"/>
  <c r="BE28" i="18" s="1"/>
  <c r="AO28" i="18" s="1"/>
  <c r="AP28" i="18" s="1"/>
  <c r="AQ28" i="18" s="1"/>
  <c r="AR28" i="18" s="1"/>
  <c r="BD200" i="18"/>
  <c r="BE200" i="18" s="1"/>
  <c r="AO200" i="18" s="1"/>
  <c r="AP200" i="18" s="1"/>
  <c r="AP217" i="18"/>
  <c r="AN469" i="18"/>
  <c r="BD70" i="18"/>
  <c r="BE70" i="18" s="1"/>
  <c r="AO70" i="18" s="1"/>
  <c r="AP70" i="18" s="1"/>
  <c r="AQ70" i="18" s="1"/>
  <c r="AR70" i="18" s="1"/>
  <c r="BD440" i="18"/>
  <c r="BE440" i="18" s="1"/>
  <c r="AO440" i="18" s="1"/>
  <c r="AP440" i="18" s="1"/>
  <c r="AQ440" i="18" s="1"/>
  <c r="AR440" i="18" s="1"/>
  <c r="BD385" i="18"/>
  <c r="BE385" i="18" s="1"/>
  <c r="AO385" i="18" s="1"/>
  <c r="AP385" i="18" s="1"/>
  <c r="AQ385" i="18" s="1"/>
  <c r="AR385" i="18" s="1"/>
  <c r="Y471" i="18"/>
  <c r="BD181" i="18"/>
  <c r="BE181" i="18" s="1"/>
  <c r="AO181" i="18" s="1"/>
  <c r="AP181" i="18" s="1"/>
  <c r="BD174" i="18"/>
  <c r="BE174" i="18" s="1"/>
  <c r="AO174" i="18" s="1"/>
  <c r="AP174" i="18" s="1"/>
  <c r="BD403" i="18"/>
  <c r="BE403" i="18"/>
  <c r="AO403" i="18" s="1"/>
  <c r="AP403" i="18" s="1"/>
  <c r="AQ403" i="18" s="1"/>
  <c r="AR403" i="18" s="1"/>
  <c r="AN6" i="18"/>
  <c r="BD156" i="18"/>
  <c r="BE156" i="18" s="1"/>
  <c r="AO156" i="18" s="1"/>
  <c r="BD397" i="18"/>
  <c r="BE397" i="18" s="1"/>
  <c r="AO397" i="18" s="1"/>
  <c r="BE320" i="18"/>
  <c r="AO320" i="18" s="1"/>
  <c r="AP320" i="18" s="1"/>
  <c r="AQ320" i="18" s="1"/>
  <c r="AR320" i="18" s="1"/>
  <c r="BD320" i="18"/>
  <c r="AP46" i="18"/>
  <c r="AQ46" i="18" s="1"/>
  <c r="AR46" i="18" s="1"/>
  <c r="AP100" i="18"/>
  <c r="AQ100" i="18" s="1"/>
  <c r="AR100" i="18" s="1"/>
  <c r="AP34" i="18"/>
  <c r="AQ34" i="18" s="1"/>
  <c r="AR34" i="18" s="1"/>
  <c r="BD175" i="18"/>
  <c r="BE175" i="18" s="1"/>
  <c r="AO175" i="18" s="1"/>
  <c r="AP175" i="18" s="1"/>
  <c r="AR188" i="18"/>
  <c r="AQ188" i="18"/>
  <c r="BD363" i="18"/>
  <c r="BE363" i="18" s="1"/>
  <c r="AO363" i="18" s="1"/>
  <c r="AP363" i="18" s="1"/>
  <c r="AQ363" i="18" s="1"/>
  <c r="AR363" i="18" s="1"/>
  <c r="BD135" i="18"/>
  <c r="BE135" i="18" s="1"/>
  <c r="AO135" i="18" s="1"/>
  <c r="BD191" i="18"/>
  <c r="BE191" i="18" s="1"/>
  <c r="AO191" i="18" s="1"/>
  <c r="AP191" i="18" s="1"/>
  <c r="BD450" i="18"/>
  <c r="BE450" i="18" s="1"/>
  <c r="AO450" i="18" s="1"/>
  <c r="AP450" i="18" s="1"/>
  <c r="AQ450" i="18" s="1"/>
  <c r="AR450" i="18" s="1"/>
  <c r="BD11" i="18"/>
  <c r="BE11" i="18" s="1"/>
  <c r="AO11" i="18" s="1"/>
  <c r="AP11" i="18" s="1"/>
  <c r="AQ11" i="18" s="1"/>
  <c r="AR11" i="18" s="1"/>
  <c r="AR193" i="18"/>
  <c r="AQ193" i="18"/>
  <c r="AP63" i="18"/>
  <c r="AQ63" i="18" s="1"/>
  <c r="AR63" i="18" s="1"/>
  <c r="AP32" i="18"/>
  <c r="AQ32" i="18" s="1"/>
  <c r="AR32" i="18" s="1"/>
  <c r="AP37" i="18"/>
  <c r="AQ37" i="18" s="1"/>
  <c r="AR37" i="18" s="1"/>
  <c r="Y469" i="18"/>
  <c r="BD466" i="18"/>
  <c r="BE466" i="18" s="1"/>
  <c r="AO466" i="18" s="1"/>
  <c r="AP466" i="18" s="1"/>
  <c r="AQ466" i="18" s="1"/>
  <c r="AR466" i="18" s="1"/>
  <c r="BD235" i="18"/>
  <c r="BE235" i="18"/>
  <c r="AO235" i="18" s="1"/>
  <c r="AP235" i="18" s="1"/>
  <c r="BD103" i="18"/>
  <c r="BE103" i="18" s="1"/>
  <c r="AO103" i="18" s="1"/>
  <c r="AP103" i="18" s="1"/>
  <c r="AQ103" i="18" s="1"/>
  <c r="AR103" i="18" s="1"/>
  <c r="BE93" i="18"/>
  <c r="AO93" i="18" s="1"/>
  <c r="AP93" i="18" s="1"/>
  <c r="AQ93" i="18" s="1"/>
  <c r="AR93" i="18" s="1"/>
  <c r="BD93" i="18"/>
  <c r="BD6" i="18"/>
  <c r="BE6" i="18" s="1"/>
  <c r="AO6" i="18" s="1"/>
  <c r="BD321" i="18"/>
  <c r="BE321" i="18" s="1"/>
  <c r="AO321" i="18" s="1"/>
  <c r="AP321" i="18" s="1"/>
  <c r="AQ321" i="18" s="1"/>
  <c r="AR321" i="18" s="1"/>
  <c r="BD478" i="18"/>
  <c r="BE478" i="18" s="1"/>
  <c r="AO478" i="18" s="1"/>
  <c r="BD91" i="18"/>
  <c r="BE91" i="18" s="1"/>
  <c r="AO91" i="18" s="1"/>
  <c r="AP91" i="18" s="1"/>
  <c r="AQ91" i="18" s="1"/>
  <c r="AR91" i="18" s="1"/>
  <c r="BD13" i="18"/>
  <c r="BE13" i="18" s="1"/>
  <c r="AO13" i="18" s="1"/>
  <c r="AP13" i="18" s="1"/>
  <c r="AQ13" i="18" s="1"/>
  <c r="AR13" i="18" s="1"/>
  <c r="AP50" i="18"/>
  <c r="AQ50" i="18" s="1"/>
  <c r="AR50" i="18" s="1"/>
  <c r="BD487" i="18"/>
  <c r="BE487" i="18" s="1"/>
  <c r="AO487" i="18" s="1"/>
  <c r="AP77" i="18"/>
  <c r="AQ77" i="18" s="1"/>
  <c r="AR77" i="18" s="1"/>
  <c r="AP467" i="18"/>
  <c r="AQ467" i="18" s="1"/>
  <c r="AR467" i="18" s="1"/>
  <c r="AR226" i="18"/>
  <c r="AQ226" i="18"/>
  <c r="AP45" i="18"/>
  <c r="AQ45" i="18" s="1"/>
  <c r="AR45" i="18" s="1"/>
  <c r="AP241" i="18"/>
  <c r="AW397" i="18"/>
  <c r="S397" i="18"/>
  <c r="T397" i="18" s="1"/>
  <c r="Y397" i="18"/>
  <c r="AN397" i="18" s="1"/>
  <c r="BD318" i="18"/>
  <c r="BE318" i="18" s="1"/>
  <c r="AO318" i="18" s="1"/>
  <c r="AP318" i="18" s="1"/>
  <c r="AQ318" i="18" s="1"/>
  <c r="AR318" i="18" s="1"/>
  <c r="BD413" i="18"/>
  <c r="BE413" i="18" s="1"/>
  <c r="AO413" i="18" s="1"/>
  <c r="AP413" i="18" s="1"/>
  <c r="AQ413" i="18" s="1"/>
  <c r="AR413" i="18" s="1"/>
  <c r="BD330" i="18"/>
  <c r="BE330" i="18" s="1"/>
  <c r="AO330" i="18" s="1"/>
  <c r="AP330" i="18" s="1"/>
  <c r="AQ330" i="18" s="1"/>
  <c r="AR330" i="18" s="1"/>
  <c r="BE307" i="18"/>
  <c r="AO307" i="18" s="1"/>
  <c r="AP307" i="18" s="1"/>
  <c r="AQ307" i="18" s="1"/>
  <c r="AR307" i="18" s="1"/>
  <c r="BD307" i="18"/>
  <c r="BD438" i="18"/>
  <c r="BE438" i="18" s="1"/>
  <c r="AO438" i="18" s="1"/>
  <c r="AP438" i="18" s="1"/>
  <c r="AQ438" i="18" s="1"/>
  <c r="AR438" i="18" s="1"/>
  <c r="BD312" i="18"/>
  <c r="BE312" i="18" s="1"/>
  <c r="AO312" i="18" s="1"/>
  <c r="AP312" i="18" s="1"/>
  <c r="AQ312" i="18" s="1"/>
  <c r="AR312" i="18" s="1"/>
  <c r="BD383" i="18"/>
  <c r="BE383" i="18" s="1"/>
  <c r="AO383" i="18" s="1"/>
  <c r="AP383" i="18" s="1"/>
  <c r="AQ383" i="18" s="1"/>
  <c r="AR383" i="18" s="1"/>
  <c r="BD465" i="18"/>
  <c r="BE465" i="18" s="1"/>
  <c r="AO465" i="18" s="1"/>
  <c r="AP465" i="18" s="1"/>
  <c r="AQ465" i="18" s="1"/>
  <c r="AR465" i="18" s="1"/>
  <c r="BD40" i="18"/>
  <c r="BE40" i="18" s="1"/>
  <c r="AO40" i="18" s="1"/>
  <c r="AP40" i="18" s="1"/>
  <c r="AQ40" i="18" s="1"/>
  <c r="AR40" i="18" s="1"/>
  <c r="BD242" i="18"/>
  <c r="BE242" i="18" s="1"/>
  <c r="AO242" i="18" s="1"/>
  <c r="AP242" i="18" s="1"/>
  <c r="BD120" i="18"/>
  <c r="BE120" i="18"/>
  <c r="AO120" i="18" s="1"/>
  <c r="AP120" i="18" s="1"/>
  <c r="AQ120" i="18" s="1"/>
  <c r="AR120" i="18" s="1"/>
  <c r="AN90" i="18"/>
  <c r="BD298" i="18"/>
  <c r="BE298" i="18" s="1"/>
  <c r="AO298" i="18" s="1"/>
  <c r="AP298" i="18" s="1"/>
  <c r="AQ298" i="18" s="1"/>
  <c r="AR298" i="18" s="1"/>
  <c r="BD328" i="18"/>
  <c r="BE328" i="18" s="1"/>
  <c r="AO328" i="18" s="1"/>
  <c r="AP328" i="18" s="1"/>
  <c r="AQ328" i="18" s="1"/>
  <c r="AR328" i="18" s="1"/>
  <c r="BD339" i="18"/>
  <c r="BE339" i="18" s="1"/>
  <c r="AO339" i="18" s="1"/>
  <c r="BE99" i="18"/>
  <c r="AO99" i="18" s="1"/>
  <c r="AP99" i="18" s="1"/>
  <c r="AQ99" i="18" s="1"/>
  <c r="AR99" i="18" s="1"/>
  <c r="BD99" i="18"/>
  <c r="BD222" i="18"/>
  <c r="BE222" i="18" s="1"/>
  <c r="AO222" i="18" s="1"/>
  <c r="AP222" i="18" s="1"/>
  <c r="BD202" i="18"/>
  <c r="BE202" i="18" s="1"/>
  <c r="AO202" i="18" s="1"/>
  <c r="AP202" i="18" s="1"/>
  <c r="BD314" i="18"/>
  <c r="BE314" i="18" s="1"/>
  <c r="AO314" i="18" s="1"/>
  <c r="AP314" i="18" s="1"/>
  <c r="AQ314" i="18" s="1"/>
  <c r="AR314" i="18" s="1"/>
  <c r="AR192" i="18"/>
  <c r="AQ192" i="18"/>
  <c r="BD64" i="18"/>
  <c r="BE64" i="18" s="1"/>
  <c r="AO64" i="18" s="1"/>
  <c r="AP64" i="18" s="1"/>
  <c r="AQ64" i="18" s="1"/>
  <c r="AR64" i="18" s="1"/>
  <c r="BD319" i="18"/>
  <c r="BE319" i="18" s="1"/>
  <c r="AO319" i="18" s="1"/>
  <c r="AP319" i="18" s="1"/>
  <c r="AQ319" i="18" s="1"/>
  <c r="AR319" i="18" s="1"/>
  <c r="BD317" i="18"/>
  <c r="BE317" i="18" s="1"/>
  <c r="AO317" i="18" s="1"/>
  <c r="AP317" i="18" s="1"/>
  <c r="AQ317" i="18" s="1"/>
  <c r="AR317" i="18" s="1"/>
  <c r="BD344" i="18"/>
  <c r="BE344" i="18" s="1"/>
  <c r="AO344" i="18" s="1"/>
  <c r="AP344" i="18" s="1"/>
  <c r="AQ344" i="18" s="1"/>
  <c r="AR344" i="18" s="1"/>
  <c r="BD79" i="18"/>
  <c r="BE79" i="18" s="1"/>
  <c r="AO79" i="18" s="1"/>
  <c r="AP79" i="18" s="1"/>
  <c r="AQ79" i="18" s="1"/>
  <c r="AR79" i="18" s="1"/>
  <c r="BD352" i="18"/>
  <c r="BE352" i="18" s="1"/>
  <c r="AO352" i="18" s="1"/>
  <c r="AP352" i="18" s="1"/>
  <c r="AQ352" i="18" s="1"/>
  <c r="AR352" i="18" s="1"/>
  <c r="BD373" i="18"/>
  <c r="BE373" i="18" s="1"/>
  <c r="AO373" i="18" s="1"/>
  <c r="AP373" i="18" s="1"/>
  <c r="AQ373" i="18" s="1"/>
  <c r="AR373" i="18" s="1"/>
  <c r="BD21" i="18"/>
  <c r="BE21" i="18" s="1"/>
  <c r="AO21" i="18" s="1"/>
  <c r="AP21" i="18" s="1"/>
  <c r="AQ21" i="18" s="1"/>
  <c r="AR21" i="18" s="1"/>
  <c r="BD458" i="18"/>
  <c r="BE458" i="18" s="1"/>
  <c r="AO458" i="18" s="1"/>
  <c r="AP458" i="18" s="1"/>
  <c r="AQ458" i="18" s="1"/>
  <c r="AR458" i="18" s="1"/>
  <c r="BD369" i="18"/>
  <c r="BE369" i="18" s="1"/>
  <c r="AO369" i="18" s="1"/>
  <c r="AP369" i="18" s="1"/>
  <c r="AQ369" i="18" s="1"/>
  <c r="AR369" i="18" s="1"/>
  <c r="AR178" i="18"/>
  <c r="AQ178" i="18"/>
  <c r="AP179" i="18"/>
  <c r="BD160" i="18"/>
  <c r="BE160" i="18" s="1"/>
  <c r="AO160" i="18" s="1"/>
  <c r="AP160" i="18" s="1"/>
  <c r="BC375" i="18"/>
  <c r="BB375" i="18"/>
  <c r="BA375" i="18"/>
  <c r="AZ375" i="18"/>
  <c r="AR216" i="18"/>
  <c r="AQ216" i="18"/>
  <c r="BD436" i="18"/>
  <c r="BE436" i="18" s="1"/>
  <c r="AO436" i="18" s="1"/>
  <c r="AP436" i="18" s="1"/>
  <c r="AQ436" i="18" s="1"/>
  <c r="AR436" i="18" s="1"/>
  <c r="BD121" i="18"/>
  <c r="BE121" i="18" s="1"/>
  <c r="AO121" i="18" s="1"/>
  <c r="AP121" i="18" s="1"/>
  <c r="AQ121" i="18" s="1"/>
  <c r="AR121" i="18" s="1"/>
  <c r="BD279" i="18"/>
  <c r="BE279" i="18"/>
  <c r="AO279" i="18" s="1"/>
  <c r="AP279" i="18" s="1"/>
  <c r="AQ279" i="18" s="1"/>
  <c r="AR279" i="18" s="1"/>
  <c r="Y332" i="18"/>
  <c r="AN285" i="18"/>
  <c r="AW124" i="18"/>
  <c r="BC124" i="18" s="1"/>
  <c r="Y124" i="18"/>
  <c r="AN124" i="18" s="1"/>
  <c r="BD324" i="18"/>
  <c r="BE324" i="18" s="1"/>
  <c r="AO324" i="18" s="1"/>
  <c r="AP324" i="18" s="1"/>
  <c r="AQ324" i="18" s="1"/>
  <c r="AR324" i="18" s="1"/>
  <c r="BD457" i="18"/>
  <c r="BE457" i="18" s="1"/>
  <c r="AO457" i="18" s="1"/>
  <c r="AP457" i="18" s="1"/>
  <c r="AQ457" i="18" s="1"/>
  <c r="AR457" i="18" s="1"/>
  <c r="AN490" i="18"/>
  <c r="BD228" i="18"/>
  <c r="BE228" i="18" s="1"/>
  <c r="AO228" i="18" s="1"/>
  <c r="AP228" i="18" s="1"/>
  <c r="AP49" i="18"/>
  <c r="AQ49" i="18" s="1"/>
  <c r="AR49" i="18" s="1"/>
  <c r="BD97" i="18"/>
  <c r="BE97" i="18" s="1"/>
  <c r="AO97" i="18" s="1"/>
  <c r="AP97" i="18" s="1"/>
  <c r="AQ97" i="18" s="1"/>
  <c r="AR97" i="18" s="1"/>
  <c r="BD71" i="18"/>
  <c r="BE71" i="18" s="1"/>
  <c r="AO71" i="18" s="1"/>
  <c r="AP71" i="18" s="1"/>
  <c r="AQ71" i="18" s="1"/>
  <c r="AR71" i="18" s="1"/>
  <c r="BD172" i="18"/>
  <c r="BE172" i="18" s="1"/>
  <c r="AO172" i="18" s="1"/>
  <c r="AP172" i="18" s="1"/>
  <c r="BD394" i="18"/>
  <c r="BE394" i="18" s="1"/>
  <c r="AO394" i="18" s="1"/>
  <c r="AP394" i="18" s="1"/>
  <c r="AQ394" i="18" s="1"/>
  <c r="AR394" i="18" s="1"/>
  <c r="BD418" i="18"/>
  <c r="BE418" i="18" s="1"/>
  <c r="AO418" i="18" s="1"/>
  <c r="AP418" i="18" s="1"/>
  <c r="AQ418" i="18" s="1"/>
  <c r="AR418" i="18" s="1"/>
  <c r="BD460" i="18"/>
  <c r="BE460" i="18" s="1"/>
  <c r="AO460" i="18" s="1"/>
  <c r="AP460" i="18" s="1"/>
  <c r="AQ460" i="18" s="1"/>
  <c r="AR460" i="18" s="1"/>
  <c r="AR168" i="18"/>
  <c r="AQ168" i="18"/>
  <c r="T332" i="18"/>
  <c r="BD285" i="18"/>
  <c r="BE285" i="18" s="1"/>
  <c r="AO285" i="18" s="1"/>
  <c r="BD430" i="18"/>
  <c r="BE430" i="18" s="1"/>
  <c r="AO430" i="18" s="1"/>
  <c r="AP430" i="18" s="1"/>
  <c r="AQ430" i="18" s="1"/>
  <c r="AR430" i="18" s="1"/>
  <c r="BD159" i="18"/>
  <c r="BE159" i="18" s="1"/>
  <c r="AO159" i="18" s="1"/>
  <c r="AP159" i="18" s="1"/>
  <c r="BD451" i="18"/>
  <c r="BE451" i="18" s="1"/>
  <c r="AO451" i="18" s="1"/>
  <c r="AP451" i="18" s="1"/>
  <c r="AQ451" i="18" s="1"/>
  <c r="AR451" i="18" s="1"/>
  <c r="BD101" i="18"/>
  <c r="BE101" i="18" s="1"/>
  <c r="AO101" i="18" s="1"/>
  <c r="AP101" i="18" s="1"/>
  <c r="AQ101" i="18" s="1"/>
  <c r="AR101" i="18" s="1"/>
  <c r="BD110" i="18"/>
  <c r="BE110" i="18" s="1"/>
  <c r="AO110" i="18" s="1"/>
  <c r="AP110" i="18" s="1"/>
  <c r="AQ110" i="18" s="1"/>
  <c r="AR110" i="18" s="1"/>
  <c r="BD7" i="18"/>
  <c r="BE7" i="18" s="1"/>
  <c r="AO7" i="18" s="1"/>
  <c r="AP7" i="18" s="1"/>
  <c r="AQ7" i="18" s="1"/>
  <c r="AR7" i="18" s="1"/>
  <c r="AP66" i="18"/>
  <c r="AQ66" i="18" s="1"/>
  <c r="AR66" i="18" s="1"/>
  <c r="AP35" i="18"/>
  <c r="AQ35" i="18" s="1"/>
  <c r="AR35" i="18" s="1"/>
  <c r="BD245" i="18"/>
  <c r="BE245" i="18" s="1"/>
  <c r="AO245" i="18" s="1"/>
  <c r="AP245" i="18" s="1"/>
  <c r="AR207" i="18"/>
  <c r="AQ207" i="18"/>
  <c r="BD327" i="18"/>
  <c r="BE327" i="18" s="1"/>
  <c r="AO327" i="18" s="1"/>
  <c r="AP327" i="18" s="1"/>
  <c r="AQ327" i="18" s="1"/>
  <c r="AR327" i="18" s="1"/>
  <c r="BD461" i="18"/>
  <c r="BE461" i="18" s="1"/>
  <c r="AO461" i="18" s="1"/>
  <c r="AP461" i="18" s="1"/>
  <c r="AQ461" i="18" s="1"/>
  <c r="AR461" i="18" s="1"/>
  <c r="BD180" i="18"/>
  <c r="BE180" i="18" s="1"/>
  <c r="AO180" i="18" s="1"/>
  <c r="AP180" i="18" s="1"/>
  <c r="BD173" i="18"/>
  <c r="BE173" i="18"/>
  <c r="AO173" i="18" s="1"/>
  <c r="AP173" i="18" s="1"/>
  <c r="BD109" i="18"/>
  <c r="BE109" i="18" s="1"/>
  <c r="AO109" i="18" s="1"/>
  <c r="AP109" i="18" s="1"/>
  <c r="AQ109" i="18" s="1"/>
  <c r="AR109" i="18" s="1"/>
  <c r="BD206" i="18"/>
  <c r="BE206" i="18" s="1"/>
  <c r="AO206" i="18" s="1"/>
  <c r="AP206" i="18" s="1"/>
  <c r="BD288" i="18"/>
  <c r="BE288" i="18" s="1"/>
  <c r="AO288" i="18" s="1"/>
  <c r="AP288" i="18" s="1"/>
  <c r="AQ288" i="18" s="1"/>
  <c r="AR288" i="18" s="1"/>
  <c r="AN481" i="18"/>
  <c r="AP477" i="18"/>
  <c r="BD331" i="18"/>
  <c r="BE331" i="18"/>
  <c r="AO331" i="18" s="1"/>
  <c r="AP331" i="18" s="1"/>
  <c r="AQ331" i="18" s="1"/>
  <c r="AR331" i="18" s="1"/>
  <c r="AP277" i="18"/>
  <c r="AR205" i="18"/>
  <c r="AQ205" i="18"/>
  <c r="BD92" i="18"/>
  <c r="BE92" i="18" s="1"/>
  <c r="AO92" i="18" s="1"/>
  <c r="AP92" i="18" s="1"/>
  <c r="AQ92" i="18" s="1"/>
  <c r="AR92" i="18" s="1"/>
  <c r="T469" i="18"/>
  <c r="BD316" i="18"/>
  <c r="BE316" i="18"/>
  <c r="AO316" i="18" s="1"/>
  <c r="AP316" i="18" s="1"/>
  <c r="AQ316" i="18" s="1"/>
  <c r="AR316" i="18" s="1"/>
  <c r="AW69" i="18"/>
  <c r="BC69" i="18" s="1"/>
  <c r="Y69" i="18"/>
  <c r="AN69" i="18" s="1"/>
  <c r="AO490" i="18" l="1"/>
  <c r="AP487" i="18"/>
  <c r="AO332" i="18"/>
  <c r="AR200" i="18"/>
  <c r="AQ200" i="18"/>
  <c r="AR234" i="18"/>
  <c r="AQ234" i="18"/>
  <c r="AQ182" i="18"/>
  <c r="AR182" i="18"/>
  <c r="AR206" i="18"/>
  <c r="AQ206" i="18"/>
  <c r="AQ245" i="18"/>
  <c r="AR245" i="18"/>
  <c r="AQ228" i="18"/>
  <c r="AR228" i="18"/>
  <c r="AR237" i="18"/>
  <c r="AQ237" i="18"/>
  <c r="AQ187" i="18"/>
  <c r="AR187" i="18"/>
  <c r="AR248" i="18"/>
  <c r="AQ248" i="18"/>
  <c r="AQ231" i="18"/>
  <c r="AR231" i="18"/>
  <c r="AQ236" i="18"/>
  <c r="AR236" i="18"/>
  <c r="AR242" i="18"/>
  <c r="AQ242" i="18"/>
  <c r="AR222" i="18"/>
  <c r="AQ222" i="18"/>
  <c r="AP339" i="18"/>
  <c r="AO471" i="18"/>
  <c r="AP156" i="18"/>
  <c r="AQ174" i="18"/>
  <c r="AR174" i="18"/>
  <c r="AR223" i="18"/>
  <c r="AQ223" i="18"/>
  <c r="AR181" i="18"/>
  <c r="AQ181" i="18"/>
  <c r="AQ198" i="18"/>
  <c r="AR198" i="18"/>
  <c r="AR186" i="18"/>
  <c r="AQ186" i="18"/>
  <c r="AR212" i="18"/>
  <c r="AQ212" i="18"/>
  <c r="AP478" i="18"/>
  <c r="AO481" i="18"/>
  <c r="AR191" i="18"/>
  <c r="AQ191" i="18"/>
  <c r="AQ221" i="18"/>
  <c r="AR221" i="18"/>
  <c r="AQ244" i="18"/>
  <c r="AR244" i="18"/>
  <c r="AR232" i="18"/>
  <c r="AQ232" i="18"/>
  <c r="AQ189" i="18"/>
  <c r="AR189" i="18"/>
  <c r="AR165" i="18"/>
  <c r="AQ165" i="18"/>
  <c r="AR158" i="18"/>
  <c r="AQ158" i="18"/>
  <c r="BD124" i="18"/>
  <c r="BE124" i="18"/>
  <c r="AO124" i="18" s="1"/>
  <c r="AO128" i="18" s="1"/>
  <c r="AR160" i="18"/>
  <c r="AQ160" i="18"/>
  <c r="AN128" i="18"/>
  <c r="AP90" i="18"/>
  <c r="AR175" i="18"/>
  <c r="AQ175" i="18"/>
  <c r="AP6" i="18"/>
  <c r="AP84" i="18"/>
  <c r="AR217" i="18"/>
  <c r="AQ217" i="18"/>
  <c r="AR169" i="18"/>
  <c r="AQ169" i="18"/>
  <c r="AR215" i="18"/>
  <c r="AQ215" i="18"/>
  <c r="AR210" i="18"/>
  <c r="AQ210" i="18"/>
  <c r="AQ211" i="18"/>
  <c r="AR211" i="18"/>
  <c r="AR197" i="18"/>
  <c r="AQ197" i="18"/>
  <c r="AR241" i="18"/>
  <c r="AQ241" i="18"/>
  <c r="Y84" i="18"/>
  <c r="AI156" i="18"/>
  <c r="AQ164" i="18"/>
  <c r="AR164" i="18"/>
  <c r="AR196" i="18"/>
  <c r="AQ196" i="18"/>
  <c r="AQ247" i="18"/>
  <c r="AR247" i="18"/>
  <c r="AP490" i="18"/>
  <c r="AQ487" i="18"/>
  <c r="AR202" i="18"/>
  <c r="AQ202" i="18"/>
  <c r="AR161" i="18"/>
  <c r="AQ161" i="18"/>
  <c r="AQ219" i="18"/>
  <c r="AR219" i="18"/>
  <c r="AP280" i="18"/>
  <c r="AQ277" i="18"/>
  <c r="AQ179" i="18"/>
  <c r="AR179" i="18"/>
  <c r="AQ235" i="18"/>
  <c r="AR235" i="18"/>
  <c r="AQ162" i="18"/>
  <c r="AR162" i="18"/>
  <c r="AR172" i="18"/>
  <c r="AQ172" i="18"/>
  <c r="AN138" i="18"/>
  <c r="AP135" i="18"/>
  <c r="AO280" i="18"/>
  <c r="AR180" i="18"/>
  <c r="AQ180" i="18"/>
  <c r="BD69" i="18"/>
  <c r="BE69" i="18" s="1"/>
  <c r="AO69" i="18" s="1"/>
  <c r="AQ84" i="18" s="1"/>
  <c r="AR159" i="18"/>
  <c r="AQ159" i="18"/>
  <c r="AP481" i="18"/>
  <c r="AQ477" i="18"/>
  <c r="AQ173" i="18"/>
  <c r="AR173" i="18"/>
  <c r="AP285" i="18"/>
  <c r="AN332" i="18"/>
  <c r="AP397" i="18"/>
  <c r="AQ397" i="18" s="1"/>
  <c r="AR397" i="18" s="1"/>
  <c r="BD375" i="18"/>
  <c r="BE375" i="18"/>
  <c r="AO375" i="18" s="1"/>
  <c r="AP375" i="18" s="1"/>
  <c r="AQ375" i="18" s="1"/>
  <c r="AR375" i="18" s="1"/>
  <c r="AQ213" i="18"/>
  <c r="AR213" i="18"/>
  <c r="Y128" i="18"/>
  <c r="AR220" i="18"/>
  <c r="AQ220" i="18"/>
  <c r="AP124" i="18" l="1"/>
  <c r="AQ124" i="18" s="1"/>
  <c r="AR124" i="18" s="1"/>
  <c r="AQ490" i="18"/>
  <c r="AR487" i="18"/>
  <c r="AR490" i="18" s="1"/>
  <c r="AP471" i="18"/>
  <c r="AQ156" i="18"/>
  <c r="AQ471" i="18" s="1"/>
  <c r="AR156" i="18"/>
  <c r="AR471" i="18" s="1"/>
  <c r="AP138" i="18"/>
  <c r="AQ135" i="18"/>
  <c r="AQ280" i="18"/>
  <c r="AR277" i="18"/>
  <c r="AR280" i="18" s="1"/>
  <c r="AI255" i="18"/>
  <c r="AK156" i="18"/>
  <c r="AK255" i="18" s="1"/>
  <c r="AQ6" i="18"/>
  <c r="AR6" i="18" s="1"/>
  <c r="AP469" i="18"/>
  <c r="AQ339" i="18"/>
  <c r="AP69" i="18"/>
  <c r="AQ69" i="18" s="1"/>
  <c r="AR69" i="18" s="1"/>
  <c r="AO469" i="18"/>
  <c r="AQ285" i="18"/>
  <c r="AP332" i="18"/>
  <c r="AR477" i="18"/>
  <c r="AP128" i="18"/>
  <c r="AQ90" i="18"/>
  <c r="AR478" i="18"/>
  <c r="AQ478" i="18"/>
  <c r="AQ481" i="18" s="1"/>
  <c r="AR481" i="18" l="1"/>
  <c r="AQ138" i="18"/>
  <c r="AR135" i="18"/>
  <c r="AR138" i="18" s="1"/>
  <c r="AR90" i="18"/>
  <c r="AR128" i="18" s="1"/>
  <c r="AQ128" i="18"/>
  <c r="AR84" i="18"/>
  <c r="AR285" i="18"/>
  <c r="AR332" i="18" s="1"/>
  <c r="AQ332" i="18"/>
  <c r="AQ469" i="18"/>
  <c r="AR339" i="18"/>
  <c r="AR469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tc={7633c427-8360-45d5-8cb4-3a07146b9697}</author>
  </authors>
  <commentList>
    <comment ref="A1" authorId="0" shapeId="0" xr:uid="{7633C427-8360-45D5-8CB4-3A07146B9697}">
      <text>
        <r>
          <rPr>
            <sz val="10"/>
            <color rgb="FF000000"/>
            <rFont val="Aptos Narrow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ARIEF POTONGANNYA UNTUK YANG MANA ?
1. GP INFO DIA SUDAH LUNAS
2. SERAGAM SISA 5
</t>
        </r>
      </text>
    </comment>
  </commentList>
</comments>
</file>

<file path=xl/sharedStrings.xml><?xml version="1.0" encoding="utf-8"?>
<sst xmlns="http://schemas.openxmlformats.org/spreadsheetml/2006/main" count="3854" uniqueCount="1359">
  <si>
    <t>KATEGORI A</t>
  </si>
  <si>
    <t>KATEGORI B</t>
  </si>
  <si>
    <t>KATEGORI C</t>
  </si>
  <si>
    <t>KATEGORI HARIAN</t>
  </si>
  <si>
    <t>STATUS</t>
  </si>
  <si>
    <t>KATEGORI</t>
  </si>
  <si>
    <t>TK/0 - TK/1 - K/0</t>
  </si>
  <si>
    <t>TK/2 - TK/3 - K/1 - K/2</t>
  </si>
  <si>
    <t>K/3</t>
  </si>
  <si>
    <t>TK/0</t>
  </si>
  <si>
    <t>A</t>
  </si>
  <si>
    <t>~~</t>
  </si>
  <si>
    <t>TK/1</t>
  </si>
  <si>
    <t>K/0</t>
  </si>
  <si>
    <t>TK/2</t>
  </si>
  <si>
    <t>B</t>
  </si>
  <si>
    <t>TK/3</t>
  </si>
  <si>
    <t>K/1</t>
  </si>
  <si>
    <t>K/2</t>
  </si>
  <si>
    <t>C</t>
  </si>
  <si>
    <t>NO.</t>
  </si>
  <si>
    <t>NIK KTP</t>
  </si>
  <si>
    <t>NAMA</t>
  </si>
  <si>
    <t>REKENING</t>
  </si>
  <si>
    <t>JABATAN</t>
  </si>
  <si>
    <t>GAJI
POKOK</t>
  </si>
  <si>
    <t>BANK</t>
  </si>
  <si>
    <t>NOMOR</t>
  </si>
  <si>
    <t>2101067103820002</t>
  </si>
  <si>
    <t>NUNY SULISTIOWATI</t>
  </si>
  <si>
    <t>BCA</t>
  </si>
  <si>
    <t>ANGGOTA</t>
  </si>
  <si>
    <t>FULL - EXISTING</t>
  </si>
  <si>
    <t>5316012208000001</t>
  </si>
  <si>
    <t>OKTAVIANUS DAE</t>
  </si>
  <si>
    <t>5316013103980002</t>
  </si>
  <si>
    <t>BENYAMIN GOA</t>
  </si>
  <si>
    <t>1406011803030003</t>
  </si>
  <si>
    <t>MESRA ZALUKHU</t>
  </si>
  <si>
    <t>3174095507010005</t>
  </si>
  <si>
    <t>NABILLA PATRICIA</t>
  </si>
  <si>
    <t>ADMIN</t>
  </si>
  <si>
    <t>5371040310840002</t>
  </si>
  <si>
    <t>RONALD LIUBANA</t>
  </si>
  <si>
    <t>2610151348</t>
  </si>
  <si>
    <t>KORKAM</t>
  </si>
  <si>
    <t>5314061607970001</t>
  </si>
  <si>
    <t>YERY ALEXANDER LALAY</t>
  </si>
  <si>
    <t>3080371208</t>
  </si>
  <si>
    <t>HSP</t>
  </si>
  <si>
    <t>1312101901940004</t>
  </si>
  <si>
    <t>ALDIYAN JANRYANSON PARANGIN ANGIN</t>
  </si>
  <si>
    <t>KMK</t>
  </si>
  <si>
    <t>BSJ</t>
  </si>
  <si>
    <t>OUTSTATION</t>
  </si>
  <si>
    <t>6404091902010002</t>
  </si>
  <si>
    <t>FAVIYANRI FEBRIO LAWING A</t>
  </si>
  <si>
    <t>BRI</t>
  </si>
  <si>
    <t>343801005687506</t>
  </si>
  <si>
    <t>6404030507960001</t>
  </si>
  <si>
    <t>FRENGKY IRAWAN</t>
  </si>
  <si>
    <t>343801045711535</t>
  </si>
  <si>
    <t>6405060107960012</t>
  </si>
  <si>
    <t>INDRA DASAN</t>
  </si>
  <si>
    <t>789801022235532</t>
  </si>
  <si>
    <t>6404050311000003</t>
  </si>
  <si>
    <t>JERI IRAWAN</t>
  </si>
  <si>
    <t>6405072308000001</t>
  </si>
  <si>
    <t>JESTRI</t>
  </si>
  <si>
    <t>030601070377504</t>
  </si>
  <si>
    <t>8171013007010009</t>
  </si>
  <si>
    <t>MELKIAS MICHAEL PELUPESSY</t>
  </si>
  <si>
    <t>030601071819509</t>
  </si>
  <si>
    <t>6404071910040001</t>
  </si>
  <si>
    <t>OKTAVIANUS</t>
  </si>
  <si>
    <t>6404052210030002</t>
  </si>
  <si>
    <t>OKTOBERIUS</t>
  </si>
  <si>
    <t>5315020810970002</t>
  </si>
  <si>
    <t>REMIGIUS HATU</t>
  </si>
  <si>
    <t>343801051042534</t>
  </si>
  <si>
    <t>5319061704980001</t>
  </si>
  <si>
    <t>YOHANES JALANG</t>
  </si>
  <si>
    <t>342601004642502</t>
  </si>
  <si>
    <t>BKO TNI</t>
  </si>
  <si>
    <t>KAI</t>
  </si>
  <si>
    <t>6409010201840010</t>
  </si>
  <si>
    <t>ABDUL KAHAR</t>
  </si>
  <si>
    <t>760201000969506</t>
  </si>
  <si>
    <t>6409012409800003</t>
  </si>
  <si>
    <t>ACHMAD</t>
  </si>
  <si>
    <t>760201000742530</t>
  </si>
  <si>
    <t>6409042408810001</t>
  </si>
  <si>
    <t>ADI PUJI SLAMET</t>
  </si>
  <si>
    <t>760201001166509</t>
  </si>
  <si>
    <t>DANRU</t>
  </si>
  <si>
    <t>6409012505030004</t>
  </si>
  <si>
    <t>ADINTRI NUGRAHA</t>
  </si>
  <si>
    <t>205501010385500</t>
  </si>
  <si>
    <t>6409042404880001</t>
  </si>
  <si>
    <t>ADRIANUS BATA</t>
  </si>
  <si>
    <t>212301006767509</t>
  </si>
  <si>
    <t>7605050107030038</t>
  </si>
  <si>
    <t>AHMAD ANSARI</t>
  </si>
  <si>
    <t>760201019722535</t>
  </si>
  <si>
    <t>6409013112800082</t>
  </si>
  <si>
    <t>ALI BASONG</t>
  </si>
  <si>
    <t>760201000997509</t>
  </si>
  <si>
    <t>6409040207970002</t>
  </si>
  <si>
    <t>ALIF SETIA BAKTI</t>
  </si>
  <si>
    <t>200801011219505</t>
  </si>
  <si>
    <t>6409012707960004</t>
  </si>
  <si>
    <t>ARDIANSYAH</t>
  </si>
  <si>
    <t>760201007579530</t>
  </si>
  <si>
    <t>6409010405840004</t>
  </si>
  <si>
    <t>BENI R.</t>
  </si>
  <si>
    <t>212301006802503</t>
  </si>
  <si>
    <t>7322040101960006</t>
  </si>
  <si>
    <t>DEDI ISWAN</t>
  </si>
  <si>
    <t>760201019616530</t>
  </si>
  <si>
    <t>7604113009040001</t>
  </si>
  <si>
    <t>DIAZ SYAH FITRAH</t>
  </si>
  <si>
    <t>760201019713536</t>
  </si>
  <si>
    <t>6203126009010002</t>
  </si>
  <si>
    <t>ERIKA</t>
  </si>
  <si>
    <t>760201014280538</t>
  </si>
  <si>
    <t>6409010207840005</t>
  </si>
  <si>
    <t>FERDINANDUS NADUS</t>
  </si>
  <si>
    <t>760201000893501</t>
  </si>
  <si>
    <t>6409012507850004</t>
  </si>
  <si>
    <t>FIRDAUS</t>
  </si>
  <si>
    <t>760201000772501</t>
  </si>
  <si>
    <t>6409011908020002</t>
  </si>
  <si>
    <t>GILANG GUSTYANO</t>
  </si>
  <si>
    <t>111301043416509</t>
  </si>
  <si>
    <t>6409012203930003</t>
  </si>
  <si>
    <t>HAMRIYONO</t>
  </si>
  <si>
    <t>760201000758531</t>
  </si>
  <si>
    <t>6408120412790002</t>
  </si>
  <si>
    <t>HAMSAH</t>
  </si>
  <si>
    <t>760201000874507</t>
  </si>
  <si>
    <t>6409011611000006</t>
  </si>
  <si>
    <t>HARIANTO</t>
  </si>
  <si>
    <t>760201015712538</t>
  </si>
  <si>
    <t>6409010304820004</t>
  </si>
  <si>
    <t>HASANUDDIN</t>
  </si>
  <si>
    <t>760201001106509</t>
  </si>
  <si>
    <t>7602071305990002</t>
  </si>
  <si>
    <t>HASRIADI</t>
  </si>
  <si>
    <t>760201018783538</t>
  </si>
  <si>
    <t>7302061708890004</t>
  </si>
  <si>
    <t>HENDRIK</t>
  </si>
  <si>
    <t>760201001112500</t>
  </si>
  <si>
    <t>9204010312810001</t>
  </si>
  <si>
    <t>IGNASIUS. B</t>
  </si>
  <si>
    <t>335501031312531</t>
  </si>
  <si>
    <t>KOORDINATOR</t>
  </si>
  <si>
    <t>6409010608000003</t>
  </si>
  <si>
    <t>INDRA WAHYUDI</t>
  </si>
  <si>
    <t>212301006764501</t>
  </si>
  <si>
    <t>6401042201990001</t>
  </si>
  <si>
    <t>IRVAN ASRORI SAMPURNA</t>
  </si>
  <si>
    <t>212301006790502</t>
  </si>
  <si>
    <t>6409012404840015</t>
  </si>
  <si>
    <t>JAMIL</t>
  </si>
  <si>
    <t>212301006771508</t>
  </si>
  <si>
    <t>7605053112010007</t>
  </si>
  <si>
    <t>JUSMAN</t>
  </si>
  <si>
    <t>760201016546532</t>
  </si>
  <si>
    <t>6401031202950001</t>
  </si>
  <si>
    <t>KADIRUN</t>
  </si>
  <si>
    <t>760201016508534</t>
  </si>
  <si>
    <t>6409010602940002</t>
  </si>
  <si>
    <t>KAMARUDDIN</t>
  </si>
  <si>
    <t>212301006786503</t>
  </si>
  <si>
    <t>6409041912830002</t>
  </si>
  <si>
    <t>MARIANUS MUDA</t>
  </si>
  <si>
    <t>760201018311535</t>
  </si>
  <si>
    <t>6409012606980007</t>
  </si>
  <si>
    <t>MAULANA HERMAN</t>
  </si>
  <si>
    <t>212301006774506</t>
  </si>
  <si>
    <t>6409013112860097</t>
  </si>
  <si>
    <t>MELKI</t>
  </si>
  <si>
    <t>760201001093502</t>
  </si>
  <si>
    <t>7315011804020001</t>
  </si>
  <si>
    <t>MUH. ADIL</t>
  </si>
  <si>
    <t>760201019715538</t>
  </si>
  <si>
    <t>6409043011870001</t>
  </si>
  <si>
    <t>MUH. AKIB</t>
  </si>
  <si>
    <t>111301026459500</t>
  </si>
  <si>
    <t>6409012005010004</t>
  </si>
  <si>
    <t>MUHAMMAD ASDAR</t>
  </si>
  <si>
    <t>760201019632536</t>
  </si>
  <si>
    <t>6409011408770005</t>
  </si>
  <si>
    <t>NANANG</t>
  </si>
  <si>
    <t>760201001076500</t>
  </si>
  <si>
    <t>6409011209950010</t>
  </si>
  <si>
    <t>RACHMAD</t>
  </si>
  <si>
    <t>760201008298535</t>
  </si>
  <si>
    <t>6409013007980002</t>
  </si>
  <si>
    <t>ROBY ANDRIAWAN</t>
  </si>
  <si>
    <t>760201002802506</t>
  </si>
  <si>
    <t>6409012509950004</t>
  </si>
  <si>
    <t>RIO SAPUTRA</t>
  </si>
  <si>
    <t>212301006816502</t>
  </si>
  <si>
    <t>6409042312710001</t>
  </si>
  <si>
    <t>SABARUDIN</t>
  </si>
  <si>
    <t>212301006815506</t>
  </si>
  <si>
    <t>6409021912990002</t>
  </si>
  <si>
    <t>SANDI SAPUTRA</t>
  </si>
  <si>
    <t>212301006804505</t>
  </si>
  <si>
    <t>6409013112730100</t>
  </si>
  <si>
    <t>SULAIMAN</t>
  </si>
  <si>
    <t>760201015569537</t>
  </si>
  <si>
    <t>6409010509980005</t>
  </si>
  <si>
    <t>SURIYADI</t>
  </si>
  <si>
    <t>760201010380530</t>
  </si>
  <si>
    <t>6409011704690003</t>
  </si>
  <si>
    <t>SYAMSUDDIN</t>
  </si>
  <si>
    <t>760201000989506</t>
  </si>
  <si>
    <t>6409010406830004</t>
  </si>
  <si>
    <t>WAGIMAN</t>
  </si>
  <si>
    <t>760201000961508</t>
  </si>
  <si>
    <t>DANTON</t>
  </si>
  <si>
    <t>6409012005990002</t>
  </si>
  <si>
    <t>YOSEFUS BALLA BEGO</t>
  </si>
  <si>
    <t>111301042091500</t>
  </si>
  <si>
    <t>6409012808840007</t>
  </si>
  <si>
    <t>YUSUF THAMRIN</t>
  </si>
  <si>
    <t>760201000748502</t>
  </si>
  <si>
    <t>APMR</t>
  </si>
  <si>
    <t>1209311210790003</t>
  </si>
  <si>
    <t>AMRI SIHOMBING</t>
  </si>
  <si>
    <t>15401028220508</t>
  </si>
  <si>
    <t>1209123009850004</t>
  </si>
  <si>
    <t>BISKER MAKKIRAP SITUMORANG</t>
  </si>
  <si>
    <t>335501026050534</t>
  </si>
  <si>
    <t>1272030909870002</t>
  </si>
  <si>
    <t>FERDINAN SILABAN</t>
  </si>
  <si>
    <t>15401052044500</t>
  </si>
  <si>
    <t>1209120903020002</t>
  </si>
  <si>
    <t>HASIHOLAN SIMBOLON</t>
  </si>
  <si>
    <t>335501032794532</t>
  </si>
  <si>
    <t>1209121509840002</t>
  </si>
  <si>
    <t>HENDRI HUTABARAT</t>
  </si>
  <si>
    <t>11301017927535</t>
  </si>
  <si>
    <t>1209201912990002</t>
  </si>
  <si>
    <t>JOSUA AMBARITA</t>
  </si>
  <si>
    <t>327101045550539</t>
  </si>
  <si>
    <t>1209121002960002</t>
  </si>
  <si>
    <t>BICCON SITUMORANG</t>
  </si>
  <si>
    <t>335501056921535</t>
  </si>
  <si>
    <t>PEU</t>
  </si>
  <si>
    <t>6404082607020001</t>
  </si>
  <si>
    <t>IRVANTRI ANJAS</t>
  </si>
  <si>
    <t>30601013244532</t>
  </si>
  <si>
    <t>6406081505040001</t>
  </si>
  <si>
    <t>VIKY STEVEN</t>
  </si>
  <si>
    <t>30601013276539</t>
  </si>
  <si>
    <t>ATS</t>
  </si>
  <si>
    <t>PENAMBAH</t>
  </si>
  <si>
    <t>PENGURANG</t>
  </si>
  <si>
    <t>UPAH</t>
  </si>
  <si>
    <t>PPh</t>
  </si>
  <si>
    <t>UPAH
(-PPh)</t>
  </si>
  <si>
    <t>UPAH
(-THR)</t>
  </si>
  <si>
    <t>THP
(ROUNDED)</t>
  </si>
  <si>
    <t>BPJS</t>
  </si>
  <si>
    <t>TUNJANGAN KINERJA (TUKIN)</t>
  </si>
  <si>
    <t>KROSCEK</t>
  </si>
  <si>
    <t>BACKUP</t>
  </si>
  <si>
    <t>BONUS/ THR</t>
  </si>
  <si>
    <t>SUB TOTAL</t>
  </si>
  <si>
    <t>KETIDAKHADIRAN</t>
  </si>
  <si>
    <t>SP</t>
  </si>
  <si>
    <t>PINJAMAN</t>
  </si>
  <si>
    <t>LAIN-LAIN</t>
  </si>
  <si>
    <t>KAT TER</t>
  </si>
  <si>
    <t>GAJI POKOK</t>
  </si>
  <si>
    <t>TUKIN</t>
  </si>
  <si>
    <t>TARIF</t>
  </si>
  <si>
    <t>TK</t>
  </si>
  <si>
    <t>KES</t>
  </si>
  <si>
    <t>BUDGET</t>
  </si>
  <si>
    <t>1 HARI</t>
  </si>
  <si>
    <t>HARI KERJA</t>
  </si>
  <si>
    <t>SCHEDULE</t>
  </si>
  <si>
    <t>TOTAL</t>
  </si>
  <si>
    <t>REALISASI</t>
  </si>
  <si>
    <t>MINUS</t>
  </si>
  <si>
    <t>NOMINAL</t>
  </si>
  <si>
    <t>HARI OT</t>
  </si>
  <si>
    <t>SAKIT</t>
  </si>
  <si>
    <t>IJIN</t>
  </si>
  <si>
    <t>CUTI</t>
  </si>
  <si>
    <t>SOC-A</t>
  </si>
  <si>
    <t>SALDO</t>
  </si>
  <si>
    <t>POTONGAN</t>
  </si>
  <si>
    <t>SISA</t>
  </si>
  <si>
    <t>TK - JKK</t>
  </si>
  <si>
    <t>TK - JKM</t>
  </si>
  <si>
    <t>CHIEF</t>
  </si>
  <si>
    <t>3175090709870002</t>
  </si>
  <si>
    <t>RANGGA HADI WIJAYA</t>
  </si>
  <si>
    <t>1801080909010004</t>
  </si>
  <si>
    <t>RIAN RONALDO</t>
  </si>
  <si>
    <t>3603170407870014</t>
  </si>
  <si>
    <t>YUSIRMAN</t>
  </si>
  <si>
    <t>3213091812990001</t>
  </si>
  <si>
    <t>KRISMA HIDAYAT</t>
  </si>
  <si>
    <t>5308081606970001</t>
  </si>
  <si>
    <t>NURDIN DURI</t>
  </si>
  <si>
    <t>3175062304010010</t>
  </si>
  <si>
    <t>ALFIYAN</t>
  </si>
  <si>
    <t>1771041503900005</t>
  </si>
  <si>
    <t>RADITYO FIKRI NUGROHO</t>
  </si>
  <si>
    <t>1801071805870002</t>
  </si>
  <si>
    <t>SARDA</t>
  </si>
  <si>
    <t>3172030708790016</t>
  </si>
  <si>
    <t>WAL ASRI</t>
  </si>
  <si>
    <t>3172033008040012</t>
  </si>
  <si>
    <t>BAGUS SETIAWAN</t>
  </si>
  <si>
    <t>1371052605850003</t>
  </si>
  <si>
    <t>BUDI YANTO</t>
  </si>
  <si>
    <t>3674050510860005</t>
  </si>
  <si>
    <t>BAYU EKA MARIO</t>
  </si>
  <si>
    <t>3275021012980011</t>
  </si>
  <si>
    <t>1805122106000007</t>
  </si>
  <si>
    <t>TAOFIQ HIDAYAT</t>
  </si>
  <si>
    <t>3276050609820013</t>
  </si>
  <si>
    <t>TRI SEKTIYAWAN</t>
  </si>
  <si>
    <t>3504060802040003</t>
  </si>
  <si>
    <t>ALVY MARCELLINO ADE IRAWAN</t>
  </si>
  <si>
    <t>1804022004940002</t>
  </si>
  <si>
    <t>SAHRIYADI</t>
  </si>
  <si>
    <t>1603061510020002</t>
  </si>
  <si>
    <t>CECEP DERMAWAN RESISTEN</t>
  </si>
  <si>
    <t>5308200505910002</t>
  </si>
  <si>
    <t>ARYANTO ABUBEKAR</t>
  </si>
  <si>
    <t>3329102802950001</t>
  </si>
  <si>
    <t>3171082807920003</t>
  </si>
  <si>
    <t>MUHAMMAD MUSTOFA</t>
  </si>
  <si>
    <t>3171042209890003</t>
  </si>
  <si>
    <t>MUHAMMAD RAYHAN</t>
  </si>
  <si>
    <t>3175052603860009</t>
  </si>
  <si>
    <t>SUMARJIYONO</t>
  </si>
  <si>
    <t>8101111701010003</t>
  </si>
  <si>
    <t>MUTALIP AINSA</t>
  </si>
  <si>
    <t>3201330105840003</t>
  </si>
  <si>
    <t>ODI SUKARDI</t>
  </si>
  <si>
    <t>3175061708020012</t>
  </si>
  <si>
    <t>AGUS IMANUDIN</t>
  </si>
  <si>
    <t>1220061809000002</t>
  </si>
  <si>
    <t>SARWEDI</t>
  </si>
  <si>
    <t>3276051001800007</t>
  </si>
  <si>
    <t>AHMAD SULAEMAN</t>
  </si>
  <si>
    <t>3213252304940001</t>
  </si>
  <si>
    <t>RUSDI ODING</t>
  </si>
  <si>
    <t>3175052405860010</t>
  </si>
  <si>
    <t>TUNGGUL PURNOMO</t>
  </si>
  <si>
    <t>3213092101040002</t>
  </si>
  <si>
    <t>ANDRI FAISAL</t>
  </si>
  <si>
    <t>3202092708060005</t>
  </si>
  <si>
    <t>FIQRI AGUSTI</t>
  </si>
  <si>
    <t>3216072008970006</t>
  </si>
  <si>
    <t>MAIN TUSLA</t>
  </si>
  <si>
    <t>1813113006040001</t>
  </si>
  <si>
    <t>HADI FIRDAUS</t>
  </si>
  <si>
    <t>5308042603950001</t>
  </si>
  <si>
    <t>MOHAMAD ABUBAKAR</t>
  </si>
  <si>
    <t>3201210505000014</t>
  </si>
  <si>
    <t>MUHAMAD RAFLI</t>
  </si>
  <si>
    <t>3202131910970002</t>
  </si>
  <si>
    <t>DANI PERMANA YUSUP</t>
  </si>
  <si>
    <t>3202130711970002</t>
  </si>
  <si>
    <t>DIKI WAHYUDI</t>
  </si>
  <si>
    <t>1108072512940001</t>
  </si>
  <si>
    <t>ZAINAL ABIDIN</t>
  </si>
  <si>
    <t>5306100801000001</t>
  </si>
  <si>
    <t>5306101412990003</t>
  </si>
  <si>
    <t>DZULFAKIR AMRULLAH</t>
  </si>
  <si>
    <t>3276040210830001</t>
  </si>
  <si>
    <t>ABDUL HAKIM</t>
  </si>
  <si>
    <t>1801172508940005</t>
  </si>
  <si>
    <t>AGUS SUSANTO</t>
  </si>
  <si>
    <t>1601131008980003</t>
  </si>
  <si>
    <t>AKO SUCIPTO</t>
  </si>
  <si>
    <t>3209271608000001</t>
  </si>
  <si>
    <t>ALDI</t>
  </si>
  <si>
    <t>1206112903960001</t>
  </si>
  <si>
    <t>ALDI SAPUTRA GINTING</t>
  </si>
  <si>
    <t>3171041510990006</t>
  </si>
  <si>
    <t>ANDIKA PRATAMA</t>
  </si>
  <si>
    <t>1173030107960012</t>
  </si>
  <si>
    <t>M RIZKY</t>
  </si>
  <si>
    <t>1603030601030001</t>
  </si>
  <si>
    <t>DEBI SIPUROSIANTO</t>
  </si>
  <si>
    <t>3174095812800011</t>
  </si>
  <si>
    <t>DESI KURNIATI</t>
  </si>
  <si>
    <t>SECWAN</t>
  </si>
  <si>
    <t>3403041202920001</t>
  </si>
  <si>
    <t>FEBRI ADAM</t>
  </si>
  <si>
    <t>6402142802990001</t>
  </si>
  <si>
    <t>FEBRIANO BIMA HELDIN</t>
  </si>
  <si>
    <t>3328071908980005</t>
  </si>
  <si>
    <t>IBNU CHUSNANDA ROSADA</t>
  </si>
  <si>
    <t>3214032411790003</t>
  </si>
  <si>
    <t>IMAN NURJAMAN</t>
  </si>
  <si>
    <t>1806031010010003</t>
  </si>
  <si>
    <t>IRFAN YUDHA</t>
  </si>
  <si>
    <t>3172060207940001</t>
  </si>
  <si>
    <t>ARIS JULIANTO</t>
  </si>
  <si>
    <t>3603160307840006</t>
  </si>
  <si>
    <t>MASTANI</t>
  </si>
  <si>
    <t>3328070305990002</t>
  </si>
  <si>
    <t>MUHAMMAD AFRONI</t>
  </si>
  <si>
    <t>3271041305950009</t>
  </si>
  <si>
    <t>NAUVAL</t>
  </si>
  <si>
    <t>3172020503810003</t>
  </si>
  <si>
    <t>PONCO NUGROHO</t>
  </si>
  <si>
    <t>1205071102950007</t>
  </si>
  <si>
    <t>RAMADHANI</t>
  </si>
  <si>
    <t>3271030804880012</t>
  </si>
  <si>
    <t>RAMDAN APRIADI</t>
  </si>
  <si>
    <t>3602202609000001</t>
  </si>
  <si>
    <t>RAMDANI</t>
  </si>
  <si>
    <t>3301122707860002</t>
  </si>
  <si>
    <t>SODIMIN</t>
  </si>
  <si>
    <t>3601020212900004</t>
  </si>
  <si>
    <t>SUPYANI</t>
  </si>
  <si>
    <t>3174040407800021</t>
  </si>
  <si>
    <t>SUTRIS DIANTO</t>
  </si>
  <si>
    <t>1803080411950001</t>
  </si>
  <si>
    <t>TAUFIK HIDAYAT</t>
  </si>
  <si>
    <t>3202121308910001</t>
  </si>
  <si>
    <t>WAWAN RUSWANDI</t>
  </si>
  <si>
    <t>3171081410800003</t>
  </si>
  <si>
    <t>WIDY OCTAFIANTO</t>
  </si>
  <si>
    <t>3175074608040004</t>
  </si>
  <si>
    <t>NABILA ABELIA R.</t>
  </si>
  <si>
    <t>3175061110871002</t>
  </si>
  <si>
    <t>LESTARI SANJAYA</t>
  </si>
  <si>
    <t>1703091501980002</t>
  </si>
  <si>
    <t>WAHYU R SIMANJUNTAK</t>
  </si>
  <si>
    <t>1802083103940001</t>
  </si>
  <si>
    <t>YENSI ANDRIAS</t>
  </si>
  <si>
    <t>6404012408800001</t>
  </si>
  <si>
    <t>ADI SUYITNO</t>
  </si>
  <si>
    <t>6404042602010001</t>
  </si>
  <si>
    <t>AGAM MAULANA</t>
  </si>
  <si>
    <t>458801026966535</t>
  </si>
  <si>
    <t>PRORATE - KELUAR</t>
  </si>
  <si>
    <t>6404051701030005</t>
  </si>
  <si>
    <t>AGOS SUPRIYANTO</t>
  </si>
  <si>
    <t>6404052702020002</t>
  </si>
  <si>
    <t>AGUNG FERIANSYAH</t>
  </si>
  <si>
    <t>6304111312920001</t>
  </si>
  <si>
    <t>AGUS SALIM</t>
  </si>
  <si>
    <t>6404011111010002</t>
  </si>
  <si>
    <t>AHMAD NAWAWI JAMIL</t>
  </si>
  <si>
    <t>6404042901020001</t>
  </si>
  <si>
    <t>AHMAD SALAM</t>
  </si>
  <si>
    <t>458801005540500</t>
  </si>
  <si>
    <t>6404090702050001</t>
  </si>
  <si>
    <t>ALIF BAIHAQQI PERDANA</t>
  </si>
  <si>
    <t>6405020707920005</t>
  </si>
  <si>
    <t>AMIRUDDIN</t>
  </si>
  <si>
    <t>361601024492532</t>
  </si>
  <si>
    <t>7302061901840001</t>
  </si>
  <si>
    <t>ANDI ULIL AMRI</t>
  </si>
  <si>
    <t>6404041710840002</t>
  </si>
  <si>
    <t>ARIEF PRABU</t>
  </si>
  <si>
    <t>343801006475504</t>
  </si>
  <si>
    <t>6405020407850001</t>
  </si>
  <si>
    <t>ARISWANTO</t>
  </si>
  <si>
    <t>6404051505040002</t>
  </si>
  <si>
    <t>BAMBANG PRIYONO</t>
  </si>
  <si>
    <t>6101172307910001</t>
  </si>
  <si>
    <t>EDI MUSTORI</t>
  </si>
  <si>
    <t>343801048411532</t>
  </si>
  <si>
    <t>8106012008040003</t>
  </si>
  <si>
    <t>FEBRI ARIAWAN</t>
  </si>
  <si>
    <t>6473010101000020</t>
  </si>
  <si>
    <t>FIRMAN</t>
  </si>
  <si>
    <t>343801005684508</t>
  </si>
  <si>
    <t>3518050505980008</t>
  </si>
  <si>
    <t>GALIH KRESNA BAGUS PAMUNGKAS</t>
  </si>
  <si>
    <t>030601014267533</t>
  </si>
  <si>
    <t>6404050403930004</t>
  </si>
  <si>
    <t>HARY FITRIAN NOOR</t>
  </si>
  <si>
    <t>8106011102010001</t>
  </si>
  <si>
    <t>HASAN REZA PATTIMURA</t>
  </si>
  <si>
    <t>6404041903020003</t>
  </si>
  <si>
    <t>458801027596537</t>
  </si>
  <si>
    <t>6309050711940002</t>
  </si>
  <si>
    <t>HENDRA GUNAWAN</t>
  </si>
  <si>
    <t>343801005679503</t>
  </si>
  <si>
    <t>6406023101920001</t>
  </si>
  <si>
    <t>HERIENDI</t>
  </si>
  <si>
    <t>012101139849503</t>
  </si>
  <si>
    <t>6404043012010002</t>
  </si>
  <si>
    <t>HILAL HAMDI</t>
  </si>
  <si>
    <t>7312012711040001</t>
  </si>
  <si>
    <t>IBRAHIM</t>
  </si>
  <si>
    <t>458801028368539</t>
  </si>
  <si>
    <t>6405032306990001</t>
  </si>
  <si>
    <t>JODI WILLI YANTO</t>
  </si>
  <si>
    <t>789801020765531</t>
  </si>
  <si>
    <t>6410020107980001</t>
  </si>
  <si>
    <t>JONI ISKANDAR</t>
  </si>
  <si>
    <t>343801006478502</t>
  </si>
  <si>
    <t>6404040203700001</t>
  </si>
  <si>
    <t>KIMING</t>
  </si>
  <si>
    <t>WAKAR</t>
  </si>
  <si>
    <t>7204082305990001</t>
  </si>
  <si>
    <t>M AKBAR</t>
  </si>
  <si>
    <t>6404050609930004</t>
  </si>
  <si>
    <t>M ARIESANDI</t>
  </si>
  <si>
    <t>343801048110534</t>
  </si>
  <si>
    <t>6404040811830001</t>
  </si>
  <si>
    <t>M ARIZA</t>
  </si>
  <si>
    <t>458801023927532</t>
  </si>
  <si>
    <t>7316010103030003</t>
  </si>
  <si>
    <t>M MUSYAKIR</t>
  </si>
  <si>
    <t>7315080310040001</t>
  </si>
  <si>
    <t>MUH. YUSUF (2)</t>
  </si>
  <si>
    <t>749101018120533</t>
  </si>
  <si>
    <t>6404051309050001</t>
  </si>
  <si>
    <t>MIRHAN</t>
  </si>
  <si>
    <t>3375012012010003</t>
  </si>
  <si>
    <t>MUH FAIZIN K</t>
  </si>
  <si>
    <t>224601020696508</t>
  </si>
  <si>
    <t>6473012908990007</t>
  </si>
  <si>
    <t>MUH HENRI</t>
  </si>
  <si>
    <t>207901016325500</t>
  </si>
  <si>
    <t>7302101707020004</t>
  </si>
  <si>
    <t>MUH FAJRUL SYAM</t>
  </si>
  <si>
    <t>062701013525534</t>
  </si>
  <si>
    <t>6405091204030001</t>
  </si>
  <si>
    <t>MUHAMMAD ASRIL</t>
  </si>
  <si>
    <t>458801005541506</t>
  </si>
  <si>
    <t>6405022210030001</t>
  </si>
  <si>
    <t>MUHAMMAD IRFANDY</t>
  </si>
  <si>
    <t>361601023496533</t>
  </si>
  <si>
    <t>6405010412040001</t>
  </si>
  <si>
    <t>MUHAMMAD IRWANSYAH</t>
  </si>
  <si>
    <t>030601014950534</t>
  </si>
  <si>
    <t>6405020107020062</t>
  </si>
  <si>
    <t>MUHAMMAD RIFAI</t>
  </si>
  <si>
    <t>7373051510950001</t>
  </si>
  <si>
    <t>MULIYADI MOCHTAR</t>
  </si>
  <si>
    <t>509901019043536</t>
  </si>
  <si>
    <t>6405021711990002</t>
  </si>
  <si>
    <t>NOORMAN BAKTIAR</t>
  </si>
  <si>
    <t>6473040101000001</t>
  </si>
  <si>
    <t>PANJI RAHMADFANI</t>
  </si>
  <si>
    <t>459801039599532</t>
  </si>
  <si>
    <t>3505131301020001</t>
  </si>
  <si>
    <t>PEBRI ARDIANSYAH</t>
  </si>
  <si>
    <t>617201001104501</t>
  </si>
  <si>
    <t>3314151408020004</t>
  </si>
  <si>
    <t>PUJO AGUS WIDODO</t>
  </si>
  <si>
    <t>6404050912010005</t>
  </si>
  <si>
    <t>RAFLI NUR SALAM</t>
  </si>
  <si>
    <t>6404062001970001</t>
  </si>
  <si>
    <t>RAHMAT RUJALI</t>
  </si>
  <si>
    <t>343801006224505</t>
  </si>
  <si>
    <t>7204032211890001</t>
  </si>
  <si>
    <t>RAHMATNUDIN</t>
  </si>
  <si>
    <t>343701032797530</t>
  </si>
  <si>
    <t>7472022801030007</t>
  </si>
  <si>
    <t>REZA SALONG</t>
  </si>
  <si>
    <t>499401019741537</t>
  </si>
  <si>
    <t>6404041608010001</t>
  </si>
  <si>
    <t>RISKAL SAINUDDIN</t>
  </si>
  <si>
    <t>343801048391538</t>
  </si>
  <si>
    <t>6404050509030001</t>
  </si>
  <si>
    <t>RUSDIANSYAH</t>
  </si>
  <si>
    <t>343801006502505</t>
  </si>
  <si>
    <t>3316140905030002</t>
  </si>
  <si>
    <t>SIGIT PUTRA A</t>
  </si>
  <si>
    <t>6404041708800003</t>
  </si>
  <si>
    <t>SUCIPTA J. TAMBUAK</t>
  </si>
  <si>
    <t>458801006957530</t>
  </si>
  <si>
    <t>6404061606930001</t>
  </si>
  <si>
    <t>SUTRISNO (2)</t>
  </si>
  <si>
    <t>7317021207730002</t>
  </si>
  <si>
    <t>SYACHRIR TAHIR PALIWONG</t>
  </si>
  <si>
    <t>458801025934535</t>
  </si>
  <si>
    <t>6404011911990001</t>
  </si>
  <si>
    <t>TRIO ADI SAPUTRA</t>
  </si>
  <si>
    <t>458901014753534</t>
  </si>
  <si>
    <t>6404052004010003</t>
  </si>
  <si>
    <t>WASTU SATRIO DARMAFIANTO</t>
  </si>
  <si>
    <t>343801005688502</t>
  </si>
  <si>
    <t>6405021708920001</t>
  </si>
  <si>
    <t>ZAINAL</t>
  </si>
  <si>
    <t>6405021004930001</t>
  </si>
  <si>
    <t>SYAHRUL</t>
  </si>
  <si>
    <t>062701004612530</t>
  </si>
  <si>
    <t>6405081810040003</t>
  </si>
  <si>
    <t>YOSEP ANTON</t>
  </si>
  <si>
    <t>030601014870530</t>
  </si>
  <si>
    <t>PRORATE - MASUK</t>
  </si>
  <si>
    <t>6405082709030001</t>
  </si>
  <si>
    <t>343801051309538</t>
  </si>
  <si>
    <t>HARIYADI BATI</t>
  </si>
  <si>
    <t>30601000792562</t>
  </si>
  <si>
    <t>KODAL BKO</t>
  </si>
  <si>
    <t>1209311907750002</t>
  </si>
  <si>
    <t>ABDULLAH SINAGA</t>
  </si>
  <si>
    <t>15401027765505</t>
  </si>
  <si>
    <t>1209122006940002</t>
  </si>
  <si>
    <t>ADE PRANATA</t>
  </si>
  <si>
    <t>335501026962537</t>
  </si>
  <si>
    <t>1406052702790002</t>
  </si>
  <si>
    <t>ADI ANDREAS</t>
  </si>
  <si>
    <t>538201018785536</t>
  </si>
  <si>
    <t>1209282707980001</t>
  </si>
  <si>
    <t>AGUNG KUSNADI</t>
  </si>
  <si>
    <t>528301031285537</t>
  </si>
  <si>
    <t>1209122804890001</t>
  </si>
  <si>
    <t>AHMAD SHAUFI</t>
  </si>
  <si>
    <t>335501042228539</t>
  </si>
  <si>
    <t>1218080102950007</t>
  </si>
  <si>
    <t>AHMAD SUGANDA DAMANIK</t>
  </si>
  <si>
    <t>539601011859537</t>
  </si>
  <si>
    <t>1209312404030002</t>
  </si>
  <si>
    <t>AKBAR RIDHO AMIN NASUTION</t>
  </si>
  <si>
    <t>335501037483534</t>
  </si>
  <si>
    <t>1407051411980002</t>
  </si>
  <si>
    <t>ALDHO WARDANA</t>
  </si>
  <si>
    <t>335501031309538</t>
  </si>
  <si>
    <t>1209121012960002</t>
  </si>
  <si>
    <t>ALDIAN</t>
  </si>
  <si>
    <t>335501031251531</t>
  </si>
  <si>
    <t>1209321011000001</t>
  </si>
  <si>
    <t>ALDY SYAHPUTRA</t>
  </si>
  <si>
    <t>538501015793532</t>
  </si>
  <si>
    <t>1209311512020002</t>
  </si>
  <si>
    <t>ALI USMAN MARPAUNG</t>
  </si>
  <si>
    <t>32301077966502</t>
  </si>
  <si>
    <t>1209131105000003</t>
  </si>
  <si>
    <t>ALWI PRAWIRA SAGALA</t>
  </si>
  <si>
    <t>538201024638531</t>
  </si>
  <si>
    <t>1209133103890004</t>
  </si>
  <si>
    <t>AMINUDDIN SINAGA</t>
  </si>
  <si>
    <t>335501031270535</t>
  </si>
  <si>
    <t>1209122805950003</t>
  </si>
  <si>
    <t>ANDI ARIFIN NASUTION</t>
  </si>
  <si>
    <t>335501031257537</t>
  </si>
  <si>
    <t>1209310705040002</t>
  </si>
  <si>
    <t>ANGGA PRANATA</t>
  </si>
  <si>
    <t>335501045984532</t>
  </si>
  <si>
    <t>1209130401920003</t>
  </si>
  <si>
    <t>ANGGI ALPARIS NASUTION</t>
  </si>
  <si>
    <t>335501028045535</t>
  </si>
  <si>
    <t>1209120807030004</t>
  </si>
  <si>
    <t>ARDIYANSYAH</t>
  </si>
  <si>
    <t>335501042774530</t>
  </si>
  <si>
    <t>1209120802990002</t>
  </si>
  <si>
    <t>ARI AZHARI</t>
  </si>
  <si>
    <t>335501031287532</t>
  </si>
  <si>
    <t>1209122507010001</t>
  </si>
  <si>
    <t>ARIF PERMADI</t>
  </si>
  <si>
    <t>538201017533538</t>
  </si>
  <si>
    <t>1209212905810001</t>
  </si>
  <si>
    <t>AYUDI INDRIANTO</t>
  </si>
  <si>
    <t>335501031295535</t>
  </si>
  <si>
    <t>1271031704840012</t>
  </si>
  <si>
    <t>AZNIR PUTRA RIZKI MARGOLANG</t>
  </si>
  <si>
    <t>538201016122538</t>
  </si>
  <si>
    <t>1209311904040001</t>
  </si>
  <si>
    <t>AZRIL ARMAN RAKA DINA SITORUS</t>
  </si>
  <si>
    <t>335501053713535</t>
  </si>
  <si>
    <t>1209312309950001</t>
  </si>
  <si>
    <t>AGUNG PRAYOGI</t>
  </si>
  <si>
    <t>538201034540532</t>
  </si>
  <si>
    <t>1209121612950002</t>
  </si>
  <si>
    <t>BAMBANG NURYANTO</t>
  </si>
  <si>
    <t>335501043246530</t>
  </si>
  <si>
    <t>1209122009920001</t>
  </si>
  <si>
    <t>BAMBANG SUKIRNO</t>
  </si>
  <si>
    <t>769301007447530</t>
  </si>
  <si>
    <t>1209123112920058</t>
  </si>
  <si>
    <t>BIMANTARA</t>
  </si>
  <si>
    <t>335501029109536</t>
  </si>
  <si>
    <t>1209121011960004</t>
  </si>
  <si>
    <t>DEDEK FIRMANSYAH</t>
  </si>
  <si>
    <t>335501055056531</t>
  </si>
  <si>
    <t>1209121712920002</t>
  </si>
  <si>
    <t>DEDI GUNAWAN MARPAUNG</t>
  </si>
  <si>
    <t>335501031234539</t>
  </si>
  <si>
    <t>DEDY PURWANTO</t>
  </si>
  <si>
    <t>15401028360502</t>
  </si>
  <si>
    <t>1271030107930007</t>
  </si>
  <si>
    <t>DIDI SUWANDI</t>
  </si>
  <si>
    <t>204701007983500</t>
  </si>
  <si>
    <t>1209312408050001</t>
  </si>
  <si>
    <t>DIO AGUSTIAN</t>
  </si>
  <si>
    <t>538201011280501</t>
  </si>
  <si>
    <t>1209232302960002</t>
  </si>
  <si>
    <t>DWI HARDI</t>
  </si>
  <si>
    <t>528501017795532</t>
  </si>
  <si>
    <t>1209131807920001</t>
  </si>
  <si>
    <t>EDI SAPUTRA</t>
  </si>
  <si>
    <t>335501031265530</t>
  </si>
  <si>
    <t>1209311806000001</t>
  </si>
  <si>
    <t>EDI SYAHPUTRA</t>
  </si>
  <si>
    <t>335501031242532</t>
  </si>
  <si>
    <t>1209310812920001</t>
  </si>
  <si>
    <t>ELVAN RUSMANTO</t>
  </si>
  <si>
    <t>538201018501534</t>
  </si>
  <si>
    <t>1209312510910001</t>
  </si>
  <si>
    <t>ERWIN SYAHPUTRA</t>
  </si>
  <si>
    <t>538201019393536</t>
  </si>
  <si>
    <t>1209200308950002</t>
  </si>
  <si>
    <t>FAHRIZAL AZMI PANE</t>
  </si>
  <si>
    <t>115401012837500</t>
  </si>
  <si>
    <t>1209120511970004</t>
  </si>
  <si>
    <t>FAISAL TAMPUBOLON</t>
  </si>
  <si>
    <t>335501031266536</t>
  </si>
  <si>
    <t>1209150102950004</t>
  </si>
  <si>
    <t>FIRMAN KURNIADI</t>
  </si>
  <si>
    <t>538501015371534</t>
  </si>
  <si>
    <t>1209133012940003</t>
  </si>
  <si>
    <t>GUNAWAN PANJAITAN</t>
  </si>
  <si>
    <t>528301033712530</t>
  </si>
  <si>
    <t>1209311007720001</t>
  </si>
  <si>
    <t>HADI</t>
  </si>
  <si>
    <t>15401027679500</t>
  </si>
  <si>
    <t>1209131909980008</t>
  </si>
  <si>
    <t>HENDRA DERMAWAN</t>
  </si>
  <si>
    <t>335501031816535</t>
  </si>
  <si>
    <t>1209191708950004</t>
  </si>
  <si>
    <t>HERIADI</t>
  </si>
  <si>
    <t>335501031307536</t>
  </si>
  <si>
    <t>1209123103860003</t>
  </si>
  <si>
    <t>HERMAN TAMBUNAN</t>
  </si>
  <si>
    <t>15401028565500</t>
  </si>
  <si>
    <t>1209133107940003</t>
  </si>
  <si>
    <t>HERMANSYAH HASIBUAN</t>
  </si>
  <si>
    <t>710601008763536</t>
  </si>
  <si>
    <t>1209311308850002</t>
  </si>
  <si>
    <t>ILHAM SYAHPUTRA NASUTION</t>
  </si>
  <si>
    <t>335501031196537</t>
  </si>
  <si>
    <t>1209302305960001</t>
  </si>
  <si>
    <t>IMAM NURCAHAYA</t>
  </si>
  <si>
    <t>335501031292537</t>
  </si>
  <si>
    <t>1209122610810001</t>
  </si>
  <si>
    <t>IMAM PRAYITNO</t>
  </si>
  <si>
    <t>335501031236531</t>
  </si>
  <si>
    <t>1209122502980001</t>
  </si>
  <si>
    <t>IMAM SUCIPTO</t>
  </si>
  <si>
    <t>335501031258533</t>
  </si>
  <si>
    <t>1209310104040004</t>
  </si>
  <si>
    <t>IQBAL APRIANSYAH</t>
  </si>
  <si>
    <t>538201034555537</t>
  </si>
  <si>
    <t>1209201307960004</t>
  </si>
  <si>
    <t>ISWAHYUDI</t>
  </si>
  <si>
    <t>528301053121531</t>
  </si>
  <si>
    <t>1209202403890003</t>
  </si>
  <si>
    <t>IYAN SURYAHDIN RANGKUTI</t>
  </si>
  <si>
    <t>335501031311535</t>
  </si>
  <si>
    <t>1223071102040002</t>
  </si>
  <si>
    <t>JEFRI LUBIS</t>
  </si>
  <si>
    <t>538201014053505</t>
  </si>
  <si>
    <t>1209312810930001</t>
  </si>
  <si>
    <t>JHON SYAHPUTRA MUDA HARAHAP</t>
  </si>
  <si>
    <t>538201019651536</t>
  </si>
  <si>
    <t>1223032506920002</t>
  </si>
  <si>
    <t>KHAYRIL NURHALIM NASUTION</t>
  </si>
  <si>
    <t>538001018051531</t>
  </si>
  <si>
    <t>1209122508000002</t>
  </si>
  <si>
    <t>KIKI HIDAYAT</t>
  </si>
  <si>
    <t>335501031291531</t>
  </si>
  <si>
    <t>1209122308960002</t>
  </si>
  <si>
    <t>KUNANTA WIJAYA</t>
  </si>
  <si>
    <t>335501020555536</t>
  </si>
  <si>
    <t>1271092104830001</t>
  </si>
  <si>
    <t>KUSDI SUSANTO</t>
  </si>
  <si>
    <t>529301026756538</t>
  </si>
  <si>
    <t>1209132102960001</t>
  </si>
  <si>
    <t>LIAN FITRA IRAWAN</t>
  </si>
  <si>
    <t>538201011117538</t>
  </si>
  <si>
    <t>1209310401010001</t>
  </si>
  <si>
    <t>M ADLIN KALIMANTAN</t>
  </si>
  <si>
    <t>335501043665530</t>
  </si>
  <si>
    <t>1220040404980002</t>
  </si>
  <si>
    <t>M ALI HAMKA HARAHAP</t>
  </si>
  <si>
    <t>335501031310539</t>
  </si>
  <si>
    <t>1210092903960007</t>
  </si>
  <si>
    <t>M ARI KESUMA</t>
  </si>
  <si>
    <t>535501029748538</t>
  </si>
  <si>
    <t>1209091410980004</t>
  </si>
  <si>
    <t>M ARIF PRASETIO</t>
  </si>
  <si>
    <t>528301033732530</t>
  </si>
  <si>
    <t>1209202710920008</t>
  </si>
  <si>
    <t>M BAKRI LUBIS</t>
  </si>
  <si>
    <t>327101045546530</t>
  </si>
  <si>
    <t>1209313112010002</t>
  </si>
  <si>
    <t>M FADILLAH HUTAPEA</t>
  </si>
  <si>
    <t>15401077760505</t>
  </si>
  <si>
    <t>1209122306010004</t>
  </si>
  <si>
    <t>M RIZKI AKBAR</t>
  </si>
  <si>
    <t>335501031275535</t>
  </si>
  <si>
    <t>1209120204050001</t>
  </si>
  <si>
    <t>MHD PRADYTO GIMNASTIAR</t>
  </si>
  <si>
    <t>335501013115507</t>
  </si>
  <si>
    <t>1209130112990004</t>
  </si>
  <si>
    <t>MHD SATRIA</t>
  </si>
  <si>
    <t>335501031268538</t>
  </si>
  <si>
    <t>1209313006000001</t>
  </si>
  <si>
    <t>MUHAMMAD RIZKI</t>
  </si>
  <si>
    <t>538201034847536</t>
  </si>
  <si>
    <t>1209122301730001</t>
  </si>
  <si>
    <t>MUSRIADI</t>
  </si>
  <si>
    <t>15401027695506</t>
  </si>
  <si>
    <t>1208021204970002</t>
  </si>
  <si>
    <t>NANDA SANJAYA</t>
  </si>
  <si>
    <t>335501031281536</t>
  </si>
  <si>
    <t>1102141405010002</t>
  </si>
  <si>
    <t>NEIRUL FAHMI KAFRAWI</t>
  </si>
  <si>
    <t>576301016260530</t>
  </si>
  <si>
    <t>1209313112800006</t>
  </si>
  <si>
    <t>NURYANTO SAFRI</t>
  </si>
  <si>
    <t>15401027420503</t>
  </si>
  <si>
    <t>3603101504760004</t>
  </si>
  <si>
    <t>P SUMANTO</t>
  </si>
  <si>
    <t>82701031242506</t>
  </si>
  <si>
    <t>1209126302990002</t>
  </si>
  <si>
    <t>PEGGY DILARA SARAGIH</t>
  </si>
  <si>
    <t>335501038397532</t>
  </si>
  <si>
    <t>1209311007790001</t>
  </si>
  <si>
    <t>PONIDI</t>
  </si>
  <si>
    <t>15401028372509</t>
  </si>
  <si>
    <t>1209312702950001</t>
  </si>
  <si>
    <t>RAHMAT DANI</t>
  </si>
  <si>
    <t>353701036173532</t>
  </si>
  <si>
    <t>1209142210950001</t>
  </si>
  <si>
    <t>RAHMAT OKTARIADI</t>
  </si>
  <si>
    <t>353701039582536</t>
  </si>
  <si>
    <t>1209121707950001</t>
  </si>
  <si>
    <t>RAMADHAN PADLI</t>
  </si>
  <si>
    <t>538601016521534</t>
  </si>
  <si>
    <t>1209152009010005</t>
  </si>
  <si>
    <t>REGI OGANTA</t>
  </si>
  <si>
    <t>538501006591503</t>
  </si>
  <si>
    <t>1407113008980001</t>
  </si>
  <si>
    <t>RIJAL SAPI`I</t>
  </si>
  <si>
    <t>753601006494530</t>
  </si>
  <si>
    <t>1210091909970009</t>
  </si>
  <si>
    <t>RIJAL SEPTIAWAN</t>
  </si>
  <si>
    <t>536601021725533</t>
  </si>
  <si>
    <t>1209162210890002</t>
  </si>
  <si>
    <t>RIKI KURNIAWAN</t>
  </si>
  <si>
    <t>538201031114536</t>
  </si>
  <si>
    <t>RIKI WAHYUDI DAULAY</t>
  </si>
  <si>
    <t>528001020271535</t>
  </si>
  <si>
    <t>1209122608900002</t>
  </si>
  <si>
    <t>RIZKY ANANDA SIREGAR</t>
  </si>
  <si>
    <t>335501043211535</t>
  </si>
  <si>
    <t>1209311404040002</t>
  </si>
  <si>
    <t>RIZKY ANDIKA MUDA HARAHAP</t>
  </si>
  <si>
    <t>335501045248538</t>
  </si>
  <si>
    <t>1407052203990001</t>
  </si>
  <si>
    <t>ROBBY ARDIANSAH</t>
  </si>
  <si>
    <t>335501031286536</t>
  </si>
  <si>
    <t>1209130212950001</t>
  </si>
  <si>
    <t>ROBBY HANDOKO</t>
  </si>
  <si>
    <t>335501031274539</t>
  </si>
  <si>
    <t>1209310307750001</t>
  </si>
  <si>
    <t>RUDI HARTONO (A)</t>
  </si>
  <si>
    <t>15401027940503</t>
  </si>
  <si>
    <t>1209312509850001</t>
  </si>
  <si>
    <t>RUDI HARTONO (B)</t>
  </si>
  <si>
    <t>15401028339501</t>
  </si>
  <si>
    <t>1209121110020002</t>
  </si>
  <si>
    <t>SANDY KURNIAWAN</t>
  </si>
  <si>
    <t>335501049737539</t>
  </si>
  <si>
    <t>1209132701910001</t>
  </si>
  <si>
    <t>SAWALUDIN</t>
  </si>
  <si>
    <t>335501031273533</t>
  </si>
  <si>
    <t>1209121603990005</t>
  </si>
  <si>
    <t>SIGIT PRATAMA</t>
  </si>
  <si>
    <t>335501031293533</t>
  </si>
  <si>
    <t>1209123006730001</t>
  </si>
  <si>
    <t>SUARDI</t>
  </si>
  <si>
    <t>15401027681507</t>
  </si>
  <si>
    <t>1208012502800003</t>
  </si>
  <si>
    <t>SUCI HANAFI</t>
  </si>
  <si>
    <t>208401012697500</t>
  </si>
  <si>
    <t>1209121907930003</t>
  </si>
  <si>
    <t>SUGIANTO</t>
  </si>
  <si>
    <t>335501016673538</t>
  </si>
  <si>
    <t>1209122501900004</t>
  </si>
  <si>
    <t>SUHENDRA</t>
  </si>
  <si>
    <t>335501031267532</t>
  </si>
  <si>
    <t>1209121809900001</t>
  </si>
  <si>
    <t>SUHENDRA UTAMA</t>
  </si>
  <si>
    <t>335501053596535</t>
  </si>
  <si>
    <t>1209121706950002</t>
  </si>
  <si>
    <t>SUHENDRI</t>
  </si>
  <si>
    <t>335501031252537</t>
  </si>
  <si>
    <t>1209120211910002</t>
  </si>
  <si>
    <t>SURYA DARMA</t>
  </si>
  <si>
    <t>538201032978535</t>
  </si>
  <si>
    <t>1209310506830001</t>
  </si>
  <si>
    <t>SURYADI</t>
  </si>
  <si>
    <t>32301022215532</t>
  </si>
  <si>
    <t>1209311805030001</t>
  </si>
  <si>
    <t>SYAHRUDDIN AGUSTIAWAN</t>
  </si>
  <si>
    <t>335501037461532</t>
  </si>
  <si>
    <t>1209310209960001</t>
  </si>
  <si>
    <t>TERIO AGUNG PRANOTO</t>
  </si>
  <si>
    <t>335501031279539</t>
  </si>
  <si>
    <t>1208110802900004</t>
  </si>
  <si>
    <t>TRI HARDI</t>
  </si>
  <si>
    <t>335501031256531</t>
  </si>
  <si>
    <t>1209120703860004</t>
  </si>
  <si>
    <t>TRI KUSANDRI</t>
  </si>
  <si>
    <t>769201008640535</t>
  </si>
  <si>
    <t>1209130201950004</t>
  </si>
  <si>
    <t>TRI WAHYUDA</t>
  </si>
  <si>
    <t>335501030564533</t>
  </si>
  <si>
    <t>1207022011890001</t>
  </si>
  <si>
    <t>WAHYU RIZKI DERMAWAN SIAHAAN</t>
  </si>
  <si>
    <t>335501031276531</t>
  </si>
  <si>
    <t>1209121411980002</t>
  </si>
  <si>
    <t>WAHYU SETIAWAN</t>
  </si>
  <si>
    <t>335501031290535</t>
  </si>
  <si>
    <t>1209200103960001</t>
  </si>
  <si>
    <t>YOGIE PRANATA</t>
  </si>
  <si>
    <t>327101045513537</t>
  </si>
  <si>
    <t>1209132812890002</t>
  </si>
  <si>
    <t>YUDI HARIANTO</t>
  </si>
  <si>
    <t>15401028368500</t>
  </si>
  <si>
    <t>1209121912990004</t>
  </si>
  <si>
    <t>YUDY PRAMANA NASUTION</t>
  </si>
  <si>
    <t>335501031244534</t>
  </si>
  <si>
    <t>1209121210810001</t>
  </si>
  <si>
    <t>ZAKARIA</t>
  </si>
  <si>
    <t>15401028438509</t>
  </si>
  <si>
    <t>1209090104950001</t>
  </si>
  <si>
    <t>ZULFAN KHOIR RAMBE</t>
  </si>
  <si>
    <t>528301033714532</t>
  </si>
  <si>
    <t>1209312303910001</t>
  </si>
  <si>
    <t>ZULMAN REZA PAHLAWAN SIHOMBING</t>
  </si>
  <si>
    <t>335501031277537</t>
  </si>
  <si>
    <t>1209130603000002</t>
  </si>
  <si>
    <t>ALDI ANDREAN</t>
  </si>
  <si>
    <t>335501054550532</t>
  </si>
  <si>
    <t>1209311004030001</t>
  </si>
  <si>
    <t>ALVI MUKTI RENALDI</t>
  </si>
  <si>
    <t>538201034985538</t>
  </si>
  <si>
    <t>1406121806030001</t>
  </si>
  <si>
    <t>ARIE PRASETYO</t>
  </si>
  <si>
    <t>541201049196537</t>
  </si>
  <si>
    <t>1218022505050001</t>
  </si>
  <si>
    <t>MUHAMMAD FERDI</t>
  </si>
  <si>
    <t>538201014187508</t>
  </si>
  <si>
    <t>1209310111050001</t>
  </si>
  <si>
    <t>RAHUL FADILLAH RAMADANI SITORUS</t>
  </si>
  <si>
    <t>538201014192503</t>
  </si>
  <si>
    <t>1209123112940008</t>
  </si>
  <si>
    <t>AHDAR SITUMORANG</t>
  </si>
  <si>
    <t>538201034976539</t>
  </si>
  <si>
    <t>1209130306040004</t>
  </si>
  <si>
    <t>SAAD SYAHRIAL SAGALA</t>
  </si>
  <si>
    <t>538201033741533</t>
  </si>
  <si>
    <t>1209151905990002</t>
  </si>
  <si>
    <t>MAYRANDY KURNIAWAN</t>
  </si>
  <si>
    <t>528201014187508</t>
  </si>
  <si>
    <t>M. IRSAN HASIBUAN</t>
  </si>
  <si>
    <t>134201002231507</t>
  </si>
  <si>
    <t>KORWIL</t>
  </si>
  <si>
    <t>6404091909010001</t>
  </si>
  <si>
    <t>ABDU RAHMAN</t>
  </si>
  <si>
    <t>30601013354531</t>
  </si>
  <si>
    <t>3174090307880012</t>
  </si>
  <si>
    <t>AGUSTINUS GEA</t>
  </si>
  <si>
    <t>5316010810010001</t>
  </si>
  <si>
    <t>SIMEON LEU</t>
  </si>
  <si>
    <t>1271020712950002</t>
  </si>
  <si>
    <t>DAVID HAMONONGAN</t>
  </si>
  <si>
    <t>3171014304031001</t>
  </si>
  <si>
    <t>7308231502900001</t>
  </si>
  <si>
    <t>ARWAN</t>
  </si>
  <si>
    <t>509701024017530</t>
  </si>
  <si>
    <t>6472061802890004</t>
  </si>
  <si>
    <t>ANGGA IRAWAN</t>
  </si>
  <si>
    <t>062701062044501</t>
  </si>
  <si>
    <t>8171011112920004</t>
  </si>
  <si>
    <t>RIDOLFI CORNELES AIPASSA</t>
  </si>
  <si>
    <t>3604152506760003</t>
  </si>
  <si>
    <t>AMAMIH YAMIS</t>
  </si>
  <si>
    <t>5316010604000001</t>
  </si>
  <si>
    <t>PRUDENSIUS RESI</t>
  </si>
  <si>
    <t xml:space="preserve"> </t>
  </si>
  <si>
    <t>3172030404990002</t>
  </si>
  <si>
    <t>SYARIP MULYONO</t>
  </si>
  <si>
    <t>Yunia Rahayu</t>
  </si>
  <si>
    <t>AGUS SALIM.A</t>
  </si>
  <si>
    <t>6473030108860001</t>
  </si>
  <si>
    <t>459801043338538</t>
  </si>
  <si>
    <t>6473012705000010</t>
  </si>
  <si>
    <t>RAHUL SUCIPTO</t>
  </si>
  <si>
    <t>BNI</t>
  </si>
  <si>
    <t>6404041311900001</t>
  </si>
  <si>
    <t>M JATING</t>
  </si>
  <si>
    <t>343801006579502</t>
  </si>
  <si>
    <t>REINALDO PATRIC</t>
  </si>
  <si>
    <t>458801020911532</t>
  </si>
  <si>
    <t>5301282509040001</t>
  </si>
  <si>
    <t>Seprianus Oenunu</t>
  </si>
  <si>
    <t>6404050507940003</t>
  </si>
  <si>
    <t>3523201712780001</t>
  </si>
  <si>
    <t>MOCH. NUR SAHID</t>
  </si>
  <si>
    <t>TK/4</t>
  </si>
  <si>
    <t>026101070141505</t>
  </si>
  <si>
    <t>1806180507960003</t>
  </si>
  <si>
    <t>211901029681505</t>
  </si>
  <si>
    <t>026101060369503</t>
  </si>
  <si>
    <t>UPAH
 (-PPh)</t>
  </si>
  <si>
    <t>UPAH
 (-THR)</t>
  </si>
  <si>
    <t>THP
 (ROUNDED)</t>
  </si>
  <si>
    <t>GAJI
 POKOK</t>
  </si>
  <si>
    <t>0,00%</t>
  </si>
  <si>
    <t>MOHAMAD EKA FADHILLAH</t>
  </si>
  <si>
    <t>2.000.000</t>
  </si>
  <si>
    <t>RAFI DARMADJI</t>
  </si>
  <si>
    <t>3604130301950001</t>
  </si>
  <si>
    <t>FRASTIYANI</t>
  </si>
  <si>
    <t>1812083004010001</t>
  </si>
  <si>
    <t>I Kadek Windu S.</t>
  </si>
  <si>
    <t>5306130608960001</t>
  </si>
  <si>
    <t>Agustinus Benediktus Asan Leki</t>
  </si>
  <si>
    <t>10.750.956</t>
  </si>
  <si>
    <t>6.486.248</t>
  </si>
  <si>
    <t>3.000.000</t>
  </si>
  <si>
    <t>1.404.920</t>
  </si>
  <si>
    <t>5.789.168</t>
  </si>
  <si>
    <t>5.067.200</t>
  </si>
  <si>
    <t>5.053.450</t>
  </si>
  <si>
    <t>5.053.400</t>
  </si>
  <si>
    <t>THP 
 (ROUNDED)</t>
  </si>
  <si>
    <t>YOGI MIRAJ</t>
  </si>
  <si>
    <t>3522071711050003</t>
  </si>
  <si>
    <t>SAKA TRI IQBAL SETIOARI</t>
  </si>
  <si>
    <t>3.537.000</t>
  </si>
  <si>
    <t>3202390808000008</t>
  </si>
  <si>
    <t>ASEP ODOM</t>
  </si>
  <si>
    <t>6404010307060001</t>
  </si>
  <si>
    <t>SHANDY PRASETIA</t>
  </si>
  <si>
    <t>458901025467532</t>
  </si>
  <si>
    <t>7307031901010001</t>
  </si>
  <si>
    <t>ABD MALIK</t>
  </si>
  <si>
    <t>130001007544507</t>
  </si>
  <si>
    <t>MUH IHSAN</t>
  </si>
  <si>
    <t>165301002646509</t>
  </si>
  <si>
    <t>ADAM</t>
  </si>
  <si>
    <t>341.304.250</t>
  </si>
  <si>
    <t>20.967.355</t>
  </si>
  <si>
    <t>13.016.160</t>
  </si>
  <si>
    <t>268.190.053</t>
  </si>
  <si>
    <t>249.968.295</t>
  </si>
  <si>
    <t>643.477.818</t>
  </si>
  <si>
    <t>625.256.060</t>
  </si>
  <si>
    <t>27.286.038</t>
  </si>
  <si>
    <t>652.542.101</t>
  </si>
  <si>
    <t>18.970.291</t>
  </si>
  <si>
    <t>31.047.786</t>
  </si>
  <si>
    <t>16.270.200</t>
  </si>
  <si>
    <t>72.288.277</t>
  </si>
  <si>
    <t>580.253.824</t>
  </si>
  <si>
    <t>5.778.699</t>
  </si>
  <si>
    <t>574.475.125</t>
  </si>
  <si>
    <t>574.475.122</t>
  </si>
  <si>
    <t>574.476.500</t>
  </si>
  <si>
    <t>568.382.100</t>
  </si>
  <si>
    <t>KOSONG</t>
  </si>
  <si>
    <t>1.446.955</t>
  </si>
  <si>
    <t>1.889.080</t>
  </si>
  <si>
    <t>1.889.100</t>
  </si>
  <si>
    <t>6405092210040002</t>
  </si>
  <si>
    <t>MUH. PARHAN</t>
  </si>
  <si>
    <t>062701077279707</t>
  </si>
  <si>
    <t>1.607.727</t>
  </si>
  <si>
    <t>2.344.602</t>
  </si>
  <si>
    <t>2.344.600</t>
  </si>
  <si>
    <t>1.286.182</t>
  </si>
  <si>
    <t>1.728.307</t>
  </si>
  <si>
    <t>1.728.300</t>
  </si>
  <si>
    <t>7315110101010012</t>
  </si>
  <si>
    <t>ILHAM</t>
  </si>
  <si>
    <t>kaltimtara</t>
  </si>
  <si>
    <t>1692090426</t>
  </si>
  <si>
    <t>2.411.591</t>
  </si>
  <si>
    <t>1.326.375</t>
  </si>
  <si>
    <t>3.737.966</t>
  </si>
  <si>
    <t>3.738.000</t>
  </si>
  <si>
    <t>1.125.409</t>
  </si>
  <si>
    <t>1.567.534</t>
  </si>
  <si>
    <t>1.567.500</t>
  </si>
  <si>
    <t>6404021004040002</t>
  </si>
  <si>
    <t>HERLI SAPRIYANDI</t>
  </si>
  <si>
    <t>0062484951</t>
  </si>
  <si>
    <t>2.090.045</t>
  </si>
  <si>
    <t>2.532.170</t>
  </si>
  <si>
    <t>2.532.200</t>
  </si>
  <si>
    <t>7.877.864</t>
  </si>
  <si>
    <t>3.389.625</t>
  </si>
  <si>
    <t>11.267.489</t>
  </si>
  <si>
    <t>11.267.500</t>
  </si>
  <si>
    <t>Back Up sesuai Karean total 88 shift jaga (64 kehadiran + back up 24)</t>
  </si>
  <si>
    <t>Agung Wijaya</t>
  </si>
  <si>
    <t>Dodi Al Bantani</t>
  </si>
  <si>
    <t>Novi Irawan</t>
  </si>
  <si>
    <t>KPM 52</t>
  </si>
  <si>
    <t>SHIFT LEADER</t>
  </si>
  <si>
    <t>1701010512000001</t>
  </si>
  <si>
    <t>ALHAPIP AHMAD AMIN</t>
  </si>
  <si>
    <t>3172056309981003</t>
  </si>
  <si>
    <t>M HASIM NING</t>
  </si>
  <si>
    <t>3276050612960012</t>
  </si>
  <si>
    <t>3276042503900002</t>
  </si>
  <si>
    <t>RESA LORENSA</t>
  </si>
  <si>
    <t>SHYAHRUL HIDAYAT</t>
  </si>
  <si>
    <t>3271062010890003</t>
  </si>
  <si>
    <t>RAHMAT HIDAYAT</t>
  </si>
  <si>
    <t>020601196837507</t>
  </si>
  <si>
    <t>1802162509030001</t>
  </si>
  <si>
    <t>RAIHAN HIDAYAT</t>
  </si>
  <si>
    <t>Mandiri</t>
  </si>
  <si>
    <t>7204010707060001</t>
  </si>
  <si>
    <t>KOSONG (ass Koordinator)</t>
  </si>
  <si>
    <t>KOSONG (BKO)</t>
  </si>
  <si>
    <t>SESUAI, SELISIH 30 KARENA ADA KEKOSONGAN</t>
  </si>
  <si>
    <t>065101021314508</t>
  </si>
  <si>
    <t>065101021315504</t>
  </si>
  <si>
    <t>065101021360509</t>
  </si>
  <si>
    <t>065101021317506</t>
  </si>
  <si>
    <t>065101021319508</t>
  </si>
  <si>
    <t>065101021320509</t>
  </si>
  <si>
    <t>065101021322501</t>
  </si>
  <si>
    <t>065101021323507</t>
  </si>
  <si>
    <t>065101021324503</t>
  </si>
  <si>
    <t>065101021361505</t>
  </si>
  <si>
    <t>065101021325509</t>
  </si>
  <si>
    <t>065101021358502</t>
  </si>
  <si>
    <t>065101021326505</t>
  </si>
  <si>
    <t>065101021329503</t>
  </si>
  <si>
    <t>065101021362501</t>
  </si>
  <si>
    <t>065101021369503</t>
  </si>
  <si>
    <t>065101021330504</t>
  </si>
  <si>
    <t>065101021331500</t>
  </si>
  <si>
    <t>065101021333502</t>
  </si>
  <si>
    <t>065101021334508</t>
  </si>
  <si>
    <t>065101021370504</t>
  </si>
  <si>
    <t>065101021335504</t>
  </si>
  <si>
    <t>065101021363507</t>
  </si>
  <si>
    <t>065101021337506</t>
  </si>
  <si>
    <t>065101021338502</t>
  </si>
  <si>
    <t>065101021339508</t>
  </si>
  <si>
    <t>065101021340509</t>
  </si>
  <si>
    <t>065101021341505</t>
  </si>
  <si>
    <t>065101021371500</t>
  </si>
  <si>
    <t>065101021342501</t>
  </si>
  <si>
    <t>065101021343507</t>
  </si>
  <si>
    <t>065101021344503</t>
  </si>
  <si>
    <t>065101021345509</t>
  </si>
  <si>
    <t>065101021346505</t>
  </si>
  <si>
    <t>065101021347501</t>
  </si>
  <si>
    <t>065101021372506</t>
  </si>
  <si>
    <t>065101021373502</t>
  </si>
  <si>
    <t>065101021374508</t>
  </si>
  <si>
    <t>065101021349503</t>
  </si>
  <si>
    <t>065101021350504</t>
  </si>
  <si>
    <t>065101021351500</t>
  </si>
  <si>
    <t>065101021375504</t>
  </si>
  <si>
    <t>065101021352506</t>
  </si>
  <si>
    <t>065101021364503</t>
  </si>
  <si>
    <t>MANDIRI</t>
  </si>
  <si>
    <t>1660005106059</t>
  </si>
  <si>
    <t>065101021354508</t>
  </si>
  <si>
    <t>065101021365509</t>
  </si>
  <si>
    <t>065101021376500</t>
  </si>
  <si>
    <t>065101021355504</t>
  </si>
  <si>
    <t>065101021356500</t>
  </si>
  <si>
    <t>065101021357506</t>
  </si>
  <si>
    <t>065101021367501</t>
  </si>
  <si>
    <t>065101021378502</t>
  </si>
  <si>
    <t>065101021446509</t>
  </si>
  <si>
    <t>065101021456504</t>
  </si>
  <si>
    <t>065101021452500</t>
  </si>
  <si>
    <t>1803050210990002</t>
  </si>
  <si>
    <t>M ROYSUL ARIFIN</t>
  </si>
  <si>
    <t>6042468998</t>
  </si>
  <si>
    <t>1610012709050001</t>
  </si>
  <si>
    <t>ARIA SEFTAMA</t>
  </si>
  <si>
    <t>065101021379508</t>
  </si>
  <si>
    <t>065101021380509</t>
  </si>
  <si>
    <t>065101021416504</t>
  </si>
  <si>
    <t>065101021381505</t>
  </si>
  <si>
    <t>065101021382501</t>
  </si>
  <si>
    <t>065101021383507</t>
  </si>
  <si>
    <t>065101021384503</t>
  </si>
  <si>
    <t>065101021385509</t>
  </si>
  <si>
    <t>065101021386505</t>
  </si>
  <si>
    <t>065101021418506</t>
  </si>
  <si>
    <t>065101021387501</t>
  </si>
  <si>
    <t>065101021419502</t>
  </si>
  <si>
    <t>065101021388507</t>
  </si>
  <si>
    <t>065101021415508</t>
  </si>
  <si>
    <t>065101021389503</t>
  </si>
  <si>
    <t>065101021390504</t>
  </si>
  <si>
    <t>065101021391500</t>
  </si>
  <si>
    <t>065101021392506</t>
  </si>
  <si>
    <t>065101021393502</t>
  </si>
  <si>
    <t>065101021394508</t>
  </si>
  <si>
    <t>065101021395504</t>
  </si>
  <si>
    <t>065101021396500</t>
  </si>
  <si>
    <t>065101021397506</t>
  </si>
  <si>
    <t>065101021398502</t>
  </si>
  <si>
    <t>065101021399508</t>
  </si>
  <si>
    <t>065101021400503</t>
  </si>
  <si>
    <t>065101021401509</t>
  </si>
  <si>
    <t>065101021453506</t>
  </si>
  <si>
    <t>065101021402505</t>
  </si>
  <si>
    <t>065101021403501</t>
  </si>
  <si>
    <t>065101021422505</t>
  </si>
  <si>
    <t>065101021423501</t>
  </si>
  <si>
    <t>065101021404507</t>
  </si>
  <si>
    <t>065101021405503</t>
  </si>
  <si>
    <t>065101021424507</t>
  </si>
  <si>
    <t>065101021407505</t>
  </si>
  <si>
    <t>065101021406509</t>
  </si>
  <si>
    <t>065101021409507</t>
  </si>
  <si>
    <t>030601069071505</t>
  </si>
  <si>
    <t>030601011288530</t>
  </si>
  <si>
    <t>030601067725506</t>
  </si>
  <si>
    <t>030601012508535</t>
  </si>
  <si>
    <t>030601070647501</t>
  </si>
  <si>
    <t>030601013025530</t>
  </si>
  <si>
    <t>030601031874507</t>
  </si>
  <si>
    <t>018301016519534</t>
  </si>
  <si>
    <t>030601012758538</t>
  </si>
  <si>
    <t>030601061883500</t>
  </si>
  <si>
    <t>030601012577534</t>
  </si>
  <si>
    <t>030601010287531</t>
  </si>
  <si>
    <t>018301010470538</t>
  </si>
  <si>
    <t>030601043810507</t>
  </si>
  <si>
    <t>458801024389533</t>
  </si>
  <si>
    <t>030601064284501</t>
  </si>
  <si>
    <t>030601011289536</t>
  </si>
  <si>
    <t>030601012595532</t>
  </si>
  <si>
    <t>062701067888502</t>
  </si>
  <si>
    <t>035601055700507</t>
  </si>
  <si>
    <t>030601064491506</t>
  </si>
  <si>
    <t>030601012628539</t>
  </si>
  <si>
    <t>030601055520504</t>
  </si>
  <si>
    <t>030601056311500</t>
  </si>
  <si>
    <t>030601012751536</t>
  </si>
  <si>
    <t>030601061829506</t>
  </si>
  <si>
    <t>042601036414500</t>
  </si>
  <si>
    <t>065101021411504</t>
  </si>
  <si>
    <t>065101021445503</t>
  </si>
  <si>
    <t>065101021412500</t>
  </si>
  <si>
    <t>618101009177507</t>
  </si>
  <si>
    <t>065101021414502</t>
  </si>
  <si>
    <t>6471032707990001</t>
  </si>
  <si>
    <t>PANJI SATRIO PANGESTU</t>
  </si>
  <si>
    <t>361701002039506</t>
  </si>
  <si>
    <t>7307032312020001</t>
  </si>
  <si>
    <t>AZWAR</t>
  </si>
  <si>
    <t>507201025844536</t>
  </si>
  <si>
    <t>6405020807920003</t>
  </si>
  <si>
    <t>MUHAMMAD RIDWAN</t>
  </si>
  <si>
    <t>BSI</t>
  </si>
  <si>
    <t>176701528</t>
  </si>
  <si>
    <t>6404052104980002</t>
  </si>
  <si>
    <t>MUHAMMAD AKBAR KURNIAWAN</t>
  </si>
  <si>
    <t>343801006798504</t>
  </si>
  <si>
    <t>065101021450508</t>
  </si>
  <si>
    <t>3171051012760002</t>
  </si>
  <si>
    <t>Mamit</t>
  </si>
  <si>
    <t>5890164881</t>
  </si>
  <si>
    <t>3175090810880002</t>
  </si>
  <si>
    <t>Siswanto</t>
  </si>
  <si>
    <t>2551269258</t>
  </si>
  <si>
    <t>3276022603710001</t>
  </si>
  <si>
    <t>Syahrial Alamsyah</t>
  </si>
  <si>
    <t>4211236242</t>
  </si>
  <si>
    <t>KPM 23</t>
  </si>
  <si>
    <t>MUSTAFA GABA</t>
  </si>
  <si>
    <t>065101021669505</t>
  </si>
  <si>
    <t>3276014901840004</t>
  </si>
  <si>
    <t>WIWIN WINARSIH</t>
  </si>
  <si>
    <t>SEKWAN</t>
  </si>
  <si>
    <t>1120021341016</t>
  </si>
  <si>
    <t>3302033012860005</t>
  </si>
  <si>
    <t>ELI RUSWANTO</t>
  </si>
  <si>
    <t>038201006121539</t>
  </si>
  <si>
    <t>3402091909930001</t>
  </si>
  <si>
    <t>TRI PURBO HAPSORO</t>
  </si>
  <si>
    <t>406801043634537</t>
  </si>
  <si>
    <t>1221020604040002</t>
  </si>
  <si>
    <t>ILHAM KURNIA SINURAT</t>
  </si>
  <si>
    <t>1794637844</t>
  </si>
  <si>
    <t>1802271803050002</t>
  </si>
  <si>
    <t>ADITYA PRATAMA</t>
  </si>
  <si>
    <t>1140030261799</t>
  </si>
  <si>
    <t>3275122207860003</t>
  </si>
  <si>
    <t>PURNOMO</t>
  </si>
  <si>
    <t>147001002693538</t>
  </si>
  <si>
    <t>TK/5</t>
  </si>
  <si>
    <t>Sopo Del Tower</t>
  </si>
  <si>
    <t>AJT</t>
  </si>
  <si>
    <t>1603122912020003</t>
  </si>
  <si>
    <t>Agung Pratama</t>
  </si>
  <si>
    <t>9171020308920004</t>
  </si>
  <si>
    <t>SUHERMIN</t>
  </si>
  <si>
    <t>Dzulfakir hutang di BRI</t>
  </si>
  <si>
    <t>1604010907050001</t>
  </si>
  <si>
    <t>Ein Saputra</t>
  </si>
  <si>
    <t>3174031509030001</t>
  </si>
  <si>
    <t>RENDY SEPRIYAN</t>
  </si>
  <si>
    <t>026101140519507</t>
  </si>
  <si>
    <t>3604310212970006</t>
  </si>
  <si>
    <t>ANGGA KUSUMA SAPUTRA</t>
  </si>
  <si>
    <t>3212261410940004</t>
  </si>
  <si>
    <t>6405050702090001</t>
  </si>
  <si>
    <t>ROSTAM YUNUS</t>
  </si>
  <si>
    <t>1490015089883</t>
  </si>
  <si>
    <t>30 A</t>
  </si>
  <si>
    <t>1220061809000002 A</t>
  </si>
  <si>
    <t>065101021342502</t>
  </si>
  <si>
    <t>3216072008970006 A</t>
  </si>
  <si>
    <t>065101021372507</t>
  </si>
  <si>
    <t>TK 0</t>
  </si>
  <si>
    <t>WAHYU TRI WIDODO</t>
  </si>
  <si>
    <t>K 4</t>
  </si>
  <si>
    <t>3304061912990001</t>
  </si>
  <si>
    <t>M. SURYA RAMDANI</t>
  </si>
  <si>
    <t>Sesuai !!!</t>
  </si>
  <si>
    <t>Sesuai !!!!</t>
  </si>
  <si>
    <t>6404040107980034</t>
  </si>
  <si>
    <t>IWAK KABUL SANTOSA</t>
  </si>
  <si>
    <t>ABSENSI 3, KEKOSONGAN 6 (OT 9, SESUAI !!!)</t>
  </si>
  <si>
    <t>10 A</t>
  </si>
  <si>
    <t>1771041503900005 A</t>
  </si>
  <si>
    <t>PLT CHIEF</t>
  </si>
  <si>
    <t>16 A</t>
  </si>
  <si>
    <t>3275021012980011 A</t>
  </si>
  <si>
    <t>PLT DANRU</t>
  </si>
  <si>
    <t>36 A</t>
  </si>
  <si>
    <t>3202400710940002</t>
  </si>
  <si>
    <t>M. IHWAN RIZKI WAHID</t>
  </si>
  <si>
    <t>O\T 89 (Absensi 32) + (Kekosongan 57)</t>
  </si>
  <si>
    <t>penebalan 0 shift jaga, absensi 11(seharsunya 21 tetapi admin tidak digantikan 10 shift)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</si>
</sst>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;\(#,##0\)"/>
    <numFmt numFmtId="167" formatCode="#,##0.000;\(#,##0.000\)"/>
    <numFmt numFmtId="168" formatCode="#,##0.00;\(#,##0.00\)"/>
  </numFmts>
  <fonts count="28">
    <font>
      <sz val="10"/>
      <color rgb="FF000000"/>
      <name val="Aptos Narrow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ptos Narrow"/>
    </font>
    <font>
      <b/>
      <sz val="10"/>
      <color theme="1"/>
      <name val="Aptos Narrow"/>
    </font>
    <font>
      <sz val="10"/>
      <color theme="1"/>
      <name val="Aptos Narrow"/>
    </font>
    <font>
      <sz val="10"/>
      <color rgb="FF000000"/>
      <name val="Aptos Narrow"/>
    </font>
    <font>
      <sz val="11"/>
      <color rgb="FF000000"/>
      <name val="Calibri"/>
      <family val="2"/>
    </font>
    <font>
      <sz val="10"/>
      <color rgb="FFFFFFFF"/>
      <name val="Arial"/>
      <family val="2"/>
    </font>
    <font>
      <sz val="10"/>
      <color theme="1"/>
      <name val="Aptos Narrow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Aptos Narrow&quot;"/>
    </font>
    <font>
      <sz val="10"/>
      <color rgb="FF000000"/>
      <name val="Arial"/>
      <family val="2"/>
    </font>
    <font>
      <b/>
      <sz val="10"/>
      <color rgb="FF000000"/>
      <name val="&quot;Aptos Narrow&quot;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1"/>
      <name val="&quot;Aptos Narrow&quot;"/>
    </font>
    <font>
      <sz val="10"/>
      <color rgb="FFFFFFFF"/>
      <name val="&quot;Aptos Narrow&quot;"/>
    </font>
    <font>
      <sz val="10"/>
      <color rgb="FFFFFFFF"/>
      <name val="Arial"/>
      <family val="2"/>
    </font>
    <font>
      <sz val="10"/>
      <color rgb="FFFFFF00"/>
      <name val="&quot;Aptos Narrow&quot;"/>
    </font>
    <font>
      <sz val="10"/>
      <color rgb="FFFFFF00"/>
      <name val="Arial"/>
      <family val="2"/>
    </font>
    <font>
      <b/>
      <sz val="10"/>
      <color theme="1"/>
      <name val="&quot;Aptos Narrow&quot;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0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  <fill>
      <patternFill patternType="solid">
        <fgColor theme="7"/>
        <bgColor theme="7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7">
    <xf numFmtId="0" fontId="0" fillId="0" borderId="0" xfId="0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5" fillId="0" borderId="4" xfId="0" applyNumberFormat="1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3" borderId="4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3" fontId="1" fillId="0" borderId="4" xfId="0" applyNumberFormat="1" applyFont="1" applyBorder="1" applyAlignment="1">
      <alignment horizontal="center" vertical="center"/>
    </xf>
    <xf numFmtId="3" fontId="1" fillId="3" borderId="4" xfId="0" applyNumberFormat="1" applyFont="1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3" fontId="8" fillId="6" borderId="4" xfId="0" applyNumberFormat="1" applyFont="1" applyFill="1" applyBorder="1" applyAlignment="1">
      <alignment vertical="center"/>
    </xf>
    <xf numFmtId="49" fontId="1" fillId="0" borderId="4" xfId="0" quotePrefix="1" applyNumberFormat="1" applyFont="1" applyBorder="1" applyAlignment="1">
      <alignment horizontal="center" vertical="center"/>
    </xf>
    <xf numFmtId="3" fontId="1" fillId="6" borderId="4" xfId="0" applyNumberFormat="1" applyFont="1" applyFill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3" fontId="2" fillId="0" borderId="4" xfId="0" applyNumberFormat="1" applyFont="1" applyBorder="1" applyAlignment="1">
      <alignment vertical="center"/>
    </xf>
    <xf numFmtId="0" fontId="8" fillId="6" borderId="4" xfId="0" applyFont="1" applyFill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/>
    </xf>
    <xf numFmtId="10" fontId="1" fillId="3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8" fillId="9" borderId="4" xfId="0" applyNumberFormat="1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3" fontId="2" fillId="3" borderId="0" xfId="0" applyNumberFormat="1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  <xf numFmtId="49" fontId="7" fillId="0" borderId="4" xfId="0" quotePrefix="1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3" fontId="14" fillId="0" borderId="15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9" fillId="0" borderId="4" xfId="0" applyFont="1" applyBorder="1"/>
    <xf numFmtId="0" fontId="1" fillId="0" borderId="4" xfId="0" applyFont="1" applyBorder="1" applyAlignment="1">
      <alignment horizontal="center" vertical="center" wrapText="1"/>
    </xf>
    <xf numFmtId="0" fontId="14" fillId="0" borderId="15" xfId="0" applyFont="1" applyBorder="1" applyAlignment="1">
      <alignment vertical="center"/>
    </xf>
    <xf numFmtId="0" fontId="14" fillId="0" borderId="15" xfId="0" applyFont="1" applyBorder="1" applyAlignment="1">
      <alignment horizontal="center" vertical="center"/>
    </xf>
    <xf numFmtId="49" fontId="14" fillId="0" borderId="15" xfId="0" applyNumberFormat="1" applyFont="1" applyBorder="1" applyAlignment="1">
      <alignment horizontal="center" vertical="center"/>
    </xf>
    <xf numFmtId="3" fontId="14" fillId="0" borderId="15" xfId="0" applyNumberFormat="1" applyFont="1" applyBorder="1" applyAlignment="1">
      <alignment horizontal="right" vertical="center"/>
    </xf>
    <xf numFmtId="3" fontId="15" fillId="0" borderId="15" xfId="0" applyNumberFormat="1" applyFont="1" applyBorder="1" applyAlignment="1">
      <alignment horizontal="right" vertical="center"/>
    </xf>
    <xf numFmtId="3" fontId="14" fillId="0" borderId="15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3" fontId="14" fillId="0" borderId="7" xfId="0" applyNumberFormat="1" applyFont="1" applyBorder="1" applyAlignment="1">
      <alignment horizontal="center" vertical="center"/>
    </xf>
    <xf numFmtId="10" fontId="14" fillId="0" borderId="15" xfId="0" applyNumberFormat="1" applyFont="1" applyBorder="1" applyAlignment="1">
      <alignment horizontal="center" vertical="center"/>
    </xf>
    <xf numFmtId="0" fontId="20" fillId="9" borderId="15" xfId="0" applyFont="1" applyFill="1" applyBorder="1" applyAlignment="1">
      <alignment vertical="center"/>
    </xf>
    <xf numFmtId="0" fontId="20" fillId="9" borderId="15" xfId="0" applyFont="1" applyFill="1" applyBorder="1" applyAlignment="1">
      <alignment horizontal="center" vertical="center"/>
    </xf>
    <xf numFmtId="49" fontId="20" fillId="9" borderId="15" xfId="0" applyNumberFormat="1" applyFont="1" applyFill="1" applyBorder="1" applyAlignment="1">
      <alignment horizontal="center" vertical="center"/>
    </xf>
    <xf numFmtId="0" fontId="21" fillId="9" borderId="15" xfId="0" applyFont="1" applyFill="1" applyBorder="1" applyAlignment="1">
      <alignment vertical="center"/>
    </xf>
    <xf numFmtId="3" fontId="20" fillId="9" borderId="15" xfId="0" applyNumberFormat="1" applyFont="1" applyFill="1" applyBorder="1" applyAlignment="1">
      <alignment horizontal="right" vertical="center"/>
    </xf>
    <xf numFmtId="3" fontId="21" fillId="9" borderId="15" xfId="0" applyNumberFormat="1" applyFont="1" applyFill="1" applyBorder="1" applyAlignment="1">
      <alignment horizontal="right" vertical="center"/>
    </xf>
    <xf numFmtId="3" fontId="21" fillId="9" borderId="15" xfId="0" applyNumberFormat="1" applyFont="1" applyFill="1" applyBorder="1" applyAlignment="1">
      <alignment horizontal="center" vertical="center"/>
    </xf>
    <xf numFmtId="3" fontId="20" fillId="9" borderId="15" xfId="0" applyNumberFormat="1" applyFont="1" applyFill="1" applyBorder="1" applyAlignment="1">
      <alignment horizontal="center" vertical="center"/>
    </xf>
    <xf numFmtId="3" fontId="20" fillId="9" borderId="7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3" fontId="14" fillId="0" borderId="4" xfId="0" applyNumberFormat="1" applyFont="1" applyBorder="1" applyAlignment="1">
      <alignment horizontal="right" vertical="center"/>
    </xf>
    <xf numFmtId="3" fontId="15" fillId="0" borderId="4" xfId="0" applyNumberFormat="1" applyFont="1" applyBorder="1" applyAlignment="1">
      <alignment horizontal="right" vertical="center"/>
    </xf>
    <xf numFmtId="0" fontId="15" fillId="0" borderId="6" xfId="0" applyFont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3" fontId="14" fillId="0" borderId="4" xfId="0" applyNumberFormat="1" applyFont="1" applyBorder="1" applyAlignment="1">
      <alignment horizontal="center" vertical="center"/>
    </xf>
    <xf numFmtId="3" fontId="14" fillId="0" borderId="4" xfId="0" applyNumberFormat="1" applyFont="1" applyBorder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14" fillId="0" borderId="7" xfId="0" applyFont="1" applyBorder="1" applyAlignment="1">
      <alignment vertical="center"/>
    </xf>
    <xf numFmtId="49" fontId="14" fillId="0" borderId="3" xfId="0" applyNumberFormat="1" applyFont="1" applyBorder="1" applyAlignment="1">
      <alignment horizontal="center" vertical="center"/>
    </xf>
    <xf numFmtId="0" fontId="14" fillId="4" borderId="15" xfId="0" applyFont="1" applyFill="1" applyBorder="1" applyAlignment="1">
      <alignment vertical="center"/>
    </xf>
    <xf numFmtId="49" fontId="15" fillId="0" borderId="15" xfId="0" applyNumberFormat="1" applyFont="1" applyBorder="1" applyAlignment="1">
      <alignment horizontal="center" vertical="center"/>
    </xf>
    <xf numFmtId="3" fontId="14" fillId="3" borderId="15" xfId="0" applyNumberFormat="1" applyFont="1" applyFill="1" applyBorder="1" applyAlignment="1">
      <alignment vertical="center"/>
    </xf>
    <xf numFmtId="0" fontId="15" fillId="0" borderId="15" xfId="0" applyFont="1" applyBorder="1" applyAlignment="1">
      <alignment horizontal="center" vertical="center"/>
    </xf>
    <xf numFmtId="49" fontId="16" fillId="0" borderId="15" xfId="0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3" fontId="16" fillId="0" borderId="15" xfId="0" applyNumberFormat="1" applyFont="1" applyBorder="1" applyAlignment="1">
      <alignment horizontal="right" vertical="center"/>
    </xf>
    <xf numFmtId="3" fontId="16" fillId="0" borderId="15" xfId="0" applyNumberFormat="1" applyFont="1" applyBorder="1" applyAlignment="1">
      <alignment horizontal="center" vertical="center"/>
    </xf>
    <xf numFmtId="3" fontId="16" fillId="0" borderId="0" xfId="0" applyNumberFormat="1" applyFont="1" applyAlignment="1">
      <alignment vertical="center"/>
    </xf>
    <xf numFmtId="3" fontId="16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" fontId="16" fillId="0" borderId="7" xfId="0" applyNumberFormat="1" applyFont="1" applyBorder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14" fillId="0" borderId="3" xfId="0" applyNumberFormat="1" applyFont="1" applyBorder="1" applyAlignment="1">
      <alignment horizontal="right" vertical="center"/>
    </xf>
    <xf numFmtId="10" fontId="16" fillId="0" borderId="0" xfId="0" applyNumberFormat="1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3" fontId="16" fillId="3" borderId="15" xfId="0" applyNumberFormat="1" applyFont="1" applyFill="1" applyBorder="1" applyAlignment="1">
      <alignment horizontal="center" vertical="center"/>
    </xf>
    <xf numFmtId="3" fontId="16" fillId="2" borderId="15" xfId="0" applyNumberFormat="1" applyFont="1" applyFill="1" applyBorder="1" applyAlignment="1">
      <alignment horizontal="center" vertical="center"/>
    </xf>
    <xf numFmtId="49" fontId="14" fillId="4" borderId="15" xfId="0" applyNumberFormat="1" applyFont="1" applyFill="1" applyBorder="1" applyAlignment="1">
      <alignment horizontal="center" vertical="center"/>
    </xf>
    <xf numFmtId="3" fontId="15" fillId="0" borderId="15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right" vertical="center"/>
    </xf>
    <xf numFmtId="0" fontId="14" fillId="0" borderId="17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3" fontId="16" fillId="0" borderId="15" xfId="0" applyNumberFormat="1" applyFont="1" applyBorder="1" applyAlignment="1">
      <alignment vertical="center"/>
    </xf>
    <xf numFmtId="3" fontId="15" fillId="0" borderId="0" xfId="0" applyNumberFormat="1" applyFont="1" applyAlignment="1">
      <alignment horizontal="center" vertical="center"/>
    </xf>
    <xf numFmtId="0" fontId="15" fillId="4" borderId="15" xfId="0" applyFont="1" applyFill="1" applyBorder="1" applyAlignment="1">
      <alignment vertical="center"/>
    </xf>
    <xf numFmtId="49" fontId="15" fillId="0" borderId="15" xfId="0" applyNumberFormat="1" applyFont="1" applyBorder="1" applyAlignment="1">
      <alignment vertical="center"/>
    </xf>
    <xf numFmtId="3" fontId="17" fillId="0" borderId="15" xfId="0" applyNumberFormat="1" applyFont="1" applyBorder="1" applyAlignment="1">
      <alignment horizontal="right" vertical="center"/>
    </xf>
    <xf numFmtId="49" fontId="14" fillId="0" borderId="15" xfId="0" applyNumberFormat="1" applyFont="1" applyBorder="1" applyAlignment="1">
      <alignment vertical="center"/>
    </xf>
    <xf numFmtId="49" fontId="16" fillId="0" borderId="15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right" vertical="center"/>
    </xf>
    <xf numFmtId="0" fontId="16" fillId="0" borderId="15" xfId="0" applyFont="1" applyBorder="1" applyAlignment="1">
      <alignment horizontal="right" vertical="center"/>
    </xf>
    <xf numFmtId="3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3" fontId="18" fillId="6" borderId="0" xfId="0" applyNumberFormat="1" applyFont="1" applyFill="1" applyAlignment="1">
      <alignment vertical="center"/>
    </xf>
    <xf numFmtId="10" fontId="17" fillId="0" borderId="0" xfId="0" applyNumberFormat="1" applyFont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3" fontId="15" fillId="0" borderId="3" xfId="0" applyNumberFormat="1" applyFont="1" applyBorder="1" applyAlignment="1">
      <alignment horizontal="right" vertical="center"/>
    </xf>
    <xf numFmtId="10" fontId="15" fillId="0" borderId="0" xfId="0" applyNumberFormat="1" applyFont="1" applyAlignment="1">
      <alignment vertical="center"/>
    </xf>
    <xf numFmtId="0" fontId="17" fillId="0" borderId="16" xfId="0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vertical="center"/>
    </xf>
    <xf numFmtId="3" fontId="17" fillId="0" borderId="1" xfId="0" applyNumberFormat="1" applyFont="1" applyBorder="1" applyAlignment="1">
      <alignment horizontal="center" vertical="center"/>
    </xf>
    <xf numFmtId="10" fontId="15" fillId="0" borderId="2" xfId="0" applyNumberFormat="1" applyFont="1" applyBorder="1" applyAlignment="1">
      <alignment vertical="center"/>
    </xf>
    <xf numFmtId="3" fontId="15" fillId="0" borderId="3" xfId="0" applyNumberFormat="1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7" fillId="0" borderId="17" xfId="0" applyFont="1" applyBorder="1" applyAlignment="1">
      <alignment horizontal="center" vertical="center"/>
    </xf>
    <xf numFmtId="49" fontId="17" fillId="0" borderId="17" xfId="0" applyNumberFormat="1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3" fontId="17" fillId="3" borderId="14" xfId="0" applyNumberFormat="1" applyFont="1" applyFill="1" applyBorder="1" applyAlignment="1">
      <alignment horizontal="center" vertical="center"/>
    </xf>
    <xf numFmtId="3" fontId="17" fillId="3" borderId="15" xfId="0" applyNumberFormat="1" applyFont="1" applyFill="1" applyBorder="1" applyAlignment="1">
      <alignment horizontal="center" vertical="center"/>
    </xf>
    <xf numFmtId="3" fontId="17" fillId="2" borderId="17" xfId="0" applyNumberFormat="1" applyFont="1" applyFill="1" applyBorder="1" applyAlignment="1">
      <alignment horizontal="center" vertical="center"/>
    </xf>
    <xf numFmtId="3" fontId="17" fillId="0" borderId="17" xfId="0" applyNumberFormat="1" applyFont="1" applyBorder="1" applyAlignment="1">
      <alignment horizontal="center" vertical="center"/>
    </xf>
    <xf numFmtId="3" fontId="17" fillId="0" borderId="14" xfId="0" applyNumberFormat="1" applyFont="1" applyBorder="1" applyAlignment="1">
      <alignment horizontal="center" vertical="center"/>
    </xf>
    <xf numFmtId="3" fontId="15" fillId="0" borderId="15" xfId="0" applyNumberFormat="1" applyFont="1" applyBorder="1" applyAlignment="1">
      <alignment vertical="center"/>
    </xf>
    <xf numFmtId="0" fontId="17" fillId="0" borderId="15" xfId="0" applyFont="1" applyBorder="1" applyAlignment="1">
      <alignment horizontal="center" vertical="center"/>
    </xf>
    <xf numFmtId="49" fontId="17" fillId="0" borderId="15" xfId="0" applyNumberFormat="1" applyFont="1" applyBorder="1" applyAlignment="1">
      <alignment horizontal="center" vertical="center"/>
    </xf>
    <xf numFmtId="3" fontId="17" fillId="2" borderId="15" xfId="0" applyNumberFormat="1" applyFont="1" applyFill="1" applyBorder="1" applyAlignment="1">
      <alignment horizontal="center" vertical="center"/>
    </xf>
    <xf numFmtId="3" fontId="17" fillId="0" borderId="15" xfId="0" applyNumberFormat="1" applyFont="1" applyBorder="1" applyAlignment="1">
      <alignment horizontal="center" vertical="center"/>
    </xf>
    <xf numFmtId="3" fontId="17" fillId="8" borderId="15" xfId="0" applyNumberFormat="1" applyFont="1" applyFill="1" applyBorder="1" applyAlignment="1">
      <alignment horizontal="center" vertical="center"/>
    </xf>
    <xf numFmtId="3" fontId="15" fillId="0" borderId="7" xfId="0" applyNumberFormat="1" applyFont="1" applyBorder="1" applyAlignment="1">
      <alignment vertical="center"/>
    </xf>
    <xf numFmtId="10" fontId="15" fillId="0" borderId="15" xfId="0" applyNumberFormat="1" applyFont="1" applyBorder="1" applyAlignment="1">
      <alignment vertical="center"/>
    </xf>
    <xf numFmtId="3" fontId="19" fillId="3" borderId="15" xfId="0" applyNumberFormat="1" applyFont="1" applyFill="1" applyBorder="1" applyAlignment="1">
      <alignment horizontal="center" vertical="center"/>
    </xf>
    <xf numFmtId="49" fontId="14" fillId="10" borderId="15" xfId="0" applyNumberFormat="1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vertical="center"/>
    </xf>
    <xf numFmtId="0" fontId="14" fillId="10" borderId="15" xfId="0" applyFont="1" applyFill="1" applyBorder="1" applyAlignment="1">
      <alignment horizontal="center" vertical="center"/>
    </xf>
    <xf numFmtId="3" fontId="15" fillId="10" borderId="15" xfId="0" applyNumberFormat="1" applyFont="1" applyFill="1" applyBorder="1" applyAlignment="1">
      <alignment horizontal="right" vertical="center"/>
    </xf>
    <xf numFmtId="3" fontId="19" fillId="0" borderId="15" xfId="0" applyNumberFormat="1" applyFont="1" applyBorder="1" applyAlignment="1">
      <alignment horizontal="right" vertical="center"/>
    </xf>
    <xf numFmtId="3" fontId="14" fillId="10" borderId="15" xfId="0" applyNumberFormat="1" applyFont="1" applyFill="1" applyBorder="1" applyAlignment="1">
      <alignment horizontal="right" vertical="center"/>
    </xf>
    <xf numFmtId="0" fontId="14" fillId="10" borderId="0" xfId="0" applyFont="1" applyFill="1" applyAlignment="1">
      <alignment vertical="center"/>
    </xf>
    <xf numFmtId="3" fontId="14" fillId="10" borderId="7" xfId="0" applyNumberFormat="1" applyFont="1" applyFill="1" applyBorder="1" applyAlignment="1">
      <alignment horizontal="center" vertical="center"/>
    </xf>
    <xf numFmtId="3" fontId="14" fillId="10" borderId="15" xfId="0" applyNumberFormat="1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vertical="center"/>
    </xf>
    <xf numFmtId="0" fontId="14" fillId="4" borderId="15" xfId="0" applyFont="1" applyFill="1" applyBorder="1" applyAlignment="1">
      <alignment horizontal="center" vertical="center"/>
    </xf>
    <xf numFmtId="0" fontId="20" fillId="9" borderId="0" xfId="0" applyFont="1" applyFill="1" applyAlignment="1">
      <alignment vertical="center"/>
    </xf>
    <xf numFmtId="49" fontId="14" fillId="4" borderId="15" xfId="0" applyNumberFormat="1" applyFont="1" applyFill="1" applyBorder="1" applyAlignment="1">
      <alignment vertical="center"/>
    </xf>
    <xf numFmtId="49" fontId="14" fillId="4" borderId="7" xfId="0" applyNumberFormat="1" applyFont="1" applyFill="1" applyBorder="1" applyAlignment="1">
      <alignment vertical="center"/>
    </xf>
    <xf numFmtId="0" fontId="14" fillId="4" borderId="17" xfId="0" applyFont="1" applyFill="1" applyBorder="1" applyAlignment="1">
      <alignment vertical="center"/>
    </xf>
    <xf numFmtId="49" fontId="14" fillId="0" borderId="14" xfId="0" applyNumberFormat="1" applyFont="1" applyBorder="1" applyAlignment="1">
      <alignment horizontal="center" vertical="center"/>
    </xf>
    <xf numFmtId="0" fontId="14" fillId="4" borderId="4" xfId="0" applyFont="1" applyFill="1" applyBorder="1" applyAlignment="1">
      <alignment vertical="center"/>
    </xf>
    <xf numFmtId="0" fontId="14" fillId="10" borderId="14" xfId="0" applyFont="1" applyFill="1" applyBorder="1" applyAlignment="1">
      <alignment vertical="center"/>
    </xf>
    <xf numFmtId="0" fontId="14" fillId="4" borderId="14" xfId="0" applyFont="1" applyFill="1" applyBorder="1" applyAlignment="1">
      <alignment vertical="center"/>
    </xf>
    <xf numFmtId="49" fontId="14" fillId="4" borderId="14" xfId="0" applyNumberFormat="1" applyFont="1" applyFill="1" applyBorder="1" applyAlignment="1">
      <alignment vertical="center"/>
    </xf>
    <xf numFmtId="49" fontId="14" fillId="0" borderId="14" xfId="0" applyNumberFormat="1" applyFont="1" applyBorder="1" applyAlignment="1">
      <alignment vertical="center"/>
    </xf>
    <xf numFmtId="3" fontId="14" fillId="11" borderId="15" xfId="0" applyNumberFormat="1" applyFont="1" applyFill="1" applyBorder="1" applyAlignment="1">
      <alignment vertical="center"/>
    </xf>
    <xf numFmtId="0" fontId="14" fillId="3" borderId="15" xfId="0" applyFont="1" applyFill="1" applyBorder="1" applyAlignment="1">
      <alignment horizontal="center" vertical="center"/>
    </xf>
    <xf numFmtId="49" fontId="14" fillId="3" borderId="15" xfId="0" applyNumberFormat="1" applyFont="1" applyFill="1" applyBorder="1" applyAlignment="1">
      <alignment horizontal="center" vertical="center"/>
    </xf>
    <xf numFmtId="3" fontId="14" fillId="3" borderId="15" xfId="0" applyNumberFormat="1" applyFont="1" applyFill="1" applyBorder="1" applyAlignment="1">
      <alignment horizontal="right" vertical="center"/>
    </xf>
    <xf numFmtId="3" fontId="14" fillId="3" borderId="15" xfId="0" applyNumberFormat="1" applyFont="1" applyFill="1" applyBorder="1" applyAlignment="1">
      <alignment horizontal="center" vertical="center"/>
    </xf>
    <xf numFmtId="3" fontId="12" fillId="0" borderId="15" xfId="0" applyNumberFormat="1" applyFont="1" applyBorder="1" applyAlignment="1">
      <alignment horizontal="center" vertical="center"/>
    </xf>
    <xf numFmtId="3" fontId="23" fillId="3" borderId="15" xfId="0" applyNumberFormat="1" applyFont="1" applyFill="1" applyBorder="1" applyAlignment="1">
      <alignment horizontal="center" vertical="center"/>
    </xf>
    <xf numFmtId="3" fontId="22" fillId="3" borderId="15" xfId="0" applyNumberFormat="1" applyFont="1" applyFill="1" applyBorder="1" applyAlignment="1">
      <alignment horizontal="center" vertical="center"/>
    </xf>
    <xf numFmtId="3" fontId="14" fillId="3" borderId="7" xfId="0" applyNumberFormat="1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vertical="center"/>
    </xf>
    <xf numFmtId="0" fontId="15" fillId="4" borderId="15" xfId="0" applyFont="1" applyFill="1" applyBorder="1" applyAlignment="1">
      <alignment horizontal="center" vertical="center"/>
    </xf>
    <xf numFmtId="3" fontId="19" fillId="3" borderId="15" xfId="0" applyNumberFormat="1" applyFont="1" applyFill="1" applyBorder="1" applyAlignment="1">
      <alignment horizontal="right" vertical="center"/>
    </xf>
    <xf numFmtId="3" fontId="14" fillId="3" borderId="0" xfId="0" applyNumberFormat="1" applyFont="1" applyFill="1" applyAlignment="1">
      <alignment vertical="center"/>
    </xf>
    <xf numFmtId="49" fontId="1" fillId="3" borderId="7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3" fontId="21" fillId="0" borderId="15" xfId="0" applyNumberFormat="1" applyFont="1" applyBorder="1" applyAlignment="1">
      <alignment horizontal="center" vertical="center"/>
    </xf>
    <xf numFmtId="3" fontId="20" fillId="0" borderId="15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0" fontId="16" fillId="0" borderId="0" xfId="0" applyNumberFormat="1" applyFont="1" applyAlignment="1">
      <alignment vertical="center"/>
    </xf>
    <xf numFmtId="3" fontId="17" fillId="0" borderId="7" xfId="0" applyNumberFormat="1" applyFont="1" applyBorder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10" fontId="17" fillId="0" borderId="0" xfId="0" applyNumberFormat="1" applyFont="1" applyAlignment="1">
      <alignment horizontal="center" vertical="center"/>
    </xf>
    <xf numFmtId="3" fontId="17" fillId="3" borderId="7" xfId="0" applyNumberFormat="1" applyFont="1" applyFill="1" applyBorder="1" applyAlignment="1">
      <alignment horizontal="center" vertical="center"/>
    </xf>
    <xf numFmtId="3" fontId="15" fillId="4" borderId="15" xfId="0" applyNumberFormat="1" applyFont="1" applyFill="1" applyBorder="1" applyAlignment="1">
      <alignment vertical="center"/>
    </xf>
    <xf numFmtId="3" fontId="15" fillId="8" borderId="15" xfId="0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0" fontId="15" fillId="0" borderId="15" xfId="0" applyNumberFormat="1" applyFont="1" applyBorder="1" applyAlignment="1">
      <alignment horizontal="center" vertical="center"/>
    </xf>
    <xf numFmtId="3" fontId="15" fillId="0" borderId="17" xfId="0" applyNumberFormat="1" applyFont="1" applyBorder="1" applyAlignment="1">
      <alignment horizontal="center" vertical="center"/>
    </xf>
    <xf numFmtId="3" fontId="15" fillId="0" borderId="17" xfId="0" applyNumberFormat="1" applyFont="1" applyBorder="1" applyAlignment="1">
      <alignment horizontal="right" vertical="center"/>
    </xf>
    <xf numFmtId="0" fontId="15" fillId="0" borderId="17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10" fontId="15" fillId="0" borderId="3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vertical="center"/>
    </xf>
    <xf numFmtId="3" fontId="17" fillId="0" borderId="15" xfId="0" applyNumberFormat="1" applyFont="1" applyBorder="1" applyAlignment="1">
      <alignment vertical="center"/>
    </xf>
    <xf numFmtId="49" fontId="17" fillId="0" borderId="0" xfId="0" applyNumberFormat="1" applyFont="1" applyAlignment="1">
      <alignment vertical="center"/>
    </xf>
    <xf numFmtId="49" fontId="15" fillId="4" borderId="15" xfId="0" applyNumberFormat="1" applyFont="1" applyFill="1" applyBorder="1" applyAlignment="1">
      <alignment horizontal="center" vertical="center"/>
    </xf>
    <xf numFmtId="3" fontId="15" fillId="0" borderId="7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49" fontId="1" fillId="0" borderId="6" xfId="0" quotePrefix="1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vertical="center"/>
    </xf>
    <xf numFmtId="49" fontId="1" fillId="3" borderId="4" xfId="0" applyNumberFormat="1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49" fontId="11" fillId="4" borderId="4" xfId="0" applyNumberFormat="1" applyFont="1" applyFill="1" applyBorder="1" applyAlignment="1">
      <alignment horizontal="center" vertical="center"/>
    </xf>
    <xf numFmtId="49" fontId="11" fillId="3" borderId="4" xfId="0" applyNumberFormat="1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49" fontId="1" fillId="4" borderId="4" xfId="0" quotePrefix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1" fillId="0" borderId="13" xfId="0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3" fontId="16" fillId="3" borderId="0" xfId="0" applyNumberFormat="1" applyFont="1" applyFill="1" applyAlignment="1">
      <alignment horizontal="center" vertical="center"/>
    </xf>
    <xf numFmtId="3" fontId="17" fillId="3" borderId="0" xfId="0" applyNumberFormat="1" applyFont="1" applyFill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3" fontId="19" fillId="0" borderId="15" xfId="0" applyNumberFormat="1" applyFont="1" applyBorder="1" applyAlignment="1">
      <alignment horizontal="center" vertical="center"/>
    </xf>
    <xf numFmtId="0" fontId="10" fillId="0" borderId="15" xfId="0" quotePrefix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2" fillId="0" borderId="4" xfId="0" applyFont="1" applyBorder="1" applyAlignment="1">
      <alignment horizontal="center"/>
    </xf>
    <xf numFmtId="49" fontId="15" fillId="4" borderId="15" xfId="0" quotePrefix="1" applyNumberFormat="1" applyFont="1" applyFill="1" applyBorder="1" applyAlignment="1">
      <alignment horizontal="center" vertical="center"/>
    </xf>
    <xf numFmtId="0" fontId="15" fillId="4" borderId="15" xfId="0" quotePrefix="1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49" fontId="19" fillId="0" borderId="15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3" fontId="12" fillId="0" borderId="15" xfId="0" applyNumberFormat="1" applyFont="1" applyBorder="1" applyAlignment="1">
      <alignment horizontal="right" vertical="center"/>
    </xf>
    <xf numFmtId="3" fontId="19" fillId="0" borderId="15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/>
    </xf>
    <xf numFmtId="3" fontId="19" fillId="0" borderId="7" xfId="0" applyNumberFormat="1" applyFont="1" applyBorder="1" applyAlignment="1">
      <alignment horizontal="center" vertical="center"/>
    </xf>
    <xf numFmtId="10" fontId="19" fillId="0" borderId="15" xfId="0" applyNumberFormat="1" applyFont="1" applyBorder="1" applyAlignment="1">
      <alignment horizontal="center" vertical="center"/>
    </xf>
    <xf numFmtId="49" fontId="14" fillId="4" borderId="4" xfId="0" applyNumberFormat="1" applyFont="1" applyFill="1" applyBorder="1" applyAlignment="1">
      <alignment horizontal="center" vertical="center"/>
    </xf>
    <xf numFmtId="0" fontId="15" fillId="0" borderId="15" xfId="0" quotePrefix="1" applyFont="1" applyBorder="1" applyAlignment="1">
      <alignment horizontal="center" vertical="center"/>
    </xf>
    <xf numFmtId="49" fontId="15" fillId="0" borderId="15" xfId="0" quotePrefix="1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right" vertical="center"/>
    </xf>
    <xf numFmtId="3" fontId="7" fillId="0" borderId="15" xfId="0" applyNumberFormat="1" applyFont="1" applyBorder="1" applyAlignment="1">
      <alignment horizontal="center" vertical="center"/>
    </xf>
    <xf numFmtId="3" fontId="11" fillId="0" borderId="4" xfId="0" applyNumberFormat="1" applyFont="1" applyBorder="1" applyAlignment="1">
      <alignment vertical="center"/>
    </xf>
    <xf numFmtId="3" fontId="11" fillId="0" borderId="15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7" fillId="0" borderId="15" xfId="0" quotePrefix="1" applyNumberFormat="1" applyFont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49" fontId="11" fillId="0" borderId="15" xfId="0" quotePrefix="1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1" fontId="15" fillId="0" borderId="0" xfId="0" applyNumberFormat="1" applyFont="1" applyAlignment="1">
      <alignment horizontal="right" vertical="center"/>
    </xf>
    <xf numFmtId="0" fontId="21" fillId="14" borderId="15" xfId="0" applyFont="1" applyFill="1" applyBorder="1" applyAlignment="1">
      <alignment horizontal="center" vertical="center"/>
    </xf>
    <xf numFmtId="49" fontId="21" fillId="14" borderId="15" xfId="0" quotePrefix="1" applyNumberFormat="1" applyFont="1" applyFill="1" applyBorder="1" applyAlignment="1">
      <alignment horizontal="center" vertical="center"/>
    </xf>
    <xf numFmtId="49" fontId="12" fillId="0" borderId="4" xfId="0" quotePrefix="1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19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3" fontId="12" fillId="0" borderId="4" xfId="0" applyNumberFormat="1" applyFont="1" applyBorder="1" applyAlignment="1">
      <alignment horizontal="right" vertical="center"/>
    </xf>
    <xf numFmtId="3" fontId="19" fillId="0" borderId="4" xfId="0" applyNumberFormat="1" applyFont="1" applyBorder="1" applyAlignment="1">
      <alignment vertical="center"/>
    </xf>
    <xf numFmtId="3" fontId="19" fillId="0" borderId="4" xfId="0" applyNumberFormat="1" applyFont="1" applyBorder="1" applyAlignment="1">
      <alignment horizontal="right" vertical="center"/>
    </xf>
    <xf numFmtId="3" fontId="19" fillId="0" borderId="4" xfId="0" applyNumberFormat="1" applyFont="1" applyBorder="1" applyAlignment="1">
      <alignment horizontal="center" vertical="center"/>
    </xf>
    <xf numFmtId="10" fontId="19" fillId="0" borderId="4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12" fillId="0" borderId="4" xfId="0" quotePrefix="1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9" fillId="0" borderId="4" xfId="0" applyFont="1" applyBorder="1" applyAlignment="1">
      <alignment horizontal="center"/>
    </xf>
    <xf numFmtId="49" fontId="11" fillId="0" borderId="4" xfId="0" quotePrefix="1" applyNumberFormat="1" applyFont="1" applyBorder="1" applyAlignment="1">
      <alignment horizontal="center" vertical="center"/>
    </xf>
    <xf numFmtId="3" fontId="24" fillId="0" borderId="4" xfId="0" applyNumberFormat="1" applyFont="1" applyBorder="1" applyAlignment="1">
      <alignment horizontal="center" vertical="center"/>
    </xf>
    <xf numFmtId="3" fontId="24" fillId="0" borderId="4" xfId="0" applyNumberFormat="1" applyFont="1" applyBorder="1" applyAlignment="1">
      <alignment horizontal="right" vertical="center"/>
    </xf>
    <xf numFmtId="166" fontId="15" fillId="0" borderId="15" xfId="0" applyNumberFormat="1" applyFont="1" applyBorder="1" applyAlignment="1">
      <alignment horizontal="right" vertical="center"/>
    </xf>
    <xf numFmtId="166" fontId="5" fillId="0" borderId="4" xfId="0" applyNumberFormat="1" applyFont="1" applyBorder="1" applyAlignment="1">
      <alignment vertical="center"/>
    </xf>
    <xf numFmtId="166" fontId="14" fillId="0" borderId="15" xfId="0" applyNumberFormat="1" applyFont="1" applyBorder="1" applyAlignment="1">
      <alignment horizontal="right" vertical="center"/>
    </xf>
    <xf numFmtId="167" fontId="14" fillId="0" borderId="15" xfId="0" applyNumberFormat="1" applyFont="1" applyBorder="1" applyAlignment="1">
      <alignment horizontal="right" vertical="center"/>
    </xf>
    <xf numFmtId="168" fontId="16" fillId="0" borderId="15" xfId="0" applyNumberFormat="1" applyFont="1" applyBorder="1" applyAlignment="1">
      <alignment horizontal="right" vertical="center"/>
    </xf>
    <xf numFmtId="167" fontId="16" fillId="0" borderId="15" xfId="0" applyNumberFormat="1" applyFont="1" applyBorder="1" applyAlignment="1">
      <alignment horizontal="right" vertical="center"/>
    </xf>
    <xf numFmtId="166" fontId="16" fillId="0" borderId="15" xfId="0" applyNumberFormat="1" applyFont="1" applyBorder="1" applyAlignment="1">
      <alignment horizontal="right" vertical="center"/>
    </xf>
    <xf numFmtId="167" fontId="15" fillId="0" borderId="15" xfId="0" applyNumberFormat="1" applyFont="1" applyBorder="1" applyAlignment="1">
      <alignment horizontal="right" vertical="center"/>
    </xf>
    <xf numFmtId="166" fontId="14" fillId="0" borderId="15" xfId="0" applyNumberFormat="1" applyFont="1" applyBorder="1" applyAlignment="1">
      <alignment vertical="center"/>
    </xf>
    <xf numFmtId="167" fontId="17" fillId="0" borderId="15" xfId="0" applyNumberFormat="1" applyFont="1" applyBorder="1" applyAlignment="1">
      <alignment horizontal="right" vertical="center"/>
    </xf>
    <xf numFmtId="167" fontId="16" fillId="0" borderId="15" xfId="0" applyNumberFormat="1" applyFont="1" applyBorder="1" applyAlignment="1">
      <alignment vertical="center"/>
    </xf>
    <xf numFmtId="166" fontId="16" fillId="0" borderId="15" xfId="0" applyNumberFormat="1" applyFont="1" applyBorder="1" applyAlignment="1">
      <alignment vertical="center"/>
    </xf>
    <xf numFmtId="49" fontId="12" fillId="0" borderId="3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166" fontId="15" fillId="0" borderId="15" xfId="0" applyNumberFormat="1" applyFont="1" applyBorder="1" applyAlignment="1">
      <alignment vertical="center"/>
    </xf>
    <xf numFmtId="166" fontId="17" fillId="0" borderId="4" xfId="0" applyNumberFormat="1" applyFont="1" applyBorder="1" applyAlignment="1">
      <alignment horizontal="right" vertical="center"/>
    </xf>
    <xf numFmtId="167" fontId="17" fillId="0" borderId="4" xfId="0" applyNumberFormat="1" applyFont="1" applyBorder="1" applyAlignment="1">
      <alignment horizontal="right" vertical="center"/>
    </xf>
    <xf numFmtId="166" fontId="17" fillId="0" borderId="15" xfId="0" applyNumberFormat="1" applyFont="1" applyBorder="1" applyAlignment="1">
      <alignment horizontal="right" vertical="center"/>
    </xf>
    <xf numFmtId="3" fontId="2" fillId="2" borderId="0" xfId="0" applyNumberFormat="1" applyFont="1" applyFill="1" applyAlignment="1">
      <alignment horizontal="center" vertical="center"/>
    </xf>
    <xf numFmtId="3" fontId="2" fillId="8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3" fontId="10" fillId="0" borderId="0" xfId="0" applyNumberFormat="1" applyFont="1" applyAlignment="1">
      <alignment horizontal="right" vertical="center"/>
    </xf>
    <xf numFmtId="3" fontId="1" fillId="8" borderId="0" xfId="0" applyNumberFormat="1" applyFont="1" applyFill="1" applyAlignment="1">
      <alignment horizontal="center" vertical="center"/>
    </xf>
    <xf numFmtId="3" fontId="1" fillId="0" borderId="3" xfId="0" applyNumberFormat="1" applyFont="1" applyBorder="1" applyAlignment="1">
      <alignment vertical="center"/>
    </xf>
    <xf numFmtId="3" fontId="1" fillId="0" borderId="0" xfId="0" applyNumberFormat="1" applyFont="1" applyAlignment="1">
      <alignment horizontal="right" vertical="center"/>
    </xf>
    <xf numFmtId="0" fontId="8" fillId="6" borderId="1" xfId="0" applyFont="1" applyFill="1" applyBorder="1" applyAlignment="1">
      <alignment vertical="center"/>
    </xf>
    <xf numFmtId="3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horizontal="right" vertical="center"/>
    </xf>
    <xf numFmtId="3" fontId="8" fillId="6" borderId="3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3" fontId="1" fillId="3" borderId="0" xfId="0" applyNumberFormat="1" applyFont="1" applyFill="1" applyAlignment="1">
      <alignment vertical="center"/>
    </xf>
    <xf numFmtId="3" fontId="10" fillId="3" borderId="0" xfId="0" applyNumberFormat="1" applyFont="1" applyFill="1" applyAlignment="1">
      <alignment horizontal="right" vertical="center"/>
    </xf>
    <xf numFmtId="3" fontId="1" fillId="3" borderId="3" xfId="0" applyNumberFormat="1" applyFont="1" applyFill="1" applyBorder="1" applyAlignment="1">
      <alignment vertical="center"/>
    </xf>
    <xf numFmtId="3" fontId="1" fillId="4" borderId="0" xfId="0" applyNumberFormat="1" applyFont="1" applyFill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1" fillId="5" borderId="0" xfId="0" applyNumberFormat="1" applyFont="1" applyFill="1" applyAlignment="1">
      <alignment vertical="center"/>
    </xf>
    <xf numFmtId="3" fontId="1" fillId="11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horizontal="center" vertical="center"/>
    </xf>
    <xf numFmtId="3" fontId="1" fillId="12" borderId="0" xfId="0" applyNumberFormat="1" applyFont="1" applyFill="1" applyAlignment="1">
      <alignment vertical="center"/>
    </xf>
    <xf numFmtId="3" fontId="1" fillId="6" borderId="0" xfId="0" applyNumberFormat="1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166" fontId="1" fillId="0" borderId="4" xfId="0" applyNumberFormat="1" applyFont="1" applyBorder="1" applyAlignment="1">
      <alignment vertical="center"/>
    </xf>
    <xf numFmtId="166" fontId="2" fillId="0" borderId="4" xfId="0" applyNumberFormat="1" applyFont="1" applyBorder="1" applyAlignment="1">
      <alignment vertical="center"/>
    </xf>
    <xf numFmtId="0" fontId="18" fillId="13" borderId="0" xfId="0" applyFont="1" applyFill="1" applyAlignment="1">
      <alignment horizontal="center" vertical="center"/>
    </xf>
    <xf numFmtId="0" fontId="11" fillId="5" borderId="4" xfId="0" applyFont="1" applyFill="1" applyBorder="1" applyAlignment="1">
      <alignment vertical="center"/>
    </xf>
    <xf numFmtId="49" fontId="12" fillId="0" borderId="15" xfId="0" applyNumberFormat="1" applyFont="1" applyBorder="1" applyAlignment="1">
      <alignment horizontal="center" vertical="center"/>
    </xf>
    <xf numFmtId="0" fontId="11" fillId="0" borderId="4" xfId="0" quotePrefix="1" applyFont="1" applyBorder="1" applyAlignment="1">
      <alignment horizontal="center"/>
    </xf>
    <xf numFmtId="0" fontId="11" fillId="4" borderId="4" xfId="0" applyFont="1" applyFill="1" applyBorder="1"/>
    <xf numFmtId="0" fontId="9" fillId="0" borderId="15" xfId="0" applyFont="1" applyBorder="1" applyAlignment="1">
      <alignment horizontal="center"/>
    </xf>
    <xf numFmtId="4" fontId="1" fillId="0" borderId="4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0" fontId="11" fillId="0" borderId="4" xfId="0" applyFont="1" applyBorder="1"/>
    <xf numFmtId="0" fontId="9" fillId="0" borderId="4" xfId="0" applyFont="1" applyBorder="1" applyAlignment="1">
      <alignment vertical="center"/>
    </xf>
    <xf numFmtId="3" fontId="25" fillId="0" borderId="4" xfId="0" applyNumberFormat="1" applyFont="1" applyBorder="1" applyAlignment="1">
      <alignment horizontal="right" vertical="center"/>
    </xf>
    <xf numFmtId="3" fontId="27" fillId="0" borderId="4" xfId="0" applyNumberFormat="1" applyFont="1" applyBorder="1" applyAlignment="1">
      <alignment horizontal="center" vertical="center"/>
    </xf>
    <xf numFmtId="166" fontId="14" fillId="0" borderId="15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3" fontId="15" fillId="3" borderId="0" xfId="0" applyNumberFormat="1" applyFont="1" applyFill="1" applyAlignment="1">
      <alignment vertical="center"/>
    </xf>
    <xf numFmtId="3" fontId="14" fillId="3" borderId="0" xfId="0" applyNumberFormat="1" applyFont="1" applyFill="1" applyAlignment="1">
      <alignment horizontal="center" vertical="center"/>
    </xf>
    <xf numFmtId="0" fontId="26" fillId="0" borderId="14" xfId="0" applyFont="1" applyBorder="1"/>
    <xf numFmtId="0" fontId="15" fillId="15" borderId="7" xfId="0" applyFont="1" applyFill="1" applyBorder="1" applyAlignment="1">
      <alignment horizontal="center" vertical="center"/>
    </xf>
    <xf numFmtId="49" fontId="15" fillId="15" borderId="4" xfId="0" applyNumberFormat="1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left" vertical="center"/>
    </xf>
    <xf numFmtId="0" fontId="14" fillId="15" borderId="15" xfId="0" applyFont="1" applyFill="1" applyBorder="1" applyAlignment="1">
      <alignment horizontal="center" vertical="center"/>
    </xf>
    <xf numFmtId="49" fontId="14" fillId="15" borderId="15" xfId="0" applyNumberFormat="1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vertical="center"/>
    </xf>
    <xf numFmtId="3" fontId="14" fillId="15" borderId="15" xfId="0" applyNumberFormat="1" applyFont="1" applyFill="1" applyBorder="1" applyAlignment="1">
      <alignment horizontal="right" vertical="center"/>
    </xf>
    <xf numFmtId="3" fontId="15" fillId="15" borderId="4" xfId="0" applyNumberFormat="1" applyFont="1" applyFill="1" applyBorder="1" applyAlignment="1">
      <alignment horizontal="right" vertical="center"/>
    </xf>
    <xf numFmtId="3" fontId="15" fillId="15" borderId="15" xfId="0" applyNumberFormat="1" applyFont="1" applyFill="1" applyBorder="1" applyAlignment="1">
      <alignment horizontal="center" vertical="center"/>
    </xf>
    <xf numFmtId="3" fontId="14" fillId="15" borderId="15" xfId="0" applyNumberFormat="1" applyFont="1" applyFill="1" applyBorder="1" applyAlignment="1">
      <alignment horizontal="center" vertical="center"/>
    </xf>
    <xf numFmtId="3" fontId="14" fillId="15" borderId="15" xfId="0" applyNumberFormat="1" applyFont="1" applyFill="1" applyBorder="1" applyAlignment="1">
      <alignment vertical="center"/>
    </xf>
    <xf numFmtId="3" fontId="15" fillId="15" borderId="15" xfId="0" applyNumberFormat="1" applyFont="1" applyFill="1" applyBorder="1" applyAlignment="1">
      <alignment horizontal="right" vertical="center"/>
    </xf>
    <xf numFmtId="3" fontId="5" fillId="15" borderId="4" xfId="0" applyNumberFormat="1" applyFont="1" applyFill="1" applyBorder="1" applyAlignment="1">
      <alignment vertical="center"/>
    </xf>
    <xf numFmtId="3" fontId="14" fillId="15" borderId="0" xfId="0" applyNumberFormat="1" applyFont="1" applyFill="1" applyAlignment="1">
      <alignment vertical="center"/>
    </xf>
    <xf numFmtId="3" fontId="14" fillId="15" borderId="7" xfId="0" applyNumberFormat="1" applyFont="1" applyFill="1" applyBorder="1" applyAlignment="1">
      <alignment horizontal="center" vertical="center"/>
    </xf>
    <xf numFmtId="49" fontId="15" fillId="15" borderId="15" xfId="0" applyNumberFormat="1" applyFont="1" applyFill="1" applyBorder="1" applyAlignment="1">
      <alignment horizontal="center" vertical="center"/>
    </xf>
    <xf numFmtId="0" fontId="14" fillId="15" borderId="15" xfId="0" applyFont="1" applyFill="1" applyBorder="1" applyAlignment="1">
      <alignment vertical="center"/>
    </xf>
    <xf numFmtId="0" fontId="15" fillId="15" borderId="15" xfId="0" applyFont="1" applyFill="1" applyBorder="1" applyAlignment="1">
      <alignment horizontal="center" vertical="center"/>
    </xf>
    <xf numFmtId="0" fontId="15" fillId="15" borderId="15" xfId="0" applyFont="1" applyFill="1" applyBorder="1" applyAlignment="1">
      <alignment vertical="center"/>
    </xf>
    <xf numFmtId="3" fontId="6" fillId="15" borderId="4" xfId="0" applyNumberFormat="1" applyFont="1" applyFill="1" applyBorder="1" applyAlignment="1">
      <alignment vertical="center"/>
    </xf>
    <xf numFmtId="49" fontId="7" fillId="15" borderId="4" xfId="0" applyNumberFormat="1" applyFont="1" applyFill="1" applyBorder="1" applyAlignment="1">
      <alignment horizontal="center" vertical="center"/>
    </xf>
    <xf numFmtId="3" fontId="14" fillId="15" borderId="4" xfId="0" applyNumberFormat="1" applyFont="1" applyFill="1" applyBorder="1" applyAlignment="1">
      <alignment horizontal="right" vertical="center"/>
    </xf>
    <xf numFmtId="10" fontId="14" fillId="15" borderId="15" xfId="0" applyNumberFormat="1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center" vertical="center"/>
    </xf>
    <xf numFmtId="49" fontId="7" fillId="0" borderId="12" xfId="0" quotePrefix="1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10" fontId="14" fillId="0" borderId="4" xfId="0" applyNumberFormat="1" applyFont="1" applyBorder="1" applyAlignment="1">
      <alignment horizontal="center" vertical="center"/>
    </xf>
    <xf numFmtId="0" fontId="11" fillId="0" borderId="4" xfId="0" quotePrefix="1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3" fontId="10" fillId="0" borderId="4" xfId="0" applyNumberFormat="1" applyFont="1" applyBorder="1" applyAlignment="1">
      <alignment vertical="center"/>
    </xf>
    <xf numFmtId="3" fontId="25" fillId="0" borderId="4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2" fillId="2" borderId="5" xfId="0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2" fillId="0" borderId="1" xfId="0" applyFont="1" applyBorder="1" applyAlignment="1">
      <alignment horizontal="center" vertical="center"/>
    </xf>
    <xf numFmtId="3" fontId="2" fillId="7" borderId="5" xfId="0" applyNumberFormat="1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3" fillId="0" borderId="15" xfId="0" applyFont="1" applyBorder="1"/>
    <xf numFmtId="0" fontId="0" fillId="0" borderId="0" xfId="0"/>
    <xf numFmtId="0" fontId="3" fillId="0" borderId="14" xfId="0" applyFont="1" applyBorder="1"/>
    <xf numFmtId="3" fontId="16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3" fontId="17" fillId="7" borderId="5" xfId="0" applyNumberFormat="1" applyFont="1" applyFill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3" fontId="16" fillId="2" borderId="2" xfId="0" applyNumberFormat="1" applyFont="1" applyFill="1" applyBorder="1" applyAlignment="1">
      <alignment horizontal="center" vertical="center"/>
    </xf>
    <xf numFmtId="3" fontId="16" fillId="3" borderId="2" xfId="0" applyNumberFormat="1" applyFont="1" applyFill="1" applyBorder="1" applyAlignment="1">
      <alignment horizontal="center" vertical="center"/>
    </xf>
    <xf numFmtId="3" fontId="16" fillId="2" borderId="6" xfId="0" applyNumberFormat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3" fontId="16" fillId="0" borderId="5" xfId="0" applyNumberFormat="1" applyFont="1" applyBorder="1" applyAlignment="1">
      <alignment horizontal="center" vertical="center"/>
    </xf>
    <xf numFmtId="3" fontId="16" fillId="7" borderId="5" xfId="0" applyNumberFormat="1" applyFont="1" applyFill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3" fontId="17" fillId="3" borderId="2" xfId="0" applyNumberFormat="1" applyFont="1" applyFill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3" fontId="17" fillId="2" borderId="6" xfId="0" applyNumberFormat="1" applyFont="1" applyFill="1" applyBorder="1" applyAlignment="1">
      <alignment horizontal="center" vertical="center"/>
    </xf>
    <xf numFmtId="3" fontId="17" fillId="2" borderId="2" xfId="0" applyNumberFormat="1" applyFont="1" applyFill="1" applyBorder="1" applyAlignment="1">
      <alignment horizontal="center" vertical="center"/>
    </xf>
    <xf numFmtId="49" fontId="17" fillId="2" borderId="5" xfId="0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49" fontId="17" fillId="0" borderId="6" xfId="0" applyNumberFormat="1" applyFont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center" vertical="center"/>
    </xf>
    <xf numFmtId="3" fontId="17" fillId="0" borderId="14" xfId="0" applyNumberFormat="1" applyFont="1" applyBorder="1" applyAlignment="1">
      <alignment vertical="center"/>
    </xf>
    <xf numFmtId="0" fontId="3" fillId="0" borderId="17" xfId="0" applyFont="1" applyBorder="1"/>
    <xf numFmtId="3" fontId="2" fillId="0" borderId="0" xfId="0" applyNumberFormat="1" applyFont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tc={037737C9-4064-445E-B906-EDE4DA38360F}" id="{3abe0323-8ad8-4377-aa63-d61217db05b9}" providerId="google-sheets"/>
  <x18tc:person displayName="" id="{b10607a2-2c07-42f7-8ec2-fdb7607436a7}" providerId="google-sheets"/>
  <x18tc:person displayName="Hasto Priambodo" id="{256b08ca-b5c9-448c-837b-df48a54907cc}" providerId="google-sheets"/>
  <x18tc:person displayName="Kevin" id="{35af9534-5587-4046-9aa5-72d5633643b7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1-11T09:02:59.00" personId="{256b08ca-b5c9-448c-837b-df48a54907cc}" id="{7633c427-8360-45d5-8cb4-3a07146b9697}" done="0">
    <x18tc:text xml:space="preserve">ARIEF POTONGANNYA UNTUK YANG MANA ?
1. GP INFO DIA SUDAH LUNAS
2. SERAGAM SISA 5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showGridLines="0" workbookViewId="0"/>
  </sheetViews>
  <sheetFormatPr baseColWidth="10" defaultColWidth="14.3984375" defaultRowHeight="15" customHeight="1"/>
  <cols>
    <col min="1" max="1" width="2.59765625" customWidth="1"/>
    <col min="2" max="4" width="13.59765625" customWidth="1"/>
    <col min="5" max="5" width="2.59765625" customWidth="1"/>
    <col min="6" max="8" width="13.59765625" customWidth="1"/>
    <col min="9" max="9" width="2.59765625" customWidth="1"/>
    <col min="10" max="12" width="13.59765625" customWidth="1"/>
    <col min="13" max="13" width="2.59765625" customWidth="1"/>
    <col min="14" max="16" width="13.59765625" customWidth="1"/>
    <col min="17" max="17" width="2.796875" customWidth="1"/>
    <col min="18" max="19" width="13.59765625" customWidth="1"/>
    <col min="20" max="26" width="13.796875" customWidth="1"/>
  </cols>
  <sheetData>
    <row r="1" spans="1:19" ht="15" customHeight="1">
      <c r="B1" s="1"/>
      <c r="C1" s="1"/>
      <c r="D1" s="2"/>
      <c r="F1" s="1"/>
      <c r="G1" s="1"/>
      <c r="H1" s="2"/>
      <c r="J1" s="1"/>
      <c r="K1" s="1"/>
      <c r="L1" s="2"/>
      <c r="N1" s="1"/>
      <c r="O1" s="1"/>
      <c r="P1" s="2"/>
    </row>
    <row r="2" spans="1:19" ht="15" customHeight="1">
      <c r="B2" s="409" t="s">
        <v>0</v>
      </c>
      <c r="C2" s="410"/>
      <c r="D2" s="411"/>
      <c r="F2" s="409" t="s">
        <v>1</v>
      </c>
      <c r="G2" s="410"/>
      <c r="H2" s="411"/>
      <c r="J2" s="409" t="s">
        <v>2</v>
      </c>
      <c r="K2" s="410"/>
      <c r="L2" s="411"/>
      <c r="N2" s="409" t="s">
        <v>3</v>
      </c>
      <c r="O2" s="410"/>
      <c r="P2" s="411"/>
      <c r="R2" s="3" t="s">
        <v>4</v>
      </c>
      <c r="S2" s="3" t="s">
        <v>5</v>
      </c>
    </row>
    <row r="3" spans="1:19" ht="15" customHeight="1">
      <c r="B3" s="409" t="s">
        <v>6</v>
      </c>
      <c r="C3" s="410"/>
      <c r="D3" s="411"/>
      <c r="F3" s="409" t="s">
        <v>7</v>
      </c>
      <c r="G3" s="410"/>
      <c r="H3" s="411"/>
      <c r="J3" s="409" t="s">
        <v>8</v>
      </c>
      <c r="K3" s="410"/>
      <c r="L3" s="411"/>
      <c r="N3" s="409"/>
      <c r="O3" s="410"/>
      <c r="P3" s="411"/>
      <c r="R3" s="4" t="s">
        <v>9</v>
      </c>
      <c r="S3" s="4" t="s">
        <v>10</v>
      </c>
    </row>
    <row r="4" spans="1:19" ht="15" customHeight="1">
      <c r="B4" s="5">
        <v>0</v>
      </c>
      <c r="C4" s="5">
        <v>5400000</v>
      </c>
      <c r="D4" s="6">
        <v>0</v>
      </c>
      <c r="F4" s="5">
        <v>0</v>
      </c>
      <c r="G4" s="5">
        <v>6200000</v>
      </c>
      <c r="H4" s="6">
        <v>0</v>
      </c>
      <c r="J4" s="5">
        <v>0</v>
      </c>
      <c r="K4" s="5">
        <v>6600000</v>
      </c>
      <c r="L4" s="6">
        <v>0</v>
      </c>
      <c r="N4" s="5" t="s">
        <v>11</v>
      </c>
      <c r="O4" s="5">
        <v>450000</v>
      </c>
      <c r="P4" s="6">
        <v>0</v>
      </c>
      <c r="R4" s="4" t="s">
        <v>12</v>
      </c>
      <c r="S4" s="4" t="s">
        <v>10</v>
      </c>
    </row>
    <row r="5" spans="1:19" ht="15" customHeight="1">
      <c r="B5" s="5">
        <v>5400001</v>
      </c>
      <c r="C5" s="5">
        <v>5650000</v>
      </c>
      <c r="D5" s="6">
        <v>2.5000000000000001E-3</v>
      </c>
      <c r="F5" s="5">
        <v>6200001</v>
      </c>
      <c r="G5" s="5">
        <v>6500000</v>
      </c>
      <c r="H5" s="6">
        <v>2.5000000000000001E-3</v>
      </c>
      <c r="J5" s="5">
        <v>6600001</v>
      </c>
      <c r="K5" s="5">
        <v>6950000</v>
      </c>
      <c r="L5" s="6">
        <v>2.5000000000000001E-3</v>
      </c>
      <c r="N5" s="5">
        <v>450001</v>
      </c>
      <c r="O5" s="5">
        <v>2500000</v>
      </c>
      <c r="P5" s="6">
        <v>5.0000000000000001E-3</v>
      </c>
      <c r="R5" s="4" t="s">
        <v>13</v>
      </c>
      <c r="S5" s="4" t="s">
        <v>10</v>
      </c>
    </row>
    <row r="6" spans="1:19" ht="15" customHeight="1">
      <c r="B6" s="5">
        <v>5650001</v>
      </c>
      <c r="C6" s="5">
        <v>5950000</v>
      </c>
      <c r="D6" s="6">
        <v>5.0000000000000001E-3</v>
      </c>
      <c r="F6" s="5">
        <v>6500001</v>
      </c>
      <c r="G6" s="5">
        <v>6850000</v>
      </c>
      <c r="H6" s="6">
        <v>5.0000000000000001E-3</v>
      </c>
      <c r="J6" s="5">
        <v>6950001</v>
      </c>
      <c r="K6" s="5">
        <v>7350000</v>
      </c>
      <c r="L6" s="6">
        <v>5.0000000000000001E-3</v>
      </c>
      <c r="N6" s="5"/>
      <c r="O6" s="5"/>
      <c r="P6" s="6"/>
      <c r="R6" s="4" t="s">
        <v>14</v>
      </c>
      <c r="S6" s="4" t="s">
        <v>15</v>
      </c>
    </row>
    <row r="7" spans="1:19" ht="15" customHeight="1">
      <c r="B7" s="5">
        <v>5950001</v>
      </c>
      <c r="C7" s="5">
        <v>6300000</v>
      </c>
      <c r="D7" s="6">
        <v>7.4999999999999997E-3</v>
      </c>
      <c r="F7" s="5">
        <v>6850001</v>
      </c>
      <c r="G7" s="5">
        <v>7300000</v>
      </c>
      <c r="H7" s="6">
        <v>7.4999999999999997E-3</v>
      </c>
      <c r="J7" s="5">
        <v>7350001</v>
      </c>
      <c r="K7" s="5">
        <v>7800000</v>
      </c>
      <c r="L7" s="6">
        <v>7.4999999999999997E-3</v>
      </c>
      <c r="N7" s="5"/>
      <c r="O7" s="5"/>
      <c r="P7" s="6"/>
      <c r="R7" s="4" t="s">
        <v>16</v>
      </c>
      <c r="S7" s="4" t="s">
        <v>15</v>
      </c>
    </row>
    <row r="8" spans="1:19" ht="15" customHeight="1">
      <c r="B8" s="5">
        <v>6300001</v>
      </c>
      <c r="C8" s="5">
        <v>6750000</v>
      </c>
      <c r="D8" s="6">
        <v>0.01</v>
      </c>
      <c r="F8" s="5">
        <v>7300001</v>
      </c>
      <c r="G8" s="5">
        <v>9200000</v>
      </c>
      <c r="H8" s="6">
        <v>0.01</v>
      </c>
      <c r="J8" s="5">
        <v>7800001</v>
      </c>
      <c r="K8" s="5">
        <v>8850000</v>
      </c>
      <c r="L8" s="6">
        <v>0.01</v>
      </c>
      <c r="N8" s="5"/>
      <c r="O8" s="5"/>
      <c r="P8" s="6"/>
      <c r="R8" s="4" t="s">
        <v>17</v>
      </c>
      <c r="S8" s="4" t="s">
        <v>15</v>
      </c>
    </row>
    <row r="9" spans="1:19" ht="15" customHeight="1">
      <c r="B9" s="5">
        <v>6750001</v>
      </c>
      <c r="C9" s="5">
        <v>7500000</v>
      </c>
      <c r="D9" s="6">
        <v>1.2500000000000001E-2</v>
      </c>
      <c r="F9" s="5">
        <v>9200001</v>
      </c>
      <c r="G9" s="5">
        <v>10750000</v>
      </c>
      <c r="H9" s="6">
        <v>1.4999999999999999E-2</v>
      </c>
      <c r="J9" s="5">
        <v>8850001</v>
      </c>
      <c r="K9" s="5">
        <v>9800000</v>
      </c>
      <c r="L9" s="6">
        <v>1.2500000000000001E-2</v>
      </c>
      <c r="N9" s="5"/>
      <c r="O9" s="5"/>
      <c r="P9" s="6"/>
      <c r="R9" s="4" t="s">
        <v>18</v>
      </c>
      <c r="S9" s="4" t="s">
        <v>15</v>
      </c>
    </row>
    <row r="10" spans="1:19" ht="15" customHeight="1">
      <c r="B10" s="5">
        <v>7500001</v>
      </c>
      <c r="C10" s="5">
        <v>8550000</v>
      </c>
      <c r="D10" s="6">
        <v>1.4999999999999999E-2</v>
      </c>
      <c r="F10" s="5">
        <v>10750001</v>
      </c>
      <c r="G10" s="5">
        <v>11250000</v>
      </c>
      <c r="H10" s="6">
        <v>0.02</v>
      </c>
      <c r="J10" s="5">
        <v>9800001</v>
      </c>
      <c r="K10" s="5">
        <v>10950000</v>
      </c>
      <c r="L10" s="6">
        <v>1.4999999999999999E-2</v>
      </c>
      <c r="N10" s="5"/>
      <c r="O10" s="5"/>
      <c r="P10" s="6"/>
      <c r="R10" s="4" t="s">
        <v>8</v>
      </c>
      <c r="S10" s="4" t="s">
        <v>19</v>
      </c>
    </row>
    <row r="11" spans="1:19" ht="15" customHeight="1">
      <c r="B11" s="5">
        <v>8550001</v>
      </c>
      <c r="C11" s="5">
        <v>9650000</v>
      </c>
      <c r="D11" s="6">
        <v>1.7500000000000002E-2</v>
      </c>
      <c r="F11" s="5">
        <v>11250001</v>
      </c>
      <c r="G11" s="5">
        <v>11600000</v>
      </c>
      <c r="H11" s="6">
        <v>2.5000000000000001E-2</v>
      </c>
      <c r="J11" s="5">
        <v>10950001</v>
      </c>
      <c r="K11" s="5">
        <v>11200000</v>
      </c>
      <c r="L11" s="6">
        <v>1.7500000000000002E-2</v>
      </c>
      <c r="N11" s="5"/>
      <c r="O11" s="5"/>
      <c r="P11" s="6"/>
    </row>
    <row r="12" spans="1:19" ht="15" customHeight="1">
      <c r="B12" s="5">
        <v>9650001</v>
      </c>
      <c r="C12" s="5">
        <v>10050000</v>
      </c>
      <c r="D12" s="6">
        <v>0.02</v>
      </c>
      <c r="F12" s="5">
        <v>11600001</v>
      </c>
      <c r="G12" s="5">
        <v>12600000</v>
      </c>
      <c r="H12" s="6">
        <v>0.03</v>
      </c>
      <c r="J12" s="5">
        <v>11200001</v>
      </c>
      <c r="K12" s="5">
        <v>12050000</v>
      </c>
      <c r="L12" s="6">
        <v>0.02</v>
      </c>
      <c r="N12" s="5"/>
      <c r="O12" s="5"/>
      <c r="P12" s="6"/>
    </row>
    <row r="13" spans="1:19" ht="15" customHeight="1">
      <c r="B13" s="5">
        <v>10050001</v>
      </c>
      <c r="C13" s="5">
        <v>10350000</v>
      </c>
      <c r="D13" s="6">
        <v>2.2499999999999999E-2</v>
      </c>
      <c r="F13" s="5">
        <v>12600001</v>
      </c>
      <c r="G13" s="5">
        <v>13600000</v>
      </c>
      <c r="H13" s="6">
        <v>0.04</v>
      </c>
      <c r="J13" s="5">
        <v>12050001</v>
      </c>
      <c r="K13" s="5">
        <v>12950000</v>
      </c>
      <c r="L13" s="6">
        <v>0.03</v>
      </c>
      <c r="N13" s="5"/>
      <c r="O13" s="5"/>
      <c r="P13" s="6"/>
    </row>
    <row r="14" spans="1:19" ht="15" customHeight="1">
      <c r="B14" s="5">
        <v>10350001</v>
      </c>
      <c r="C14" s="5">
        <v>10700000</v>
      </c>
      <c r="D14" s="6">
        <v>2.5000000000000001E-2</v>
      </c>
      <c r="F14" s="5">
        <v>13600001</v>
      </c>
      <c r="G14" s="5">
        <v>14950000</v>
      </c>
      <c r="H14" s="6">
        <v>0.05</v>
      </c>
      <c r="J14" s="5">
        <v>12950001</v>
      </c>
      <c r="K14" s="5">
        <v>14150000</v>
      </c>
      <c r="L14" s="6">
        <v>0.04</v>
      </c>
      <c r="N14" s="5"/>
      <c r="O14" s="5"/>
      <c r="P14" s="6"/>
    </row>
    <row r="15" spans="1:19" ht="15" customHeight="1">
      <c r="B15" s="5">
        <v>10700001</v>
      </c>
      <c r="C15" s="5">
        <v>11050000</v>
      </c>
      <c r="D15" s="6">
        <v>0.03</v>
      </c>
      <c r="F15" s="5">
        <v>14950001</v>
      </c>
      <c r="G15" s="5">
        <v>16400000</v>
      </c>
      <c r="H15" s="6">
        <v>0.06</v>
      </c>
      <c r="J15" s="5">
        <v>14150001</v>
      </c>
      <c r="K15" s="5">
        <v>15550000</v>
      </c>
      <c r="L15" s="6">
        <v>0.05</v>
      </c>
      <c r="N15" s="5"/>
      <c r="O15" s="5"/>
      <c r="P15" s="6"/>
    </row>
    <row r="16" spans="1:19" ht="15" customHeight="1">
      <c r="B16" s="5">
        <v>11050001</v>
      </c>
      <c r="C16" s="5">
        <v>11600000</v>
      </c>
      <c r="D16" s="6">
        <v>3.5000000000000003E-2</v>
      </c>
      <c r="F16" s="5">
        <v>16400001</v>
      </c>
      <c r="G16" s="5">
        <v>18450000</v>
      </c>
      <c r="H16" s="6">
        <v>7.0000000000000007E-2</v>
      </c>
      <c r="J16" s="5">
        <v>15550001</v>
      </c>
      <c r="K16" s="5">
        <v>17050000</v>
      </c>
      <c r="L16" s="6">
        <v>0.06</v>
      </c>
      <c r="N16" s="5"/>
      <c r="O16" s="5"/>
      <c r="P16" s="6"/>
    </row>
    <row r="17" spans="2:16" ht="15" customHeight="1">
      <c r="B17" s="5">
        <v>11600001</v>
      </c>
      <c r="C17" s="5">
        <v>12500000</v>
      </c>
      <c r="D17" s="6">
        <v>0.04</v>
      </c>
      <c r="F17" s="5">
        <v>18450001</v>
      </c>
      <c r="G17" s="5">
        <v>21850000</v>
      </c>
      <c r="H17" s="6">
        <v>0.08</v>
      </c>
      <c r="J17" s="5">
        <v>17050001</v>
      </c>
      <c r="K17" s="5">
        <v>19500000</v>
      </c>
      <c r="L17" s="6">
        <v>7.0000000000000007E-2</v>
      </c>
      <c r="N17" s="5"/>
      <c r="O17" s="5"/>
      <c r="P17" s="6"/>
    </row>
    <row r="18" spans="2:16" ht="15" customHeight="1">
      <c r="B18" s="5">
        <v>12500001</v>
      </c>
      <c r="C18" s="5">
        <v>13750000</v>
      </c>
      <c r="D18" s="6">
        <v>0.05</v>
      </c>
      <c r="F18" s="5">
        <v>21850001</v>
      </c>
      <c r="G18" s="5">
        <v>26000000</v>
      </c>
      <c r="H18" s="6">
        <v>0.09</v>
      </c>
      <c r="J18" s="5">
        <v>19500001</v>
      </c>
      <c r="K18" s="5">
        <v>22700000</v>
      </c>
      <c r="L18" s="6">
        <v>0.08</v>
      </c>
      <c r="N18" s="5"/>
      <c r="O18" s="5"/>
      <c r="P18" s="6"/>
    </row>
    <row r="19" spans="2:16" ht="15" customHeight="1">
      <c r="B19" s="5">
        <v>13750001</v>
      </c>
      <c r="C19" s="5">
        <v>15100000</v>
      </c>
      <c r="D19" s="6">
        <v>0.06</v>
      </c>
      <c r="F19" s="5">
        <v>26000001</v>
      </c>
      <c r="G19" s="5">
        <v>27700000</v>
      </c>
      <c r="H19" s="6">
        <v>0.1</v>
      </c>
      <c r="J19" s="5">
        <v>22700001</v>
      </c>
      <c r="K19" s="5">
        <v>26600000</v>
      </c>
      <c r="L19" s="6">
        <v>0.09</v>
      </c>
      <c r="N19" s="5"/>
      <c r="O19" s="5"/>
      <c r="P19" s="6"/>
    </row>
    <row r="20" spans="2:16" ht="15" customHeight="1">
      <c r="B20" s="5">
        <v>15100001</v>
      </c>
      <c r="C20" s="5">
        <v>16950000</v>
      </c>
      <c r="D20" s="6">
        <v>7.0000000000000007E-2</v>
      </c>
      <c r="F20" s="5">
        <v>27700001</v>
      </c>
      <c r="G20" s="5">
        <v>29350000</v>
      </c>
      <c r="H20" s="6">
        <v>0.11</v>
      </c>
      <c r="J20" s="5">
        <v>26600001</v>
      </c>
      <c r="K20" s="5">
        <v>28100000</v>
      </c>
      <c r="L20" s="6">
        <v>0.1</v>
      </c>
      <c r="N20" s="5"/>
      <c r="O20" s="5"/>
      <c r="P20" s="6"/>
    </row>
    <row r="21" spans="2:16" ht="15" customHeight="1">
      <c r="B21" s="5">
        <v>16950001</v>
      </c>
      <c r="C21" s="5">
        <v>19750000</v>
      </c>
      <c r="D21" s="6">
        <v>0.08</v>
      </c>
      <c r="F21" s="5">
        <v>29350001</v>
      </c>
      <c r="G21" s="5">
        <v>31450000</v>
      </c>
      <c r="H21" s="6">
        <v>0.12</v>
      </c>
      <c r="J21" s="5">
        <v>28100001</v>
      </c>
      <c r="K21" s="5">
        <v>30100000</v>
      </c>
      <c r="L21" s="6">
        <v>0.11</v>
      </c>
      <c r="N21" s="5"/>
      <c r="O21" s="5"/>
      <c r="P21" s="6"/>
    </row>
    <row r="22" spans="2:16" ht="15" customHeight="1">
      <c r="B22" s="5">
        <v>19750001</v>
      </c>
      <c r="C22" s="5">
        <v>24150000</v>
      </c>
      <c r="D22" s="6">
        <v>0.09</v>
      </c>
      <c r="F22" s="5">
        <v>31450001</v>
      </c>
      <c r="G22" s="5">
        <v>33950000</v>
      </c>
      <c r="H22" s="6">
        <v>0.13</v>
      </c>
      <c r="J22" s="5">
        <v>30100001</v>
      </c>
      <c r="K22" s="5">
        <v>32600000</v>
      </c>
      <c r="L22" s="6">
        <v>0.12</v>
      </c>
      <c r="N22" s="5"/>
      <c r="O22" s="5"/>
      <c r="P22" s="6"/>
    </row>
    <row r="23" spans="2:16" ht="15" customHeight="1">
      <c r="B23" s="5">
        <v>24150001</v>
      </c>
      <c r="C23" s="5">
        <v>26450000</v>
      </c>
      <c r="D23" s="6">
        <v>0.1</v>
      </c>
      <c r="F23" s="5">
        <v>33950001</v>
      </c>
      <c r="G23" s="5">
        <v>37100000</v>
      </c>
      <c r="H23" s="6">
        <v>0.14000000000000001</v>
      </c>
      <c r="J23" s="5">
        <v>32600001</v>
      </c>
      <c r="K23" s="5">
        <v>35400000</v>
      </c>
      <c r="L23" s="6">
        <v>0.13</v>
      </c>
      <c r="N23" s="5"/>
      <c r="O23" s="5"/>
      <c r="P23" s="6"/>
    </row>
    <row r="24" spans="2:16" ht="15" customHeight="1">
      <c r="B24" s="5">
        <v>26450001</v>
      </c>
      <c r="C24" s="5">
        <v>28000000</v>
      </c>
      <c r="D24" s="6">
        <v>0.11</v>
      </c>
      <c r="F24" s="5">
        <v>37100001</v>
      </c>
      <c r="G24" s="5">
        <v>41100000</v>
      </c>
      <c r="H24" s="6">
        <v>0.15</v>
      </c>
      <c r="J24" s="5">
        <v>35400001</v>
      </c>
      <c r="K24" s="5">
        <v>38900000</v>
      </c>
      <c r="L24" s="6">
        <v>0.14000000000000001</v>
      </c>
      <c r="N24" s="5"/>
      <c r="O24" s="5"/>
      <c r="P24" s="6"/>
    </row>
    <row r="25" spans="2:16" ht="15" customHeight="1">
      <c r="B25" s="5">
        <v>28000001</v>
      </c>
      <c r="C25" s="5">
        <v>30050000</v>
      </c>
      <c r="D25" s="6">
        <v>0.12</v>
      </c>
      <c r="F25" s="5">
        <v>41100001</v>
      </c>
      <c r="G25" s="5">
        <v>45800000</v>
      </c>
      <c r="H25" s="6">
        <v>0.16</v>
      </c>
      <c r="J25" s="5">
        <v>38900001</v>
      </c>
      <c r="K25" s="5">
        <v>43000000</v>
      </c>
      <c r="L25" s="6">
        <v>0.15</v>
      </c>
      <c r="N25" s="5"/>
      <c r="O25" s="5"/>
      <c r="P25" s="6"/>
    </row>
    <row r="26" spans="2:16" ht="15" customHeight="1">
      <c r="B26" s="5">
        <v>30050001</v>
      </c>
      <c r="C26" s="5">
        <v>32400000</v>
      </c>
      <c r="D26" s="6">
        <v>0.13</v>
      </c>
      <c r="F26" s="5">
        <v>45800001</v>
      </c>
      <c r="G26" s="5">
        <v>49500000</v>
      </c>
      <c r="H26" s="6">
        <v>0.17</v>
      </c>
      <c r="J26" s="5">
        <v>43000001</v>
      </c>
      <c r="K26" s="5">
        <v>47400000</v>
      </c>
      <c r="L26" s="6">
        <v>0.16</v>
      </c>
      <c r="N26" s="5"/>
      <c r="O26" s="5"/>
      <c r="P26" s="6"/>
    </row>
    <row r="27" spans="2:16" ht="15" customHeight="1">
      <c r="B27" s="5">
        <v>32400001</v>
      </c>
      <c r="C27" s="5">
        <v>35400000</v>
      </c>
      <c r="D27" s="6">
        <v>0.14000000000000001</v>
      </c>
      <c r="F27" s="5">
        <v>49500001</v>
      </c>
      <c r="G27" s="5">
        <v>53800000</v>
      </c>
      <c r="H27" s="6">
        <v>0.18</v>
      </c>
      <c r="J27" s="5">
        <v>47400001</v>
      </c>
      <c r="K27" s="5">
        <v>51200000</v>
      </c>
      <c r="L27" s="6">
        <v>0.17</v>
      </c>
      <c r="N27" s="5"/>
      <c r="O27" s="5"/>
      <c r="P27" s="6"/>
    </row>
    <row r="28" spans="2:16" ht="15" customHeight="1">
      <c r="B28" s="5">
        <v>35400001</v>
      </c>
      <c r="C28" s="5">
        <v>39100000</v>
      </c>
      <c r="D28" s="6">
        <v>0.15</v>
      </c>
      <c r="F28" s="5">
        <v>53800001</v>
      </c>
      <c r="G28" s="5">
        <v>58500000</v>
      </c>
      <c r="H28" s="6">
        <v>0.19</v>
      </c>
      <c r="J28" s="5">
        <v>51200001</v>
      </c>
      <c r="K28" s="5">
        <v>55800000</v>
      </c>
      <c r="L28" s="6">
        <v>0.18</v>
      </c>
      <c r="N28" s="5"/>
      <c r="O28" s="5"/>
      <c r="P28" s="6"/>
    </row>
    <row r="29" spans="2:16" ht="15" customHeight="1">
      <c r="B29" s="5">
        <v>39100001</v>
      </c>
      <c r="C29" s="5">
        <v>43850000</v>
      </c>
      <c r="D29" s="6">
        <v>0.16</v>
      </c>
      <c r="F29" s="5">
        <v>58500001</v>
      </c>
      <c r="G29" s="5">
        <v>64000000</v>
      </c>
      <c r="H29" s="6">
        <v>0.2</v>
      </c>
      <c r="J29" s="5">
        <v>55800001</v>
      </c>
      <c r="K29" s="5">
        <v>60400000</v>
      </c>
      <c r="L29" s="6">
        <v>0.19</v>
      </c>
      <c r="N29" s="5"/>
      <c r="O29" s="5"/>
      <c r="P29" s="6"/>
    </row>
    <row r="30" spans="2:16" ht="15" customHeight="1">
      <c r="B30" s="5">
        <v>43850001</v>
      </c>
      <c r="C30" s="5">
        <v>47800000</v>
      </c>
      <c r="D30" s="6">
        <v>0.17</v>
      </c>
      <c r="F30" s="5">
        <v>64000001</v>
      </c>
      <c r="G30" s="5">
        <v>71000000</v>
      </c>
      <c r="H30" s="6">
        <v>0.21</v>
      </c>
      <c r="J30" s="5">
        <v>60400001</v>
      </c>
      <c r="K30" s="5">
        <v>66700000</v>
      </c>
      <c r="L30" s="6">
        <v>0.2</v>
      </c>
      <c r="N30" s="5"/>
      <c r="O30" s="5"/>
      <c r="P30" s="6"/>
    </row>
    <row r="31" spans="2:16" ht="15" customHeight="1">
      <c r="B31" s="5">
        <v>47800001</v>
      </c>
      <c r="C31" s="5">
        <v>51400000</v>
      </c>
      <c r="D31" s="6">
        <v>0.18</v>
      </c>
      <c r="F31" s="5">
        <v>71000001</v>
      </c>
      <c r="G31" s="5">
        <v>80000000</v>
      </c>
      <c r="H31" s="6">
        <v>0.22</v>
      </c>
      <c r="J31" s="5">
        <v>66700001</v>
      </c>
      <c r="K31" s="5">
        <v>74500000</v>
      </c>
      <c r="L31" s="6">
        <v>0.21</v>
      </c>
      <c r="N31" s="5"/>
      <c r="O31" s="5"/>
      <c r="P31" s="6"/>
    </row>
    <row r="32" spans="2:16" ht="15" customHeight="1">
      <c r="B32" s="5">
        <v>51400001</v>
      </c>
      <c r="C32" s="5">
        <v>56300000</v>
      </c>
      <c r="D32" s="6">
        <v>0.19</v>
      </c>
      <c r="F32" s="5">
        <v>80000001</v>
      </c>
      <c r="G32" s="5">
        <v>93000000</v>
      </c>
      <c r="H32" s="6">
        <v>0.23</v>
      </c>
      <c r="J32" s="5">
        <v>74500001</v>
      </c>
      <c r="K32" s="5">
        <v>83200000</v>
      </c>
      <c r="L32" s="6">
        <v>0.22</v>
      </c>
      <c r="N32" s="5"/>
      <c r="O32" s="5"/>
      <c r="P32" s="6"/>
    </row>
    <row r="33" spans="2:16" ht="15" customHeight="1">
      <c r="B33" s="5">
        <v>56300001</v>
      </c>
      <c r="C33" s="5">
        <v>62200000</v>
      </c>
      <c r="D33" s="6">
        <v>0.2</v>
      </c>
      <c r="F33" s="5">
        <v>93000001</v>
      </c>
      <c r="G33" s="5">
        <v>109000000</v>
      </c>
      <c r="H33" s="6">
        <v>0.24</v>
      </c>
      <c r="J33" s="5">
        <v>83200001</v>
      </c>
      <c r="K33" s="5">
        <v>95600000</v>
      </c>
      <c r="L33" s="6">
        <v>0.23</v>
      </c>
      <c r="N33" s="5"/>
      <c r="O33" s="5"/>
      <c r="P33" s="6"/>
    </row>
    <row r="34" spans="2:16" ht="15" customHeight="1">
      <c r="B34" s="5">
        <v>62200001</v>
      </c>
      <c r="C34" s="5">
        <v>68600000</v>
      </c>
      <c r="D34" s="6">
        <v>0.21</v>
      </c>
      <c r="F34" s="5">
        <v>109000001</v>
      </c>
      <c r="G34" s="5">
        <v>129000000</v>
      </c>
      <c r="H34" s="6">
        <v>0.25</v>
      </c>
      <c r="J34" s="5">
        <v>95600001</v>
      </c>
      <c r="K34" s="5">
        <v>110000000</v>
      </c>
      <c r="L34" s="6">
        <v>0.24</v>
      </c>
      <c r="N34" s="5"/>
      <c r="O34" s="5"/>
      <c r="P34" s="6"/>
    </row>
    <row r="35" spans="2:16" ht="15" customHeight="1">
      <c r="B35" s="5">
        <v>68600001</v>
      </c>
      <c r="C35" s="5">
        <v>77500000</v>
      </c>
      <c r="D35" s="6">
        <v>0.22</v>
      </c>
      <c r="F35" s="5">
        <v>129000001</v>
      </c>
      <c r="G35" s="5">
        <v>163000000</v>
      </c>
      <c r="H35" s="6">
        <v>0.26</v>
      </c>
      <c r="J35" s="5">
        <v>110000001</v>
      </c>
      <c r="K35" s="5">
        <v>134000000</v>
      </c>
      <c r="L35" s="6">
        <v>0.25</v>
      </c>
      <c r="N35" s="5"/>
      <c r="O35" s="5"/>
      <c r="P35" s="6"/>
    </row>
    <row r="36" spans="2:16" ht="15" customHeight="1">
      <c r="B36" s="5">
        <v>77500001</v>
      </c>
      <c r="C36" s="5">
        <v>89000000</v>
      </c>
      <c r="D36" s="6">
        <v>0.23</v>
      </c>
      <c r="F36" s="5">
        <v>163000001</v>
      </c>
      <c r="G36" s="5">
        <v>211000000</v>
      </c>
      <c r="H36" s="6">
        <v>0.27</v>
      </c>
      <c r="J36" s="5">
        <v>134000001</v>
      </c>
      <c r="K36" s="5">
        <v>169000000</v>
      </c>
      <c r="L36" s="6">
        <v>0.26</v>
      </c>
      <c r="N36" s="5"/>
      <c r="O36" s="5"/>
      <c r="P36" s="6"/>
    </row>
    <row r="37" spans="2:16" ht="15" customHeight="1">
      <c r="B37" s="5">
        <v>89000001</v>
      </c>
      <c r="C37" s="5">
        <v>103000000</v>
      </c>
      <c r="D37" s="6">
        <v>0.24</v>
      </c>
      <c r="F37" s="5">
        <v>211000001</v>
      </c>
      <c r="G37" s="5">
        <v>374000000</v>
      </c>
      <c r="H37" s="6">
        <v>0.28000000000000003</v>
      </c>
      <c r="J37" s="5">
        <v>169000001</v>
      </c>
      <c r="K37" s="5">
        <v>221000000</v>
      </c>
      <c r="L37" s="6">
        <v>0.27</v>
      </c>
      <c r="N37" s="5"/>
      <c r="O37" s="5"/>
      <c r="P37" s="6"/>
    </row>
    <row r="38" spans="2:16" ht="15" customHeight="1">
      <c r="B38" s="5">
        <v>103000001</v>
      </c>
      <c r="C38" s="5">
        <v>125000000</v>
      </c>
      <c r="D38" s="6">
        <v>0.25</v>
      </c>
      <c r="F38" s="5">
        <v>374000001</v>
      </c>
      <c r="G38" s="5">
        <v>459000000</v>
      </c>
      <c r="H38" s="6">
        <v>0.28999999999999998</v>
      </c>
      <c r="J38" s="5">
        <v>221000001</v>
      </c>
      <c r="K38" s="5">
        <v>390000000</v>
      </c>
      <c r="L38" s="6">
        <v>0.28000000000000003</v>
      </c>
      <c r="N38" s="5"/>
      <c r="O38" s="5"/>
      <c r="P38" s="6"/>
    </row>
    <row r="39" spans="2:16" ht="15.75" customHeight="1">
      <c r="B39" s="5">
        <v>125000001</v>
      </c>
      <c r="C39" s="5">
        <v>157000000</v>
      </c>
      <c r="D39" s="6">
        <v>0.26</v>
      </c>
      <c r="F39" s="5">
        <v>459000001</v>
      </c>
      <c r="G39" s="5">
        <v>555000000</v>
      </c>
      <c r="H39" s="6">
        <v>0.3</v>
      </c>
      <c r="J39" s="5">
        <v>390000001</v>
      </c>
      <c r="K39" s="5">
        <v>463000000</v>
      </c>
      <c r="L39" s="6">
        <v>0.28999999999999998</v>
      </c>
      <c r="N39" s="5"/>
      <c r="O39" s="5"/>
      <c r="P39" s="6"/>
    </row>
    <row r="40" spans="2:16" ht="15.75" customHeight="1">
      <c r="B40" s="5">
        <v>157000001</v>
      </c>
      <c r="C40" s="5">
        <v>206000000</v>
      </c>
      <c r="D40" s="6">
        <v>0.27</v>
      </c>
      <c r="F40" s="5">
        <v>555000001</v>
      </c>
      <c r="G40" s="5">
        <v>704000000</v>
      </c>
      <c r="H40" s="6">
        <v>0.31</v>
      </c>
      <c r="J40" s="5">
        <v>463000001</v>
      </c>
      <c r="K40" s="5">
        <v>561000000</v>
      </c>
      <c r="L40" s="6">
        <v>0.3</v>
      </c>
      <c r="N40" s="5"/>
      <c r="O40" s="5"/>
      <c r="P40" s="6"/>
    </row>
    <row r="41" spans="2:16" ht="15.75" customHeight="1">
      <c r="B41" s="5">
        <v>206000001</v>
      </c>
      <c r="C41" s="5">
        <v>337000000</v>
      </c>
      <c r="D41" s="6">
        <v>0.28000000000000003</v>
      </c>
      <c r="F41" s="5">
        <v>704000001</v>
      </c>
      <c r="G41" s="5">
        <v>957000000</v>
      </c>
      <c r="H41" s="6">
        <v>0.32</v>
      </c>
      <c r="J41" s="5">
        <v>561000001</v>
      </c>
      <c r="K41" s="5">
        <v>709000000</v>
      </c>
      <c r="L41" s="6">
        <v>0.31</v>
      </c>
      <c r="N41" s="5"/>
      <c r="O41" s="5"/>
      <c r="P41" s="6"/>
    </row>
    <row r="42" spans="2:16" ht="15.75" customHeight="1">
      <c r="B42" s="5">
        <v>337000001</v>
      </c>
      <c r="C42" s="5">
        <v>454000000</v>
      </c>
      <c r="D42" s="6">
        <v>0.28999999999999998</v>
      </c>
      <c r="F42" s="5">
        <v>957000001</v>
      </c>
      <c r="G42" s="5">
        <v>1405000000</v>
      </c>
      <c r="H42" s="6">
        <v>0.33</v>
      </c>
      <c r="J42" s="5">
        <v>709000001</v>
      </c>
      <c r="K42" s="5">
        <v>965000000</v>
      </c>
      <c r="L42" s="6">
        <v>0.32</v>
      </c>
      <c r="N42" s="5"/>
      <c r="O42" s="5"/>
      <c r="P42" s="6"/>
    </row>
    <row r="43" spans="2:16" ht="15.75" customHeight="1">
      <c r="B43" s="5">
        <v>454000001</v>
      </c>
      <c r="C43" s="5">
        <v>550000000</v>
      </c>
      <c r="D43" s="6">
        <v>0.3</v>
      </c>
      <c r="F43" s="5">
        <v>1405000001</v>
      </c>
      <c r="G43" s="5" t="s">
        <v>11</v>
      </c>
      <c r="H43" s="6">
        <v>0.34</v>
      </c>
      <c r="J43" s="5">
        <v>965000001</v>
      </c>
      <c r="K43" s="5">
        <v>1419000000</v>
      </c>
      <c r="L43" s="6">
        <v>0.33</v>
      </c>
      <c r="N43" s="5"/>
      <c r="O43" s="5"/>
      <c r="P43" s="6"/>
    </row>
    <row r="44" spans="2:16" ht="15.75" customHeight="1">
      <c r="B44" s="5">
        <v>550000001</v>
      </c>
      <c r="C44" s="5">
        <v>695000000</v>
      </c>
      <c r="D44" s="6">
        <v>0.31</v>
      </c>
      <c r="F44" s="5"/>
      <c r="G44" s="5"/>
      <c r="H44" s="6"/>
      <c r="J44" s="5">
        <v>1419000001</v>
      </c>
      <c r="K44" s="5" t="s">
        <v>11</v>
      </c>
      <c r="L44" s="6">
        <v>0.34</v>
      </c>
      <c r="N44" s="5"/>
      <c r="O44" s="5"/>
      <c r="P44" s="6"/>
    </row>
    <row r="45" spans="2:16" ht="15.75" customHeight="1">
      <c r="B45" s="5">
        <v>695000001</v>
      </c>
      <c r="C45" s="5">
        <v>910000000</v>
      </c>
      <c r="D45" s="6">
        <v>0.32</v>
      </c>
      <c r="F45" s="5"/>
      <c r="G45" s="5"/>
      <c r="H45" s="6"/>
      <c r="J45" s="5"/>
      <c r="K45" s="5"/>
      <c r="L45" s="6"/>
      <c r="N45" s="5"/>
      <c r="O45" s="5"/>
      <c r="P45" s="6"/>
    </row>
    <row r="46" spans="2:16" ht="15.75" customHeight="1">
      <c r="B46" s="5">
        <v>910000001</v>
      </c>
      <c r="C46" s="5">
        <v>1400000000</v>
      </c>
      <c r="D46" s="6">
        <v>0.33</v>
      </c>
      <c r="F46" s="5"/>
      <c r="G46" s="5"/>
      <c r="H46" s="6"/>
      <c r="J46" s="5"/>
      <c r="K46" s="5"/>
      <c r="L46" s="6"/>
      <c r="N46" s="5"/>
      <c r="O46" s="5"/>
      <c r="P46" s="6"/>
    </row>
    <row r="47" spans="2:16" ht="15.75" customHeight="1">
      <c r="B47" s="5">
        <v>1400000001</v>
      </c>
      <c r="C47" s="5" t="s">
        <v>11</v>
      </c>
      <c r="D47" s="6">
        <v>0.34</v>
      </c>
      <c r="F47" s="5"/>
      <c r="G47" s="5"/>
      <c r="H47" s="6"/>
      <c r="J47" s="5"/>
      <c r="K47" s="5"/>
      <c r="L47" s="6"/>
      <c r="N47" s="5"/>
      <c r="O47" s="5"/>
      <c r="P47" s="6"/>
    </row>
    <row r="48" spans="2:16" ht="15.75" customHeight="1">
      <c r="B48" s="1"/>
      <c r="C48" s="1"/>
      <c r="D48" s="2"/>
      <c r="F48" s="1"/>
      <c r="G48" s="1"/>
      <c r="H48" s="2"/>
      <c r="J48" s="1"/>
      <c r="K48" s="1"/>
      <c r="L48" s="2"/>
      <c r="N48" s="1"/>
      <c r="O48" s="1"/>
      <c r="P48" s="2"/>
    </row>
    <row r="49" spans="2:16" ht="15.75" customHeight="1">
      <c r="B49" s="1"/>
      <c r="C49" s="1"/>
      <c r="D49" s="2"/>
      <c r="F49" s="1"/>
      <c r="G49" s="1"/>
      <c r="H49" s="2"/>
      <c r="J49" s="1"/>
      <c r="K49" s="1"/>
      <c r="L49" s="2"/>
      <c r="N49" s="1"/>
      <c r="O49" s="1"/>
      <c r="P49" s="2"/>
    </row>
    <row r="50" spans="2:16" ht="15.75" customHeight="1">
      <c r="B50" s="1"/>
      <c r="C50" s="1"/>
      <c r="D50" s="2"/>
      <c r="F50" s="1"/>
      <c r="G50" s="1"/>
      <c r="H50" s="2"/>
      <c r="J50" s="1"/>
      <c r="K50" s="1"/>
      <c r="L50" s="2"/>
      <c r="N50" s="1"/>
      <c r="O50" s="1"/>
      <c r="P50" s="2"/>
    </row>
    <row r="51" spans="2:16" ht="15.75" customHeight="1">
      <c r="B51" s="1"/>
      <c r="C51" s="1"/>
      <c r="D51" s="2"/>
      <c r="F51" s="1"/>
      <c r="G51" s="1"/>
      <c r="H51" s="2"/>
      <c r="J51" s="1"/>
      <c r="K51" s="1"/>
      <c r="L51" s="2"/>
      <c r="N51" s="1"/>
      <c r="O51" s="1"/>
      <c r="P51" s="2"/>
    </row>
    <row r="52" spans="2:16" ht="15.75" customHeight="1">
      <c r="B52" s="1"/>
      <c r="C52" s="1"/>
      <c r="D52" s="2"/>
      <c r="F52" s="1"/>
      <c r="G52" s="1"/>
      <c r="H52" s="2"/>
      <c r="J52" s="1"/>
      <c r="K52" s="1"/>
      <c r="L52" s="2"/>
      <c r="N52" s="1"/>
      <c r="O52" s="1"/>
      <c r="P52" s="2"/>
    </row>
    <row r="53" spans="2:16" ht="15.75" customHeight="1">
      <c r="B53" s="1"/>
      <c r="C53" s="1"/>
      <c r="D53" s="2"/>
      <c r="F53" s="1"/>
      <c r="G53" s="1"/>
      <c r="H53" s="2"/>
      <c r="J53" s="1"/>
      <c r="K53" s="1"/>
      <c r="L53" s="2"/>
      <c r="N53" s="1"/>
      <c r="O53" s="1"/>
      <c r="P53" s="2"/>
    </row>
    <row r="54" spans="2:16" ht="15.75" customHeight="1">
      <c r="B54" s="1"/>
      <c r="C54" s="1"/>
      <c r="D54" s="2"/>
      <c r="F54" s="1"/>
      <c r="G54" s="1"/>
      <c r="H54" s="2"/>
      <c r="J54" s="1"/>
      <c r="K54" s="1"/>
      <c r="L54" s="2"/>
      <c r="N54" s="1"/>
      <c r="O54" s="1"/>
      <c r="P54" s="2"/>
    </row>
    <row r="55" spans="2:16" ht="15.75" customHeight="1">
      <c r="B55" s="1"/>
      <c r="C55" s="1"/>
      <c r="D55" s="2"/>
      <c r="F55" s="1"/>
      <c r="G55" s="1"/>
      <c r="H55" s="2"/>
      <c r="J55" s="1"/>
      <c r="K55" s="1"/>
      <c r="L55" s="2"/>
      <c r="N55" s="1"/>
      <c r="O55" s="1"/>
      <c r="P55" s="2"/>
    </row>
    <row r="56" spans="2:16" ht="15.75" customHeight="1">
      <c r="B56" s="1"/>
      <c r="C56" s="1"/>
      <c r="D56" s="2"/>
      <c r="F56" s="1"/>
      <c r="G56" s="1"/>
      <c r="H56" s="2"/>
      <c r="J56" s="1"/>
      <c r="K56" s="1"/>
      <c r="L56" s="2"/>
      <c r="N56" s="1"/>
      <c r="O56" s="1"/>
      <c r="P56" s="2"/>
    </row>
    <row r="57" spans="2:16" ht="15.75" customHeight="1">
      <c r="B57" s="1"/>
      <c r="C57" s="1"/>
      <c r="D57" s="2"/>
      <c r="F57" s="1"/>
      <c r="G57" s="1"/>
      <c r="H57" s="2"/>
      <c r="J57" s="1"/>
      <c r="K57" s="1"/>
      <c r="L57" s="2"/>
      <c r="N57" s="1"/>
      <c r="O57" s="1"/>
      <c r="P57" s="2"/>
    </row>
    <row r="58" spans="2:16" ht="15.75" customHeight="1">
      <c r="B58" s="1"/>
      <c r="C58" s="1"/>
      <c r="D58" s="2"/>
      <c r="F58" s="1"/>
      <c r="G58" s="1"/>
      <c r="H58" s="2"/>
      <c r="J58" s="1"/>
      <c r="K58" s="1"/>
      <c r="L58" s="2"/>
      <c r="N58" s="1"/>
      <c r="O58" s="1"/>
      <c r="P58" s="2"/>
    </row>
    <row r="59" spans="2:16" ht="15.75" customHeight="1">
      <c r="B59" s="1"/>
      <c r="C59" s="1"/>
      <c r="D59" s="2"/>
      <c r="F59" s="1"/>
      <c r="G59" s="1"/>
      <c r="H59" s="2"/>
      <c r="J59" s="1"/>
      <c r="K59" s="1"/>
      <c r="L59" s="2"/>
      <c r="N59" s="1"/>
      <c r="O59" s="1"/>
      <c r="P59" s="2"/>
    </row>
    <row r="60" spans="2:16" ht="15.75" customHeight="1">
      <c r="B60" s="1"/>
      <c r="C60" s="1"/>
      <c r="D60" s="2"/>
      <c r="F60" s="1"/>
      <c r="G60" s="1"/>
      <c r="H60" s="2"/>
      <c r="J60" s="1"/>
      <c r="K60" s="1"/>
      <c r="L60" s="2"/>
      <c r="N60" s="1"/>
      <c r="O60" s="1"/>
      <c r="P60" s="2"/>
    </row>
    <row r="61" spans="2:16" ht="15.75" customHeight="1">
      <c r="B61" s="1"/>
      <c r="C61" s="1"/>
      <c r="D61" s="2"/>
      <c r="F61" s="1"/>
      <c r="G61" s="1"/>
      <c r="H61" s="2"/>
      <c r="J61" s="1"/>
      <c r="K61" s="1"/>
      <c r="L61" s="2"/>
      <c r="N61" s="1"/>
      <c r="O61" s="1"/>
      <c r="P61" s="2"/>
    </row>
    <row r="62" spans="2:16" ht="15.75" customHeight="1">
      <c r="B62" s="1"/>
      <c r="C62" s="1"/>
      <c r="D62" s="2"/>
      <c r="F62" s="1"/>
      <c r="G62" s="1"/>
      <c r="H62" s="2"/>
      <c r="J62" s="1"/>
      <c r="K62" s="1"/>
      <c r="L62" s="2"/>
      <c r="N62" s="1"/>
      <c r="O62" s="1"/>
      <c r="P62" s="2"/>
    </row>
    <row r="63" spans="2:16" ht="15.75" customHeight="1">
      <c r="B63" s="1"/>
      <c r="C63" s="1"/>
      <c r="D63" s="2"/>
      <c r="F63" s="1"/>
      <c r="G63" s="1"/>
      <c r="H63" s="2"/>
      <c r="J63" s="1"/>
      <c r="K63" s="1"/>
      <c r="L63" s="2"/>
      <c r="N63" s="1"/>
      <c r="O63" s="1"/>
      <c r="P63" s="2"/>
    </row>
    <row r="64" spans="2:16" ht="15.75" customHeight="1">
      <c r="B64" s="1"/>
      <c r="C64" s="1"/>
      <c r="D64" s="2"/>
      <c r="F64" s="1"/>
      <c r="G64" s="1"/>
      <c r="H64" s="2"/>
      <c r="J64" s="1"/>
      <c r="K64" s="1"/>
      <c r="L64" s="2"/>
      <c r="N64" s="1"/>
      <c r="O64" s="1"/>
      <c r="P64" s="2"/>
    </row>
    <row r="65" spans="2:16" ht="15.75" customHeight="1">
      <c r="B65" s="1"/>
      <c r="C65" s="1"/>
      <c r="D65" s="2"/>
      <c r="F65" s="1"/>
      <c r="G65" s="1"/>
      <c r="H65" s="2"/>
      <c r="J65" s="1"/>
      <c r="K65" s="1"/>
      <c r="L65" s="2"/>
      <c r="N65" s="1"/>
      <c r="O65" s="1"/>
      <c r="P65" s="2"/>
    </row>
    <row r="66" spans="2:16" ht="15.75" customHeight="1">
      <c r="B66" s="1"/>
      <c r="C66" s="1"/>
      <c r="D66" s="2"/>
      <c r="F66" s="1"/>
      <c r="G66" s="1"/>
      <c r="H66" s="2"/>
      <c r="J66" s="1"/>
      <c r="K66" s="1"/>
      <c r="L66" s="2"/>
      <c r="N66" s="1"/>
      <c r="O66" s="1"/>
      <c r="P66" s="2"/>
    </row>
    <row r="67" spans="2:16" ht="15.75" customHeight="1">
      <c r="B67" s="1"/>
      <c r="C67" s="1"/>
      <c r="D67" s="2"/>
      <c r="F67" s="1"/>
      <c r="G67" s="1"/>
      <c r="H67" s="2"/>
      <c r="J67" s="1"/>
      <c r="K67" s="1"/>
      <c r="L67" s="2"/>
      <c r="N67" s="1"/>
      <c r="O67" s="1"/>
      <c r="P67" s="2"/>
    </row>
    <row r="68" spans="2:16" ht="15.75" customHeight="1">
      <c r="B68" s="1"/>
      <c r="C68" s="1"/>
      <c r="D68" s="2"/>
      <c r="F68" s="1"/>
      <c r="G68" s="1"/>
      <c r="H68" s="2"/>
      <c r="J68" s="1"/>
      <c r="K68" s="1"/>
      <c r="L68" s="2"/>
      <c r="N68" s="1"/>
      <c r="O68" s="1"/>
      <c r="P68" s="2"/>
    </row>
    <row r="69" spans="2:16" ht="15.75" customHeight="1">
      <c r="B69" s="1"/>
      <c r="C69" s="1"/>
      <c r="D69" s="2"/>
      <c r="F69" s="1"/>
      <c r="G69" s="1"/>
      <c r="H69" s="2"/>
      <c r="J69" s="1"/>
      <c r="K69" s="1"/>
      <c r="L69" s="2"/>
      <c r="N69" s="1"/>
      <c r="O69" s="1"/>
      <c r="P69" s="2"/>
    </row>
    <row r="70" spans="2:16" ht="15.75" customHeight="1">
      <c r="B70" s="1"/>
      <c r="C70" s="1"/>
      <c r="D70" s="2"/>
      <c r="F70" s="1"/>
      <c r="G70" s="1"/>
      <c r="H70" s="2"/>
      <c r="J70" s="1"/>
      <c r="K70" s="1"/>
      <c r="L70" s="2"/>
      <c r="N70" s="1"/>
      <c r="O70" s="1"/>
      <c r="P70" s="2"/>
    </row>
    <row r="71" spans="2:16" ht="15.75" customHeight="1">
      <c r="B71" s="1"/>
      <c r="C71" s="1"/>
      <c r="D71" s="2"/>
      <c r="F71" s="1"/>
      <c r="G71" s="1"/>
      <c r="H71" s="2"/>
      <c r="J71" s="1"/>
      <c r="K71" s="1"/>
      <c r="L71" s="2"/>
      <c r="N71" s="1"/>
      <c r="O71" s="1"/>
      <c r="P71" s="2"/>
    </row>
    <row r="72" spans="2:16" ht="15.75" customHeight="1">
      <c r="B72" s="1"/>
      <c r="C72" s="1"/>
      <c r="D72" s="2"/>
      <c r="F72" s="1"/>
      <c r="G72" s="1"/>
      <c r="H72" s="2"/>
      <c r="J72" s="1"/>
      <c r="K72" s="1"/>
      <c r="L72" s="2"/>
      <c r="N72" s="1"/>
      <c r="O72" s="1"/>
      <c r="P72" s="2"/>
    </row>
    <row r="73" spans="2:16" ht="15.75" customHeight="1">
      <c r="B73" s="1"/>
      <c r="C73" s="1"/>
      <c r="D73" s="2"/>
      <c r="F73" s="1"/>
      <c r="G73" s="1"/>
      <c r="H73" s="2"/>
      <c r="J73" s="1"/>
      <c r="K73" s="1"/>
      <c r="L73" s="2"/>
      <c r="N73" s="1"/>
      <c r="O73" s="1"/>
      <c r="P73" s="2"/>
    </row>
    <row r="74" spans="2:16" ht="15.75" customHeight="1">
      <c r="B74" s="1"/>
      <c r="C74" s="1"/>
      <c r="D74" s="2"/>
      <c r="F74" s="1"/>
      <c r="G74" s="1"/>
      <c r="H74" s="2"/>
      <c r="J74" s="1"/>
      <c r="K74" s="1"/>
      <c r="L74" s="2"/>
      <c r="N74" s="1"/>
      <c r="O74" s="1"/>
      <c r="P74" s="2"/>
    </row>
    <row r="75" spans="2:16" ht="15.75" customHeight="1">
      <c r="B75" s="1"/>
      <c r="C75" s="1"/>
      <c r="D75" s="2"/>
      <c r="F75" s="1"/>
      <c r="G75" s="1"/>
      <c r="H75" s="2"/>
      <c r="J75" s="1"/>
      <c r="K75" s="1"/>
      <c r="L75" s="2"/>
      <c r="N75" s="1"/>
      <c r="O75" s="1"/>
      <c r="P75" s="2"/>
    </row>
    <row r="76" spans="2:16" ht="15.75" customHeight="1">
      <c r="B76" s="1"/>
      <c r="C76" s="1"/>
      <c r="D76" s="2"/>
      <c r="F76" s="1"/>
      <c r="G76" s="1"/>
      <c r="H76" s="2"/>
      <c r="J76" s="1"/>
      <c r="K76" s="1"/>
      <c r="L76" s="2"/>
      <c r="N76" s="1"/>
      <c r="O76" s="1"/>
      <c r="P76" s="2"/>
    </row>
    <row r="77" spans="2:16" ht="15.75" customHeight="1">
      <c r="B77" s="1"/>
      <c r="C77" s="1"/>
      <c r="D77" s="2"/>
      <c r="F77" s="1"/>
      <c r="G77" s="1"/>
      <c r="H77" s="2"/>
      <c r="J77" s="1"/>
      <c r="K77" s="1"/>
      <c r="L77" s="2"/>
      <c r="N77" s="1"/>
      <c r="O77" s="1"/>
      <c r="P77" s="2"/>
    </row>
    <row r="78" spans="2:16" ht="15.75" customHeight="1">
      <c r="B78" s="1"/>
      <c r="C78" s="1"/>
      <c r="D78" s="2"/>
      <c r="F78" s="1"/>
      <c r="G78" s="1"/>
      <c r="H78" s="2"/>
      <c r="J78" s="1"/>
      <c r="K78" s="1"/>
      <c r="L78" s="2"/>
      <c r="N78" s="1"/>
      <c r="O78" s="1"/>
      <c r="P78" s="2"/>
    </row>
    <row r="79" spans="2:16" ht="15.75" customHeight="1">
      <c r="B79" s="1"/>
      <c r="C79" s="1"/>
      <c r="D79" s="2"/>
      <c r="F79" s="1"/>
      <c r="G79" s="1"/>
      <c r="H79" s="2"/>
      <c r="J79" s="1"/>
      <c r="K79" s="1"/>
      <c r="L79" s="2"/>
      <c r="N79" s="1"/>
      <c r="O79" s="1"/>
      <c r="P79" s="2"/>
    </row>
    <row r="80" spans="2:16" ht="15.75" customHeight="1">
      <c r="B80" s="1"/>
      <c r="C80" s="1"/>
      <c r="D80" s="2"/>
      <c r="F80" s="1"/>
      <c r="G80" s="1"/>
      <c r="H80" s="2"/>
      <c r="J80" s="1"/>
      <c r="K80" s="1"/>
      <c r="L80" s="2"/>
      <c r="N80" s="1"/>
      <c r="O80" s="1"/>
      <c r="P80" s="2"/>
    </row>
    <row r="81" spans="2:16" ht="15.75" customHeight="1">
      <c r="B81" s="1"/>
      <c r="C81" s="1"/>
      <c r="D81" s="2"/>
      <c r="F81" s="1"/>
      <c r="G81" s="1"/>
      <c r="H81" s="2"/>
      <c r="J81" s="1"/>
      <c r="K81" s="1"/>
      <c r="L81" s="2"/>
      <c r="N81" s="1"/>
      <c r="O81" s="1"/>
      <c r="P81" s="2"/>
    </row>
    <row r="82" spans="2:16" ht="15.75" customHeight="1">
      <c r="B82" s="1"/>
      <c r="C82" s="1"/>
      <c r="D82" s="2"/>
      <c r="F82" s="1"/>
      <c r="G82" s="1"/>
      <c r="H82" s="2"/>
      <c r="J82" s="1"/>
      <c r="K82" s="1"/>
      <c r="L82" s="2"/>
      <c r="N82" s="1"/>
      <c r="O82" s="1"/>
      <c r="P82" s="2"/>
    </row>
    <row r="83" spans="2:16" ht="15.75" customHeight="1">
      <c r="B83" s="1"/>
      <c r="C83" s="1"/>
      <c r="D83" s="2"/>
      <c r="F83" s="1"/>
      <c r="G83" s="1"/>
      <c r="H83" s="2"/>
      <c r="J83" s="1"/>
      <c r="K83" s="1"/>
      <c r="L83" s="2"/>
      <c r="N83" s="1"/>
      <c r="O83" s="1"/>
      <c r="P83" s="2"/>
    </row>
    <row r="84" spans="2:16" ht="15.75" customHeight="1">
      <c r="B84" s="1"/>
      <c r="C84" s="1"/>
      <c r="D84" s="2"/>
      <c r="F84" s="1"/>
      <c r="G84" s="1"/>
      <c r="H84" s="2"/>
      <c r="J84" s="1"/>
      <c r="K84" s="1"/>
      <c r="L84" s="2"/>
      <c r="N84" s="1"/>
      <c r="O84" s="1"/>
      <c r="P84" s="2"/>
    </row>
    <row r="85" spans="2:16" ht="15.75" customHeight="1">
      <c r="B85" s="1"/>
      <c r="C85" s="1"/>
      <c r="D85" s="2"/>
      <c r="F85" s="1"/>
      <c r="G85" s="1"/>
      <c r="H85" s="2"/>
      <c r="J85" s="1"/>
      <c r="K85" s="1"/>
      <c r="L85" s="2"/>
      <c r="N85" s="1"/>
      <c r="O85" s="1"/>
      <c r="P85" s="2"/>
    </row>
    <row r="86" spans="2:16" ht="15.75" customHeight="1">
      <c r="B86" s="1"/>
      <c r="C86" s="1"/>
      <c r="D86" s="2"/>
      <c r="F86" s="1"/>
      <c r="G86" s="1"/>
      <c r="H86" s="2"/>
      <c r="J86" s="1"/>
      <c r="K86" s="1"/>
      <c r="L86" s="2"/>
      <c r="N86" s="1"/>
      <c r="O86" s="1"/>
      <c r="P86" s="2"/>
    </row>
    <row r="87" spans="2:16" ht="15.75" customHeight="1">
      <c r="B87" s="1"/>
      <c r="C87" s="1"/>
      <c r="D87" s="2"/>
      <c r="F87" s="1"/>
      <c r="G87" s="1"/>
      <c r="H87" s="2"/>
      <c r="J87" s="1"/>
      <c r="K87" s="1"/>
      <c r="L87" s="2"/>
      <c r="N87" s="1"/>
      <c r="O87" s="1"/>
      <c r="P87" s="2"/>
    </row>
    <row r="88" spans="2:16" ht="15.75" customHeight="1">
      <c r="B88" s="1"/>
      <c r="C88" s="1"/>
      <c r="D88" s="2"/>
      <c r="F88" s="1"/>
      <c r="G88" s="1"/>
      <c r="H88" s="2"/>
      <c r="J88" s="1"/>
      <c r="K88" s="1"/>
      <c r="L88" s="2"/>
      <c r="N88" s="1"/>
      <c r="O88" s="1"/>
      <c r="P88" s="2"/>
    </row>
    <row r="89" spans="2:16" ht="15.75" customHeight="1">
      <c r="B89" s="1"/>
      <c r="C89" s="1"/>
      <c r="D89" s="2"/>
      <c r="F89" s="1"/>
      <c r="G89" s="1"/>
      <c r="H89" s="2"/>
      <c r="J89" s="1"/>
      <c r="K89" s="1"/>
      <c r="L89" s="2"/>
      <c r="N89" s="1"/>
      <c r="O89" s="1"/>
      <c r="P89" s="2"/>
    </row>
    <row r="90" spans="2:16" ht="15.75" customHeight="1">
      <c r="B90" s="1"/>
      <c r="C90" s="1"/>
      <c r="D90" s="2"/>
      <c r="F90" s="1"/>
      <c r="G90" s="1"/>
      <c r="H90" s="2"/>
      <c r="J90" s="1"/>
      <c r="K90" s="1"/>
      <c r="L90" s="2"/>
      <c r="N90" s="1"/>
      <c r="O90" s="1"/>
      <c r="P90" s="2"/>
    </row>
    <row r="91" spans="2:16" ht="15.75" customHeight="1">
      <c r="B91" s="1"/>
      <c r="C91" s="1"/>
      <c r="D91" s="2"/>
      <c r="F91" s="1"/>
      <c r="G91" s="1"/>
      <c r="H91" s="2"/>
      <c r="J91" s="1"/>
      <c r="K91" s="1"/>
      <c r="L91" s="2"/>
      <c r="N91" s="1"/>
      <c r="O91" s="1"/>
      <c r="P91" s="2"/>
    </row>
    <row r="92" spans="2:16" ht="15.75" customHeight="1">
      <c r="B92" s="1"/>
      <c r="C92" s="1"/>
      <c r="D92" s="2"/>
      <c r="F92" s="1"/>
      <c r="G92" s="1"/>
      <c r="H92" s="2"/>
      <c r="J92" s="1"/>
      <c r="K92" s="1"/>
      <c r="L92" s="2"/>
      <c r="N92" s="1"/>
      <c r="O92" s="1"/>
      <c r="P92" s="2"/>
    </row>
    <row r="93" spans="2:16" ht="15.75" customHeight="1">
      <c r="B93" s="1"/>
      <c r="C93" s="1"/>
      <c r="D93" s="2"/>
      <c r="F93" s="1"/>
      <c r="G93" s="1"/>
      <c r="H93" s="2"/>
      <c r="J93" s="1"/>
      <c r="K93" s="1"/>
      <c r="L93" s="2"/>
      <c r="N93" s="1"/>
      <c r="O93" s="1"/>
      <c r="P93" s="2"/>
    </row>
    <row r="94" spans="2:16" ht="15.75" customHeight="1">
      <c r="B94" s="1"/>
      <c r="C94" s="1"/>
      <c r="D94" s="2"/>
      <c r="F94" s="1"/>
      <c r="G94" s="1"/>
      <c r="H94" s="2"/>
      <c r="J94" s="1"/>
      <c r="K94" s="1"/>
      <c r="L94" s="2"/>
      <c r="N94" s="1"/>
      <c r="O94" s="1"/>
      <c r="P94" s="2"/>
    </row>
    <row r="95" spans="2:16" ht="15.75" customHeight="1">
      <c r="B95" s="1"/>
      <c r="C95" s="1"/>
      <c r="D95" s="2"/>
      <c r="F95" s="1"/>
      <c r="G95" s="1"/>
      <c r="H95" s="2"/>
      <c r="J95" s="1"/>
      <c r="K95" s="1"/>
      <c r="L95" s="2"/>
      <c r="N95" s="1"/>
      <c r="O95" s="1"/>
      <c r="P95" s="2"/>
    </row>
    <row r="96" spans="2:16" ht="15.75" customHeight="1">
      <c r="B96" s="1"/>
      <c r="C96" s="1"/>
      <c r="D96" s="2"/>
      <c r="F96" s="1"/>
      <c r="G96" s="1"/>
      <c r="H96" s="2"/>
      <c r="J96" s="1"/>
      <c r="K96" s="1"/>
      <c r="L96" s="2"/>
      <c r="N96" s="1"/>
      <c r="O96" s="1"/>
      <c r="P96" s="2"/>
    </row>
    <row r="97" spans="2:16" ht="15.75" customHeight="1">
      <c r="B97" s="1"/>
      <c r="C97" s="1"/>
      <c r="D97" s="2"/>
      <c r="F97" s="1"/>
      <c r="G97" s="1"/>
      <c r="H97" s="2"/>
      <c r="J97" s="1"/>
      <c r="K97" s="1"/>
      <c r="L97" s="2"/>
      <c r="N97" s="1"/>
      <c r="O97" s="1"/>
      <c r="P97" s="2"/>
    </row>
    <row r="98" spans="2:16" ht="15.75" customHeight="1">
      <c r="B98" s="1"/>
      <c r="C98" s="1"/>
      <c r="D98" s="2"/>
      <c r="F98" s="1"/>
      <c r="G98" s="1"/>
      <c r="H98" s="2"/>
      <c r="J98" s="1"/>
      <c r="K98" s="1"/>
      <c r="L98" s="2"/>
      <c r="N98" s="1"/>
      <c r="O98" s="1"/>
      <c r="P98" s="2"/>
    </row>
    <row r="99" spans="2:16" ht="15.75" customHeight="1">
      <c r="B99" s="1"/>
      <c r="C99" s="1"/>
      <c r="D99" s="2"/>
      <c r="F99" s="1"/>
      <c r="G99" s="1"/>
      <c r="H99" s="2"/>
      <c r="J99" s="1"/>
      <c r="K99" s="1"/>
      <c r="L99" s="2"/>
      <c r="N99" s="1"/>
      <c r="O99" s="1"/>
      <c r="P99" s="2"/>
    </row>
    <row r="100" spans="2:16" ht="15.75" customHeight="1">
      <c r="B100" s="1"/>
      <c r="C100" s="1"/>
      <c r="D100" s="2"/>
      <c r="F100" s="1"/>
      <c r="G100" s="1"/>
      <c r="H100" s="2"/>
      <c r="J100" s="1"/>
      <c r="K100" s="1"/>
      <c r="L100" s="2"/>
      <c r="N100" s="1"/>
      <c r="O100" s="1"/>
      <c r="P100" s="2"/>
    </row>
    <row r="101" spans="2:16" ht="15.75" customHeight="1">
      <c r="B101" s="1"/>
      <c r="C101" s="1"/>
      <c r="D101" s="2"/>
      <c r="F101" s="1"/>
      <c r="G101" s="1"/>
      <c r="H101" s="2"/>
      <c r="J101" s="1"/>
      <c r="K101" s="1"/>
      <c r="L101" s="2"/>
      <c r="N101" s="1"/>
      <c r="O101" s="1"/>
      <c r="P101" s="2"/>
    </row>
    <row r="102" spans="2:16" ht="15.75" customHeight="1">
      <c r="B102" s="1"/>
      <c r="C102" s="1"/>
      <c r="D102" s="2"/>
      <c r="F102" s="1"/>
      <c r="G102" s="1"/>
      <c r="H102" s="2"/>
      <c r="J102" s="1"/>
      <c r="K102" s="1"/>
      <c r="L102" s="2"/>
      <c r="N102" s="1"/>
      <c r="O102" s="1"/>
      <c r="P102" s="2"/>
    </row>
    <row r="103" spans="2:16" ht="15.75" customHeight="1">
      <c r="B103" s="1"/>
      <c r="C103" s="1"/>
      <c r="D103" s="2"/>
      <c r="F103" s="1"/>
      <c r="G103" s="1"/>
      <c r="H103" s="2"/>
      <c r="J103" s="1"/>
      <c r="K103" s="1"/>
      <c r="L103" s="2"/>
      <c r="N103" s="1"/>
      <c r="O103" s="1"/>
      <c r="P103" s="2"/>
    </row>
    <row r="104" spans="2:16" ht="15.75" customHeight="1">
      <c r="B104" s="1"/>
      <c r="C104" s="1"/>
      <c r="D104" s="2"/>
      <c r="F104" s="1"/>
      <c r="G104" s="1"/>
      <c r="H104" s="2"/>
      <c r="J104" s="1"/>
      <c r="K104" s="1"/>
      <c r="L104" s="2"/>
      <c r="N104" s="1"/>
      <c r="O104" s="1"/>
      <c r="P104" s="2"/>
    </row>
    <row r="105" spans="2:16" ht="15.75" customHeight="1">
      <c r="B105" s="1"/>
      <c r="C105" s="1"/>
      <c r="D105" s="2"/>
      <c r="F105" s="1"/>
      <c r="G105" s="1"/>
      <c r="H105" s="2"/>
      <c r="J105" s="1"/>
      <c r="K105" s="1"/>
      <c r="L105" s="2"/>
      <c r="N105" s="1"/>
      <c r="O105" s="1"/>
      <c r="P105" s="2"/>
    </row>
    <row r="106" spans="2:16" ht="15.75" customHeight="1">
      <c r="B106" s="1"/>
      <c r="C106" s="1"/>
      <c r="D106" s="2"/>
      <c r="F106" s="1"/>
      <c r="G106" s="1"/>
      <c r="H106" s="2"/>
      <c r="J106" s="1"/>
      <c r="K106" s="1"/>
      <c r="L106" s="2"/>
      <c r="N106" s="1"/>
      <c r="O106" s="1"/>
      <c r="P106" s="2"/>
    </row>
    <row r="107" spans="2:16" ht="15.75" customHeight="1">
      <c r="B107" s="1"/>
      <c r="C107" s="1"/>
      <c r="D107" s="2"/>
      <c r="F107" s="1"/>
      <c r="G107" s="1"/>
      <c r="H107" s="2"/>
      <c r="J107" s="1"/>
      <c r="K107" s="1"/>
      <c r="L107" s="2"/>
      <c r="N107" s="1"/>
      <c r="O107" s="1"/>
      <c r="P107" s="2"/>
    </row>
    <row r="108" spans="2:16" ht="15.75" customHeight="1">
      <c r="B108" s="1"/>
      <c r="C108" s="1"/>
      <c r="D108" s="2"/>
      <c r="F108" s="1"/>
      <c r="G108" s="1"/>
      <c r="H108" s="2"/>
      <c r="J108" s="1"/>
      <c r="K108" s="1"/>
      <c r="L108" s="2"/>
      <c r="N108" s="1"/>
      <c r="O108" s="1"/>
      <c r="P108" s="2"/>
    </row>
    <row r="109" spans="2:16" ht="15.75" customHeight="1">
      <c r="B109" s="1"/>
      <c r="C109" s="1"/>
      <c r="D109" s="2"/>
      <c r="F109" s="1"/>
      <c r="G109" s="1"/>
      <c r="H109" s="2"/>
      <c r="J109" s="1"/>
      <c r="K109" s="1"/>
      <c r="L109" s="2"/>
      <c r="N109" s="1"/>
      <c r="O109" s="1"/>
      <c r="P109" s="2"/>
    </row>
    <row r="110" spans="2:16" ht="15.75" customHeight="1">
      <c r="B110" s="1"/>
      <c r="C110" s="1"/>
      <c r="D110" s="2"/>
      <c r="F110" s="1"/>
      <c r="G110" s="1"/>
      <c r="H110" s="2"/>
      <c r="J110" s="1"/>
      <c r="K110" s="1"/>
      <c r="L110" s="2"/>
      <c r="N110" s="1"/>
      <c r="O110" s="1"/>
      <c r="P110" s="2"/>
    </row>
    <row r="111" spans="2:16" ht="15.75" customHeight="1">
      <c r="B111" s="1"/>
      <c r="C111" s="1"/>
      <c r="D111" s="2"/>
      <c r="F111" s="1"/>
      <c r="G111" s="1"/>
      <c r="H111" s="2"/>
      <c r="J111" s="1"/>
      <c r="K111" s="1"/>
      <c r="L111" s="2"/>
      <c r="N111" s="1"/>
      <c r="O111" s="1"/>
      <c r="P111" s="2"/>
    </row>
    <row r="112" spans="2:16" ht="15.75" customHeight="1">
      <c r="B112" s="1"/>
      <c r="C112" s="1"/>
      <c r="D112" s="2"/>
      <c r="F112" s="1"/>
      <c r="G112" s="1"/>
      <c r="H112" s="2"/>
      <c r="J112" s="1"/>
      <c r="K112" s="1"/>
      <c r="L112" s="2"/>
      <c r="N112" s="1"/>
      <c r="O112" s="1"/>
      <c r="P112" s="2"/>
    </row>
    <row r="113" spans="2:16" ht="15.75" customHeight="1">
      <c r="B113" s="1"/>
      <c r="C113" s="1"/>
      <c r="D113" s="2"/>
      <c r="F113" s="1"/>
      <c r="G113" s="1"/>
      <c r="H113" s="2"/>
      <c r="J113" s="1"/>
      <c r="K113" s="1"/>
      <c r="L113" s="2"/>
      <c r="N113" s="1"/>
      <c r="O113" s="1"/>
      <c r="P113" s="2"/>
    </row>
    <row r="114" spans="2:16" ht="15.75" customHeight="1">
      <c r="B114" s="1"/>
      <c r="C114" s="1"/>
      <c r="D114" s="2"/>
      <c r="F114" s="1"/>
      <c r="G114" s="1"/>
      <c r="H114" s="2"/>
      <c r="J114" s="1"/>
      <c r="K114" s="1"/>
      <c r="L114" s="2"/>
      <c r="N114" s="1"/>
      <c r="O114" s="1"/>
      <c r="P114" s="2"/>
    </row>
    <row r="115" spans="2:16" ht="15.75" customHeight="1">
      <c r="B115" s="1"/>
      <c r="C115" s="1"/>
      <c r="D115" s="2"/>
      <c r="F115" s="1"/>
      <c r="G115" s="1"/>
      <c r="H115" s="2"/>
      <c r="J115" s="1"/>
      <c r="K115" s="1"/>
      <c r="L115" s="2"/>
      <c r="N115" s="1"/>
      <c r="O115" s="1"/>
      <c r="P115" s="2"/>
    </row>
    <row r="116" spans="2:16" ht="15.75" customHeight="1">
      <c r="B116" s="1"/>
      <c r="C116" s="1"/>
      <c r="D116" s="2"/>
      <c r="F116" s="1"/>
      <c r="G116" s="1"/>
      <c r="H116" s="2"/>
      <c r="J116" s="1"/>
      <c r="K116" s="1"/>
      <c r="L116" s="2"/>
      <c r="N116" s="1"/>
      <c r="O116" s="1"/>
      <c r="P116" s="2"/>
    </row>
    <row r="117" spans="2:16" ht="15.75" customHeight="1">
      <c r="B117" s="1"/>
      <c r="C117" s="1"/>
      <c r="D117" s="2"/>
      <c r="F117" s="1"/>
      <c r="G117" s="1"/>
      <c r="H117" s="2"/>
      <c r="J117" s="1"/>
      <c r="K117" s="1"/>
      <c r="L117" s="2"/>
      <c r="N117" s="1"/>
      <c r="O117" s="1"/>
      <c r="P117" s="2"/>
    </row>
    <row r="118" spans="2:16" ht="15.75" customHeight="1">
      <c r="B118" s="1"/>
      <c r="C118" s="1"/>
      <c r="D118" s="2"/>
      <c r="F118" s="1"/>
      <c r="G118" s="1"/>
      <c r="H118" s="2"/>
      <c r="J118" s="1"/>
      <c r="K118" s="1"/>
      <c r="L118" s="2"/>
      <c r="N118" s="1"/>
      <c r="O118" s="1"/>
      <c r="P118" s="2"/>
    </row>
    <row r="119" spans="2:16" ht="15.75" customHeight="1">
      <c r="B119" s="1"/>
      <c r="C119" s="1"/>
      <c r="D119" s="2"/>
      <c r="F119" s="1"/>
      <c r="G119" s="1"/>
      <c r="H119" s="2"/>
      <c r="J119" s="1"/>
      <c r="K119" s="1"/>
      <c r="L119" s="2"/>
      <c r="N119" s="1"/>
      <c r="O119" s="1"/>
      <c r="P119" s="2"/>
    </row>
    <row r="120" spans="2:16" ht="15.75" customHeight="1">
      <c r="B120" s="1"/>
      <c r="C120" s="1"/>
      <c r="D120" s="2"/>
      <c r="F120" s="1"/>
      <c r="G120" s="1"/>
      <c r="H120" s="2"/>
      <c r="J120" s="1"/>
      <c r="K120" s="1"/>
      <c r="L120" s="2"/>
      <c r="N120" s="1"/>
      <c r="O120" s="1"/>
      <c r="P120" s="2"/>
    </row>
    <row r="121" spans="2:16" ht="15.75" customHeight="1">
      <c r="B121" s="1"/>
      <c r="C121" s="1"/>
      <c r="D121" s="2"/>
      <c r="F121" s="1"/>
      <c r="G121" s="1"/>
      <c r="H121" s="2"/>
      <c r="J121" s="1"/>
      <c r="K121" s="1"/>
      <c r="L121" s="2"/>
      <c r="N121" s="1"/>
      <c r="O121" s="1"/>
      <c r="P121" s="2"/>
    </row>
    <row r="122" spans="2:16" ht="15.75" customHeight="1">
      <c r="B122" s="1"/>
      <c r="C122" s="1"/>
      <c r="D122" s="2"/>
      <c r="F122" s="1"/>
      <c r="G122" s="1"/>
      <c r="H122" s="2"/>
      <c r="J122" s="1"/>
      <c r="K122" s="1"/>
      <c r="L122" s="2"/>
      <c r="N122" s="1"/>
      <c r="O122" s="1"/>
      <c r="P122" s="2"/>
    </row>
    <row r="123" spans="2:16" ht="15.75" customHeight="1">
      <c r="B123" s="1"/>
      <c r="C123" s="1"/>
      <c r="D123" s="2"/>
      <c r="F123" s="1"/>
      <c r="G123" s="1"/>
      <c r="H123" s="2"/>
      <c r="J123" s="1"/>
      <c r="K123" s="1"/>
      <c r="L123" s="2"/>
      <c r="N123" s="1"/>
      <c r="O123" s="1"/>
      <c r="P123" s="2"/>
    </row>
    <row r="124" spans="2:16" ht="15.75" customHeight="1">
      <c r="B124" s="1"/>
      <c r="C124" s="1"/>
      <c r="D124" s="2"/>
      <c r="F124" s="1"/>
      <c r="G124" s="1"/>
      <c r="H124" s="2"/>
      <c r="J124" s="1"/>
      <c r="K124" s="1"/>
      <c r="L124" s="2"/>
      <c r="N124" s="1"/>
      <c r="O124" s="1"/>
      <c r="P124" s="2"/>
    </row>
    <row r="125" spans="2:16" ht="15.75" customHeight="1">
      <c r="B125" s="1"/>
      <c r="C125" s="1"/>
      <c r="D125" s="2"/>
      <c r="F125" s="1"/>
      <c r="G125" s="1"/>
      <c r="H125" s="2"/>
      <c r="J125" s="1"/>
      <c r="K125" s="1"/>
      <c r="L125" s="2"/>
      <c r="N125" s="1"/>
      <c r="O125" s="1"/>
      <c r="P125" s="2"/>
    </row>
    <row r="126" spans="2:16" ht="15.75" customHeight="1">
      <c r="B126" s="1"/>
      <c r="C126" s="1"/>
      <c r="D126" s="2"/>
      <c r="F126" s="1"/>
      <c r="G126" s="1"/>
      <c r="H126" s="2"/>
      <c r="J126" s="1"/>
      <c r="K126" s="1"/>
      <c r="L126" s="2"/>
      <c r="N126" s="1"/>
      <c r="O126" s="1"/>
      <c r="P126" s="2"/>
    </row>
    <row r="127" spans="2:16" ht="15.75" customHeight="1">
      <c r="B127" s="1"/>
      <c r="C127" s="1"/>
      <c r="D127" s="2"/>
      <c r="F127" s="1"/>
      <c r="G127" s="1"/>
      <c r="H127" s="2"/>
      <c r="J127" s="1"/>
      <c r="K127" s="1"/>
      <c r="L127" s="2"/>
      <c r="N127" s="1"/>
      <c r="O127" s="1"/>
      <c r="P127" s="2"/>
    </row>
    <row r="128" spans="2:16" ht="15.75" customHeight="1">
      <c r="B128" s="1"/>
      <c r="C128" s="1"/>
      <c r="D128" s="2"/>
      <c r="F128" s="1"/>
      <c r="G128" s="1"/>
      <c r="H128" s="2"/>
      <c r="J128" s="1"/>
      <c r="K128" s="1"/>
      <c r="L128" s="2"/>
      <c r="N128" s="1"/>
      <c r="O128" s="1"/>
      <c r="P128" s="2"/>
    </row>
    <row r="129" spans="2:16" ht="15.75" customHeight="1">
      <c r="B129" s="1"/>
      <c r="C129" s="1"/>
      <c r="D129" s="2"/>
      <c r="F129" s="1"/>
      <c r="G129" s="1"/>
      <c r="H129" s="2"/>
      <c r="J129" s="1"/>
      <c r="K129" s="1"/>
      <c r="L129" s="2"/>
      <c r="N129" s="1"/>
      <c r="O129" s="1"/>
      <c r="P129" s="2"/>
    </row>
    <row r="130" spans="2:16" ht="15.75" customHeight="1">
      <c r="B130" s="1"/>
      <c r="C130" s="1"/>
      <c r="D130" s="2"/>
      <c r="F130" s="1"/>
      <c r="G130" s="1"/>
      <c r="H130" s="2"/>
      <c r="J130" s="1"/>
      <c r="K130" s="1"/>
      <c r="L130" s="2"/>
      <c r="N130" s="1"/>
      <c r="O130" s="1"/>
      <c r="P130" s="2"/>
    </row>
    <row r="131" spans="2:16" ht="15.75" customHeight="1">
      <c r="B131" s="1"/>
      <c r="C131" s="1"/>
      <c r="D131" s="2"/>
      <c r="F131" s="1"/>
      <c r="G131" s="1"/>
      <c r="H131" s="2"/>
      <c r="J131" s="1"/>
      <c r="K131" s="1"/>
      <c r="L131" s="2"/>
      <c r="N131" s="1"/>
      <c r="O131" s="1"/>
      <c r="P131" s="2"/>
    </row>
    <row r="132" spans="2:16" ht="15.75" customHeight="1">
      <c r="B132" s="1"/>
      <c r="C132" s="1"/>
      <c r="D132" s="2"/>
      <c r="F132" s="1"/>
      <c r="G132" s="1"/>
      <c r="H132" s="2"/>
      <c r="J132" s="1"/>
      <c r="K132" s="1"/>
      <c r="L132" s="2"/>
      <c r="N132" s="1"/>
      <c r="O132" s="1"/>
      <c r="P132" s="2"/>
    </row>
    <row r="133" spans="2:16" ht="15.75" customHeight="1">
      <c r="B133" s="1"/>
      <c r="C133" s="1"/>
      <c r="D133" s="2"/>
      <c r="F133" s="1"/>
      <c r="G133" s="1"/>
      <c r="H133" s="2"/>
      <c r="J133" s="1"/>
      <c r="K133" s="1"/>
      <c r="L133" s="2"/>
      <c r="N133" s="1"/>
      <c r="O133" s="1"/>
      <c r="P133" s="2"/>
    </row>
    <row r="134" spans="2:16" ht="15.75" customHeight="1">
      <c r="B134" s="1"/>
      <c r="C134" s="1"/>
      <c r="D134" s="2"/>
      <c r="F134" s="1"/>
      <c r="G134" s="1"/>
      <c r="H134" s="2"/>
      <c r="J134" s="1"/>
      <c r="K134" s="1"/>
      <c r="L134" s="2"/>
      <c r="N134" s="1"/>
      <c r="O134" s="1"/>
      <c r="P134" s="2"/>
    </row>
    <row r="135" spans="2:16" ht="15.75" customHeight="1">
      <c r="B135" s="1"/>
      <c r="C135" s="1"/>
      <c r="D135" s="2"/>
      <c r="F135" s="1"/>
      <c r="G135" s="1"/>
      <c r="H135" s="2"/>
      <c r="J135" s="1"/>
      <c r="K135" s="1"/>
      <c r="L135" s="2"/>
      <c r="N135" s="1"/>
      <c r="O135" s="1"/>
      <c r="P135" s="2"/>
    </row>
    <row r="136" spans="2:16" ht="15.75" customHeight="1">
      <c r="B136" s="1"/>
      <c r="C136" s="1"/>
      <c r="D136" s="2"/>
      <c r="F136" s="1"/>
      <c r="G136" s="1"/>
      <c r="H136" s="2"/>
      <c r="J136" s="1"/>
      <c r="K136" s="1"/>
      <c r="L136" s="2"/>
      <c r="N136" s="1"/>
      <c r="O136" s="1"/>
      <c r="P136" s="2"/>
    </row>
    <row r="137" spans="2:16" ht="15.75" customHeight="1">
      <c r="B137" s="1"/>
      <c r="C137" s="1"/>
      <c r="D137" s="2"/>
      <c r="F137" s="1"/>
      <c r="G137" s="1"/>
      <c r="H137" s="2"/>
      <c r="J137" s="1"/>
      <c r="K137" s="1"/>
      <c r="L137" s="2"/>
      <c r="N137" s="1"/>
      <c r="O137" s="1"/>
      <c r="P137" s="2"/>
    </row>
    <row r="138" spans="2:16" ht="15.75" customHeight="1">
      <c r="B138" s="1"/>
      <c r="C138" s="1"/>
      <c r="D138" s="2"/>
      <c r="F138" s="1"/>
      <c r="G138" s="1"/>
      <c r="H138" s="2"/>
      <c r="J138" s="1"/>
      <c r="K138" s="1"/>
      <c r="L138" s="2"/>
      <c r="N138" s="1"/>
      <c r="O138" s="1"/>
      <c r="P138" s="2"/>
    </row>
    <row r="139" spans="2:16" ht="15.75" customHeight="1">
      <c r="B139" s="1"/>
      <c r="C139" s="1"/>
      <c r="D139" s="2"/>
      <c r="F139" s="1"/>
      <c r="G139" s="1"/>
      <c r="H139" s="2"/>
      <c r="J139" s="1"/>
      <c r="K139" s="1"/>
      <c r="L139" s="2"/>
      <c r="N139" s="1"/>
      <c r="O139" s="1"/>
      <c r="P139" s="2"/>
    </row>
    <row r="140" spans="2:16" ht="15.75" customHeight="1">
      <c r="B140" s="1"/>
      <c r="C140" s="1"/>
      <c r="D140" s="2"/>
      <c r="F140" s="1"/>
      <c r="G140" s="1"/>
      <c r="H140" s="2"/>
      <c r="J140" s="1"/>
      <c r="K140" s="1"/>
      <c r="L140" s="2"/>
      <c r="N140" s="1"/>
      <c r="O140" s="1"/>
      <c r="P140" s="2"/>
    </row>
    <row r="141" spans="2:16" ht="15.75" customHeight="1">
      <c r="B141" s="1"/>
      <c r="C141" s="1"/>
      <c r="D141" s="2"/>
      <c r="F141" s="1"/>
      <c r="G141" s="1"/>
      <c r="H141" s="2"/>
      <c r="J141" s="1"/>
      <c r="K141" s="1"/>
      <c r="L141" s="2"/>
      <c r="N141" s="1"/>
      <c r="O141" s="1"/>
      <c r="P141" s="2"/>
    </row>
    <row r="142" spans="2:16" ht="15.75" customHeight="1">
      <c r="B142" s="1"/>
      <c r="C142" s="1"/>
      <c r="D142" s="2"/>
      <c r="F142" s="1"/>
      <c r="G142" s="1"/>
      <c r="H142" s="2"/>
      <c r="J142" s="1"/>
      <c r="K142" s="1"/>
      <c r="L142" s="2"/>
      <c r="N142" s="1"/>
      <c r="O142" s="1"/>
      <c r="P142" s="2"/>
    </row>
    <row r="143" spans="2:16" ht="15.75" customHeight="1">
      <c r="B143" s="1"/>
      <c r="C143" s="1"/>
      <c r="D143" s="2"/>
      <c r="F143" s="1"/>
      <c r="G143" s="1"/>
      <c r="H143" s="2"/>
      <c r="J143" s="1"/>
      <c r="K143" s="1"/>
      <c r="L143" s="2"/>
      <c r="N143" s="1"/>
      <c r="O143" s="1"/>
      <c r="P143" s="2"/>
    </row>
    <row r="144" spans="2:16" ht="15.75" customHeight="1">
      <c r="B144" s="1"/>
      <c r="C144" s="1"/>
      <c r="D144" s="2"/>
      <c r="F144" s="1"/>
      <c r="G144" s="1"/>
      <c r="H144" s="2"/>
      <c r="J144" s="1"/>
      <c r="K144" s="1"/>
      <c r="L144" s="2"/>
      <c r="N144" s="1"/>
      <c r="O144" s="1"/>
      <c r="P144" s="2"/>
    </row>
    <row r="145" spans="2:16" ht="15.75" customHeight="1">
      <c r="B145" s="1"/>
      <c r="C145" s="1"/>
      <c r="D145" s="2"/>
      <c r="F145" s="1"/>
      <c r="G145" s="1"/>
      <c r="H145" s="2"/>
      <c r="J145" s="1"/>
      <c r="K145" s="1"/>
      <c r="L145" s="2"/>
      <c r="N145" s="1"/>
      <c r="O145" s="1"/>
      <c r="P145" s="2"/>
    </row>
    <row r="146" spans="2:16" ht="15.75" customHeight="1">
      <c r="B146" s="1"/>
      <c r="C146" s="1"/>
      <c r="D146" s="2"/>
      <c r="F146" s="1"/>
      <c r="G146" s="1"/>
      <c r="H146" s="2"/>
      <c r="J146" s="1"/>
      <c r="K146" s="1"/>
      <c r="L146" s="2"/>
      <c r="N146" s="1"/>
      <c r="O146" s="1"/>
      <c r="P146" s="2"/>
    </row>
    <row r="147" spans="2:16" ht="15.75" customHeight="1">
      <c r="B147" s="1"/>
      <c r="C147" s="1"/>
      <c r="D147" s="2"/>
      <c r="F147" s="1"/>
      <c r="G147" s="1"/>
      <c r="H147" s="2"/>
      <c r="J147" s="1"/>
      <c r="K147" s="1"/>
      <c r="L147" s="2"/>
      <c r="N147" s="1"/>
      <c r="O147" s="1"/>
      <c r="P147" s="2"/>
    </row>
    <row r="148" spans="2:16" ht="15.75" customHeight="1">
      <c r="B148" s="1"/>
      <c r="C148" s="1"/>
      <c r="D148" s="2"/>
      <c r="F148" s="1"/>
      <c r="G148" s="1"/>
      <c r="H148" s="2"/>
      <c r="J148" s="1"/>
      <c r="K148" s="1"/>
      <c r="L148" s="2"/>
      <c r="N148" s="1"/>
      <c r="O148" s="1"/>
      <c r="P148" s="2"/>
    </row>
    <row r="149" spans="2:16" ht="15.75" customHeight="1">
      <c r="B149" s="1"/>
      <c r="C149" s="1"/>
      <c r="D149" s="2"/>
      <c r="F149" s="1"/>
      <c r="G149" s="1"/>
      <c r="H149" s="2"/>
      <c r="J149" s="1"/>
      <c r="K149" s="1"/>
      <c r="L149" s="2"/>
      <c r="N149" s="1"/>
      <c r="O149" s="1"/>
      <c r="P149" s="2"/>
    </row>
    <row r="150" spans="2:16" ht="15.75" customHeight="1">
      <c r="B150" s="1"/>
      <c r="C150" s="1"/>
      <c r="D150" s="2"/>
      <c r="F150" s="1"/>
      <c r="G150" s="1"/>
      <c r="H150" s="2"/>
      <c r="J150" s="1"/>
      <c r="K150" s="1"/>
      <c r="L150" s="2"/>
      <c r="N150" s="1"/>
      <c r="O150" s="1"/>
      <c r="P150" s="2"/>
    </row>
    <row r="151" spans="2:16" ht="15.75" customHeight="1">
      <c r="B151" s="1"/>
      <c r="C151" s="1"/>
      <c r="D151" s="2"/>
      <c r="F151" s="1"/>
      <c r="G151" s="1"/>
      <c r="H151" s="2"/>
      <c r="J151" s="1"/>
      <c r="K151" s="1"/>
      <c r="L151" s="2"/>
      <c r="N151" s="1"/>
      <c r="O151" s="1"/>
      <c r="P151" s="2"/>
    </row>
    <row r="152" spans="2:16" ht="15.75" customHeight="1">
      <c r="B152" s="1"/>
      <c r="C152" s="1"/>
      <c r="D152" s="2"/>
      <c r="F152" s="1"/>
      <c r="G152" s="1"/>
      <c r="H152" s="2"/>
      <c r="J152" s="1"/>
      <c r="K152" s="1"/>
      <c r="L152" s="2"/>
      <c r="N152" s="1"/>
      <c r="O152" s="1"/>
      <c r="P152" s="2"/>
    </row>
    <row r="153" spans="2:16" ht="15.75" customHeight="1">
      <c r="B153" s="1"/>
      <c r="C153" s="1"/>
      <c r="D153" s="2"/>
      <c r="F153" s="1"/>
      <c r="G153" s="1"/>
      <c r="H153" s="2"/>
      <c r="J153" s="1"/>
      <c r="K153" s="1"/>
      <c r="L153" s="2"/>
      <c r="N153" s="1"/>
      <c r="O153" s="1"/>
      <c r="P153" s="2"/>
    </row>
    <row r="154" spans="2:16" ht="15.75" customHeight="1">
      <c r="B154" s="1"/>
      <c r="C154" s="1"/>
      <c r="D154" s="2"/>
      <c r="F154" s="1"/>
      <c r="G154" s="1"/>
      <c r="H154" s="2"/>
      <c r="J154" s="1"/>
      <c r="K154" s="1"/>
      <c r="L154" s="2"/>
      <c r="N154" s="1"/>
      <c r="O154" s="1"/>
      <c r="P154" s="2"/>
    </row>
    <row r="155" spans="2:16" ht="15.75" customHeight="1">
      <c r="B155" s="1"/>
      <c r="C155" s="1"/>
      <c r="D155" s="2"/>
      <c r="F155" s="1"/>
      <c r="G155" s="1"/>
      <c r="H155" s="2"/>
      <c r="J155" s="1"/>
      <c r="K155" s="1"/>
      <c r="L155" s="2"/>
      <c r="N155" s="1"/>
      <c r="O155" s="1"/>
      <c r="P155" s="2"/>
    </row>
    <row r="156" spans="2:16" ht="15.75" customHeight="1">
      <c r="B156" s="1"/>
      <c r="C156" s="1"/>
      <c r="D156" s="2"/>
      <c r="F156" s="1"/>
      <c r="G156" s="1"/>
      <c r="H156" s="2"/>
      <c r="J156" s="1"/>
      <c r="K156" s="1"/>
      <c r="L156" s="2"/>
      <c r="N156" s="1"/>
      <c r="O156" s="1"/>
      <c r="P156" s="2"/>
    </row>
    <row r="157" spans="2:16" ht="15.75" customHeight="1">
      <c r="B157" s="1"/>
      <c r="C157" s="1"/>
      <c r="D157" s="2"/>
      <c r="F157" s="1"/>
      <c r="G157" s="1"/>
      <c r="H157" s="2"/>
      <c r="J157" s="1"/>
      <c r="K157" s="1"/>
      <c r="L157" s="2"/>
      <c r="N157" s="1"/>
      <c r="O157" s="1"/>
      <c r="P157" s="2"/>
    </row>
    <row r="158" spans="2:16" ht="15.75" customHeight="1">
      <c r="B158" s="1"/>
      <c r="C158" s="1"/>
      <c r="D158" s="2"/>
      <c r="F158" s="1"/>
      <c r="G158" s="1"/>
      <c r="H158" s="2"/>
      <c r="J158" s="1"/>
      <c r="K158" s="1"/>
      <c r="L158" s="2"/>
      <c r="N158" s="1"/>
      <c r="O158" s="1"/>
      <c r="P158" s="2"/>
    </row>
    <row r="159" spans="2:16" ht="15.75" customHeight="1">
      <c r="B159" s="1"/>
      <c r="C159" s="1"/>
      <c r="D159" s="2"/>
      <c r="F159" s="1"/>
      <c r="G159" s="1"/>
      <c r="H159" s="2"/>
      <c r="J159" s="1"/>
      <c r="K159" s="1"/>
      <c r="L159" s="2"/>
      <c r="N159" s="1"/>
      <c r="O159" s="1"/>
      <c r="P159" s="2"/>
    </row>
    <row r="160" spans="2:16" ht="15.75" customHeight="1">
      <c r="B160" s="1"/>
      <c r="C160" s="1"/>
      <c r="D160" s="2"/>
      <c r="F160" s="1"/>
      <c r="G160" s="1"/>
      <c r="H160" s="2"/>
      <c r="J160" s="1"/>
      <c r="K160" s="1"/>
      <c r="L160" s="2"/>
      <c r="N160" s="1"/>
      <c r="O160" s="1"/>
      <c r="P160" s="2"/>
    </row>
    <row r="161" spans="2:16" ht="15.75" customHeight="1">
      <c r="B161" s="1"/>
      <c r="C161" s="1"/>
      <c r="D161" s="2"/>
      <c r="F161" s="1"/>
      <c r="G161" s="1"/>
      <c r="H161" s="2"/>
      <c r="J161" s="1"/>
      <c r="K161" s="1"/>
      <c r="L161" s="2"/>
      <c r="N161" s="1"/>
      <c r="O161" s="1"/>
      <c r="P161" s="2"/>
    </row>
    <row r="162" spans="2:16" ht="15.75" customHeight="1">
      <c r="B162" s="1"/>
      <c r="C162" s="1"/>
      <c r="D162" s="2"/>
      <c r="F162" s="1"/>
      <c r="G162" s="1"/>
      <c r="H162" s="2"/>
      <c r="J162" s="1"/>
      <c r="K162" s="1"/>
      <c r="L162" s="2"/>
      <c r="N162" s="1"/>
      <c r="O162" s="1"/>
      <c r="P162" s="2"/>
    </row>
    <row r="163" spans="2:16" ht="15.75" customHeight="1">
      <c r="B163" s="1"/>
      <c r="C163" s="1"/>
      <c r="D163" s="2"/>
      <c r="F163" s="1"/>
      <c r="G163" s="1"/>
      <c r="H163" s="2"/>
      <c r="J163" s="1"/>
      <c r="K163" s="1"/>
      <c r="L163" s="2"/>
      <c r="N163" s="1"/>
      <c r="O163" s="1"/>
      <c r="P163" s="2"/>
    </row>
    <row r="164" spans="2:16" ht="15.75" customHeight="1">
      <c r="B164" s="1"/>
      <c r="C164" s="1"/>
      <c r="D164" s="2"/>
      <c r="F164" s="1"/>
      <c r="G164" s="1"/>
      <c r="H164" s="2"/>
      <c r="J164" s="1"/>
      <c r="K164" s="1"/>
      <c r="L164" s="2"/>
      <c r="N164" s="1"/>
      <c r="O164" s="1"/>
      <c r="P164" s="2"/>
    </row>
    <row r="165" spans="2:16" ht="15.75" customHeight="1">
      <c r="B165" s="1"/>
      <c r="C165" s="1"/>
      <c r="D165" s="2"/>
      <c r="F165" s="1"/>
      <c r="G165" s="1"/>
      <c r="H165" s="2"/>
      <c r="J165" s="1"/>
      <c r="K165" s="1"/>
      <c r="L165" s="2"/>
      <c r="N165" s="1"/>
      <c r="O165" s="1"/>
      <c r="P165" s="2"/>
    </row>
    <row r="166" spans="2:16" ht="15.75" customHeight="1">
      <c r="B166" s="1"/>
      <c r="C166" s="1"/>
      <c r="D166" s="2"/>
      <c r="F166" s="1"/>
      <c r="G166" s="1"/>
      <c r="H166" s="2"/>
      <c r="J166" s="1"/>
      <c r="K166" s="1"/>
      <c r="L166" s="2"/>
      <c r="N166" s="1"/>
      <c r="O166" s="1"/>
      <c r="P166" s="2"/>
    </row>
    <row r="167" spans="2:16" ht="15.75" customHeight="1">
      <c r="B167" s="1"/>
      <c r="C167" s="1"/>
      <c r="D167" s="2"/>
      <c r="F167" s="1"/>
      <c r="G167" s="1"/>
      <c r="H167" s="2"/>
      <c r="J167" s="1"/>
      <c r="K167" s="1"/>
      <c r="L167" s="2"/>
      <c r="N167" s="1"/>
      <c r="O167" s="1"/>
      <c r="P167" s="2"/>
    </row>
    <row r="168" spans="2:16" ht="15.75" customHeight="1">
      <c r="B168" s="1"/>
      <c r="C168" s="1"/>
      <c r="D168" s="2"/>
      <c r="F168" s="1"/>
      <c r="G168" s="1"/>
      <c r="H168" s="2"/>
      <c r="J168" s="1"/>
      <c r="K168" s="1"/>
      <c r="L168" s="2"/>
      <c r="N168" s="1"/>
      <c r="O168" s="1"/>
      <c r="P168" s="2"/>
    </row>
    <row r="169" spans="2:16" ht="15.75" customHeight="1">
      <c r="B169" s="1"/>
      <c r="C169" s="1"/>
      <c r="D169" s="2"/>
      <c r="F169" s="1"/>
      <c r="G169" s="1"/>
      <c r="H169" s="2"/>
      <c r="J169" s="1"/>
      <c r="K169" s="1"/>
      <c r="L169" s="2"/>
      <c r="N169" s="1"/>
      <c r="O169" s="1"/>
      <c r="P169" s="2"/>
    </row>
    <row r="170" spans="2:16" ht="15.75" customHeight="1">
      <c r="B170" s="1"/>
      <c r="C170" s="1"/>
      <c r="D170" s="2"/>
      <c r="F170" s="1"/>
      <c r="G170" s="1"/>
      <c r="H170" s="2"/>
      <c r="J170" s="1"/>
      <c r="K170" s="1"/>
      <c r="L170" s="2"/>
      <c r="N170" s="1"/>
      <c r="O170" s="1"/>
      <c r="P170" s="2"/>
    </row>
    <row r="171" spans="2:16" ht="15.75" customHeight="1">
      <c r="B171" s="1"/>
      <c r="C171" s="1"/>
      <c r="D171" s="2"/>
      <c r="F171" s="1"/>
      <c r="G171" s="1"/>
      <c r="H171" s="2"/>
      <c r="J171" s="1"/>
      <c r="K171" s="1"/>
      <c r="L171" s="2"/>
      <c r="N171" s="1"/>
      <c r="O171" s="1"/>
      <c r="P171" s="2"/>
    </row>
    <row r="172" spans="2:16" ht="15.75" customHeight="1">
      <c r="B172" s="1"/>
      <c r="C172" s="1"/>
      <c r="D172" s="2"/>
      <c r="F172" s="1"/>
      <c r="G172" s="1"/>
      <c r="H172" s="2"/>
      <c r="J172" s="1"/>
      <c r="K172" s="1"/>
      <c r="L172" s="2"/>
      <c r="N172" s="1"/>
      <c r="O172" s="1"/>
      <c r="P172" s="2"/>
    </row>
    <row r="173" spans="2:16" ht="15.75" customHeight="1">
      <c r="B173" s="1"/>
      <c r="C173" s="1"/>
      <c r="D173" s="2"/>
      <c r="F173" s="1"/>
      <c r="G173" s="1"/>
      <c r="H173" s="2"/>
      <c r="J173" s="1"/>
      <c r="K173" s="1"/>
      <c r="L173" s="2"/>
      <c r="N173" s="1"/>
      <c r="O173" s="1"/>
      <c r="P173" s="2"/>
    </row>
    <row r="174" spans="2:16" ht="15.75" customHeight="1">
      <c r="B174" s="1"/>
      <c r="C174" s="1"/>
      <c r="D174" s="2"/>
      <c r="F174" s="1"/>
      <c r="G174" s="1"/>
      <c r="H174" s="2"/>
      <c r="J174" s="1"/>
      <c r="K174" s="1"/>
      <c r="L174" s="2"/>
      <c r="N174" s="1"/>
      <c r="O174" s="1"/>
      <c r="P174" s="2"/>
    </row>
    <row r="175" spans="2:16" ht="15.75" customHeight="1">
      <c r="B175" s="1"/>
      <c r="C175" s="1"/>
      <c r="D175" s="2"/>
      <c r="F175" s="1"/>
      <c r="G175" s="1"/>
      <c r="H175" s="2"/>
      <c r="J175" s="1"/>
      <c r="K175" s="1"/>
      <c r="L175" s="2"/>
      <c r="N175" s="1"/>
      <c r="O175" s="1"/>
      <c r="P175" s="2"/>
    </row>
    <row r="176" spans="2:16" ht="15.75" customHeight="1">
      <c r="B176" s="1"/>
      <c r="C176" s="1"/>
      <c r="D176" s="2"/>
      <c r="F176" s="1"/>
      <c r="G176" s="1"/>
      <c r="H176" s="2"/>
      <c r="J176" s="1"/>
      <c r="K176" s="1"/>
      <c r="L176" s="2"/>
      <c r="N176" s="1"/>
      <c r="O176" s="1"/>
      <c r="P176" s="2"/>
    </row>
    <row r="177" spans="2:16" ht="15.75" customHeight="1">
      <c r="B177" s="1"/>
      <c r="C177" s="1"/>
      <c r="D177" s="2"/>
      <c r="F177" s="1"/>
      <c r="G177" s="1"/>
      <c r="H177" s="2"/>
      <c r="J177" s="1"/>
      <c r="K177" s="1"/>
      <c r="L177" s="2"/>
      <c r="N177" s="1"/>
      <c r="O177" s="1"/>
      <c r="P177" s="2"/>
    </row>
    <row r="178" spans="2:16" ht="15.75" customHeight="1">
      <c r="B178" s="1"/>
      <c r="C178" s="1"/>
      <c r="D178" s="2"/>
      <c r="F178" s="1"/>
      <c r="G178" s="1"/>
      <c r="H178" s="2"/>
      <c r="J178" s="1"/>
      <c r="K178" s="1"/>
      <c r="L178" s="2"/>
      <c r="N178" s="1"/>
      <c r="O178" s="1"/>
      <c r="P178" s="2"/>
    </row>
    <row r="179" spans="2:16" ht="15.75" customHeight="1">
      <c r="B179" s="1"/>
      <c r="C179" s="1"/>
      <c r="D179" s="2"/>
      <c r="F179" s="1"/>
      <c r="G179" s="1"/>
      <c r="H179" s="2"/>
      <c r="J179" s="1"/>
      <c r="K179" s="1"/>
      <c r="L179" s="2"/>
      <c r="N179" s="1"/>
      <c r="O179" s="1"/>
      <c r="P179" s="2"/>
    </row>
    <row r="180" spans="2:16" ht="15.75" customHeight="1">
      <c r="B180" s="1"/>
      <c r="C180" s="1"/>
      <c r="D180" s="2"/>
      <c r="F180" s="1"/>
      <c r="G180" s="1"/>
      <c r="H180" s="2"/>
      <c r="J180" s="1"/>
      <c r="K180" s="1"/>
      <c r="L180" s="2"/>
      <c r="N180" s="1"/>
      <c r="O180" s="1"/>
      <c r="P180" s="2"/>
    </row>
    <row r="181" spans="2:16" ht="15.75" customHeight="1">
      <c r="B181" s="1"/>
      <c r="C181" s="1"/>
      <c r="D181" s="2"/>
      <c r="F181" s="1"/>
      <c r="G181" s="1"/>
      <c r="H181" s="2"/>
      <c r="J181" s="1"/>
      <c r="K181" s="1"/>
      <c r="L181" s="2"/>
      <c r="N181" s="1"/>
      <c r="O181" s="1"/>
      <c r="P181" s="2"/>
    </row>
    <row r="182" spans="2:16" ht="15.75" customHeight="1">
      <c r="B182" s="1"/>
      <c r="C182" s="1"/>
      <c r="D182" s="2"/>
      <c r="F182" s="1"/>
      <c r="G182" s="1"/>
      <c r="H182" s="2"/>
      <c r="J182" s="1"/>
      <c r="K182" s="1"/>
      <c r="L182" s="2"/>
      <c r="N182" s="1"/>
      <c r="O182" s="1"/>
      <c r="P182" s="2"/>
    </row>
    <row r="183" spans="2:16" ht="15.75" customHeight="1">
      <c r="B183" s="1"/>
      <c r="C183" s="1"/>
      <c r="D183" s="2"/>
      <c r="F183" s="1"/>
      <c r="G183" s="1"/>
      <c r="H183" s="2"/>
      <c r="J183" s="1"/>
      <c r="K183" s="1"/>
      <c r="L183" s="2"/>
      <c r="N183" s="1"/>
      <c r="O183" s="1"/>
      <c r="P183" s="2"/>
    </row>
    <row r="184" spans="2:16" ht="15.75" customHeight="1">
      <c r="B184" s="1"/>
      <c r="C184" s="1"/>
      <c r="D184" s="2"/>
      <c r="F184" s="1"/>
      <c r="G184" s="1"/>
      <c r="H184" s="2"/>
      <c r="J184" s="1"/>
      <c r="K184" s="1"/>
      <c r="L184" s="2"/>
      <c r="N184" s="1"/>
      <c r="O184" s="1"/>
      <c r="P184" s="2"/>
    </row>
    <row r="185" spans="2:16" ht="15.75" customHeight="1">
      <c r="B185" s="1"/>
      <c r="C185" s="1"/>
      <c r="D185" s="2"/>
      <c r="F185" s="1"/>
      <c r="G185" s="1"/>
      <c r="H185" s="2"/>
      <c r="J185" s="1"/>
      <c r="K185" s="1"/>
      <c r="L185" s="2"/>
      <c r="N185" s="1"/>
      <c r="O185" s="1"/>
      <c r="P185" s="2"/>
    </row>
    <row r="186" spans="2:16" ht="15.75" customHeight="1">
      <c r="B186" s="1"/>
      <c r="C186" s="1"/>
      <c r="D186" s="2"/>
      <c r="F186" s="1"/>
      <c r="G186" s="1"/>
      <c r="H186" s="2"/>
      <c r="J186" s="1"/>
      <c r="K186" s="1"/>
      <c r="L186" s="2"/>
      <c r="N186" s="1"/>
      <c r="O186" s="1"/>
      <c r="P186" s="2"/>
    </row>
    <row r="187" spans="2:16" ht="15.75" customHeight="1">
      <c r="B187" s="1"/>
      <c r="C187" s="1"/>
      <c r="D187" s="2"/>
      <c r="F187" s="1"/>
      <c r="G187" s="1"/>
      <c r="H187" s="2"/>
      <c r="J187" s="1"/>
      <c r="K187" s="1"/>
      <c r="L187" s="2"/>
      <c r="N187" s="1"/>
      <c r="O187" s="1"/>
      <c r="P187" s="2"/>
    </row>
    <row r="188" spans="2:16" ht="15.75" customHeight="1">
      <c r="B188" s="1"/>
      <c r="C188" s="1"/>
      <c r="D188" s="2"/>
      <c r="F188" s="1"/>
      <c r="G188" s="1"/>
      <c r="H188" s="2"/>
      <c r="J188" s="1"/>
      <c r="K188" s="1"/>
      <c r="L188" s="2"/>
      <c r="N188" s="1"/>
      <c r="O188" s="1"/>
      <c r="P188" s="2"/>
    </row>
    <row r="189" spans="2:16" ht="15.75" customHeight="1">
      <c r="B189" s="1"/>
      <c r="C189" s="1"/>
      <c r="D189" s="2"/>
      <c r="F189" s="1"/>
      <c r="G189" s="1"/>
      <c r="H189" s="2"/>
      <c r="J189" s="1"/>
      <c r="K189" s="1"/>
      <c r="L189" s="2"/>
      <c r="N189" s="1"/>
      <c r="O189" s="1"/>
      <c r="P189" s="2"/>
    </row>
    <row r="190" spans="2:16" ht="15.75" customHeight="1">
      <c r="B190" s="1"/>
      <c r="C190" s="1"/>
      <c r="D190" s="2"/>
      <c r="F190" s="1"/>
      <c r="G190" s="1"/>
      <c r="H190" s="2"/>
      <c r="J190" s="1"/>
      <c r="K190" s="1"/>
      <c r="L190" s="2"/>
      <c r="N190" s="1"/>
      <c r="O190" s="1"/>
      <c r="P190" s="2"/>
    </row>
    <row r="191" spans="2:16" ht="15.75" customHeight="1">
      <c r="B191" s="1"/>
      <c r="C191" s="1"/>
      <c r="D191" s="2"/>
      <c r="F191" s="1"/>
      <c r="G191" s="1"/>
      <c r="H191" s="2"/>
      <c r="J191" s="1"/>
      <c r="K191" s="1"/>
      <c r="L191" s="2"/>
      <c r="N191" s="1"/>
      <c r="O191" s="1"/>
      <c r="P191" s="2"/>
    </row>
    <row r="192" spans="2:16" ht="15.75" customHeight="1">
      <c r="B192" s="1"/>
      <c r="C192" s="1"/>
      <c r="D192" s="2"/>
      <c r="F192" s="1"/>
      <c r="G192" s="1"/>
      <c r="H192" s="2"/>
      <c r="J192" s="1"/>
      <c r="K192" s="1"/>
      <c r="L192" s="2"/>
      <c r="N192" s="1"/>
      <c r="O192" s="1"/>
      <c r="P192" s="2"/>
    </row>
    <row r="193" spans="2:16" ht="15.75" customHeight="1">
      <c r="B193" s="1"/>
      <c r="C193" s="1"/>
      <c r="D193" s="2"/>
      <c r="F193" s="1"/>
      <c r="G193" s="1"/>
      <c r="H193" s="2"/>
      <c r="J193" s="1"/>
      <c r="K193" s="1"/>
      <c r="L193" s="2"/>
      <c r="N193" s="1"/>
      <c r="O193" s="1"/>
      <c r="P193" s="2"/>
    </row>
    <row r="194" spans="2:16" ht="15.75" customHeight="1">
      <c r="B194" s="1"/>
      <c r="C194" s="1"/>
      <c r="D194" s="2"/>
      <c r="F194" s="1"/>
      <c r="G194" s="1"/>
      <c r="H194" s="2"/>
      <c r="J194" s="1"/>
      <c r="K194" s="1"/>
      <c r="L194" s="2"/>
      <c r="N194" s="1"/>
      <c r="O194" s="1"/>
      <c r="P194" s="2"/>
    </row>
    <row r="195" spans="2:16" ht="15.75" customHeight="1">
      <c r="B195" s="1"/>
      <c r="C195" s="1"/>
      <c r="D195" s="2"/>
      <c r="F195" s="1"/>
      <c r="G195" s="1"/>
      <c r="H195" s="2"/>
      <c r="J195" s="1"/>
      <c r="K195" s="1"/>
      <c r="L195" s="2"/>
      <c r="N195" s="1"/>
      <c r="O195" s="1"/>
      <c r="P195" s="2"/>
    </row>
    <row r="196" spans="2:16" ht="15.75" customHeight="1">
      <c r="B196" s="1"/>
      <c r="C196" s="1"/>
      <c r="D196" s="2"/>
      <c r="F196" s="1"/>
      <c r="G196" s="1"/>
      <c r="H196" s="2"/>
      <c r="J196" s="1"/>
      <c r="K196" s="1"/>
      <c r="L196" s="2"/>
      <c r="N196" s="1"/>
      <c r="O196" s="1"/>
      <c r="P196" s="2"/>
    </row>
    <row r="197" spans="2:16" ht="15.75" customHeight="1">
      <c r="B197" s="1"/>
      <c r="C197" s="1"/>
      <c r="D197" s="2"/>
      <c r="F197" s="1"/>
      <c r="G197" s="1"/>
      <c r="H197" s="2"/>
      <c r="J197" s="1"/>
      <c r="K197" s="1"/>
      <c r="L197" s="2"/>
      <c r="N197" s="1"/>
      <c r="O197" s="1"/>
      <c r="P197" s="2"/>
    </row>
    <row r="198" spans="2:16" ht="15.75" customHeight="1">
      <c r="B198" s="1"/>
      <c r="C198" s="1"/>
      <c r="D198" s="2"/>
      <c r="F198" s="1"/>
      <c r="G198" s="1"/>
      <c r="H198" s="2"/>
      <c r="J198" s="1"/>
      <c r="K198" s="1"/>
      <c r="L198" s="2"/>
      <c r="N198" s="1"/>
      <c r="O198" s="1"/>
      <c r="P198" s="2"/>
    </row>
    <row r="199" spans="2:16" ht="15.75" customHeight="1">
      <c r="B199" s="1"/>
      <c r="C199" s="1"/>
      <c r="D199" s="2"/>
      <c r="F199" s="1"/>
      <c r="G199" s="1"/>
      <c r="H199" s="2"/>
      <c r="J199" s="1"/>
      <c r="K199" s="1"/>
      <c r="L199" s="2"/>
      <c r="N199" s="1"/>
      <c r="O199" s="1"/>
      <c r="P199" s="2"/>
    </row>
    <row r="200" spans="2:16" ht="15.75" customHeight="1">
      <c r="B200" s="1"/>
      <c r="C200" s="1"/>
      <c r="D200" s="2"/>
      <c r="F200" s="1"/>
      <c r="G200" s="1"/>
      <c r="H200" s="2"/>
      <c r="J200" s="1"/>
      <c r="K200" s="1"/>
      <c r="L200" s="2"/>
      <c r="N200" s="1"/>
      <c r="O200" s="1"/>
      <c r="P200" s="2"/>
    </row>
    <row r="201" spans="2:16" ht="15.75" customHeight="1">
      <c r="B201" s="1"/>
      <c r="C201" s="1"/>
      <c r="D201" s="2"/>
      <c r="F201" s="1"/>
      <c r="G201" s="1"/>
      <c r="H201" s="2"/>
      <c r="J201" s="1"/>
      <c r="K201" s="1"/>
      <c r="L201" s="2"/>
      <c r="N201" s="1"/>
      <c r="O201" s="1"/>
      <c r="P201" s="2"/>
    </row>
    <row r="202" spans="2:16" ht="15.75" customHeight="1">
      <c r="B202" s="1"/>
      <c r="C202" s="1"/>
      <c r="D202" s="2"/>
      <c r="F202" s="1"/>
      <c r="G202" s="1"/>
      <c r="H202" s="2"/>
      <c r="J202" s="1"/>
      <c r="K202" s="1"/>
      <c r="L202" s="2"/>
      <c r="N202" s="1"/>
      <c r="O202" s="1"/>
      <c r="P202" s="2"/>
    </row>
    <row r="203" spans="2:16" ht="15.75" customHeight="1">
      <c r="B203" s="1"/>
      <c r="C203" s="1"/>
      <c r="D203" s="2"/>
      <c r="F203" s="1"/>
      <c r="G203" s="1"/>
      <c r="H203" s="2"/>
      <c r="J203" s="1"/>
      <c r="K203" s="1"/>
      <c r="L203" s="2"/>
      <c r="N203" s="1"/>
      <c r="O203" s="1"/>
      <c r="P203" s="2"/>
    </row>
    <row r="204" spans="2:16" ht="15.75" customHeight="1">
      <c r="B204" s="1"/>
      <c r="C204" s="1"/>
      <c r="D204" s="2"/>
      <c r="F204" s="1"/>
      <c r="G204" s="1"/>
      <c r="H204" s="2"/>
      <c r="J204" s="1"/>
      <c r="K204" s="1"/>
      <c r="L204" s="2"/>
      <c r="N204" s="1"/>
      <c r="O204" s="1"/>
      <c r="P204" s="2"/>
    </row>
    <row r="205" spans="2:16" ht="15.75" customHeight="1">
      <c r="B205" s="1"/>
      <c r="C205" s="1"/>
      <c r="D205" s="2"/>
      <c r="F205" s="1"/>
      <c r="G205" s="1"/>
      <c r="H205" s="2"/>
      <c r="J205" s="1"/>
      <c r="K205" s="1"/>
      <c r="L205" s="2"/>
      <c r="N205" s="1"/>
      <c r="O205" s="1"/>
      <c r="P205" s="2"/>
    </row>
    <row r="206" spans="2:16" ht="15.75" customHeight="1">
      <c r="B206" s="1"/>
      <c r="C206" s="1"/>
      <c r="D206" s="2"/>
      <c r="F206" s="1"/>
      <c r="G206" s="1"/>
      <c r="H206" s="2"/>
      <c r="J206" s="1"/>
      <c r="K206" s="1"/>
      <c r="L206" s="2"/>
      <c r="N206" s="1"/>
      <c r="O206" s="1"/>
      <c r="P206" s="2"/>
    </row>
    <row r="207" spans="2:16" ht="15.75" customHeight="1">
      <c r="B207" s="1"/>
      <c r="C207" s="1"/>
      <c r="D207" s="2"/>
      <c r="F207" s="1"/>
      <c r="G207" s="1"/>
      <c r="H207" s="2"/>
      <c r="J207" s="1"/>
      <c r="K207" s="1"/>
      <c r="L207" s="2"/>
      <c r="N207" s="1"/>
      <c r="O207" s="1"/>
      <c r="P207" s="2"/>
    </row>
    <row r="208" spans="2:16" ht="15.75" customHeight="1">
      <c r="B208" s="1"/>
      <c r="C208" s="1"/>
      <c r="D208" s="2"/>
      <c r="F208" s="1"/>
      <c r="G208" s="1"/>
      <c r="H208" s="2"/>
      <c r="J208" s="1"/>
      <c r="K208" s="1"/>
      <c r="L208" s="2"/>
      <c r="N208" s="1"/>
      <c r="O208" s="1"/>
      <c r="P208" s="2"/>
    </row>
    <row r="209" spans="2:16" ht="15.75" customHeight="1">
      <c r="B209" s="1"/>
      <c r="C209" s="1"/>
      <c r="D209" s="2"/>
      <c r="F209" s="1"/>
      <c r="G209" s="1"/>
      <c r="H209" s="2"/>
      <c r="J209" s="1"/>
      <c r="K209" s="1"/>
      <c r="L209" s="2"/>
      <c r="N209" s="1"/>
      <c r="O209" s="1"/>
      <c r="P209" s="2"/>
    </row>
    <row r="210" spans="2:16" ht="15.75" customHeight="1">
      <c r="B210" s="1"/>
      <c r="C210" s="1"/>
      <c r="D210" s="2"/>
      <c r="F210" s="1"/>
      <c r="G210" s="1"/>
      <c r="H210" s="2"/>
      <c r="J210" s="1"/>
      <c r="K210" s="1"/>
      <c r="L210" s="2"/>
      <c r="N210" s="1"/>
      <c r="O210" s="1"/>
      <c r="P210" s="2"/>
    </row>
    <row r="211" spans="2:16" ht="15.75" customHeight="1">
      <c r="B211" s="1"/>
      <c r="C211" s="1"/>
      <c r="D211" s="2"/>
      <c r="F211" s="1"/>
      <c r="G211" s="1"/>
      <c r="H211" s="2"/>
      <c r="J211" s="1"/>
      <c r="K211" s="1"/>
      <c r="L211" s="2"/>
      <c r="N211" s="1"/>
      <c r="O211" s="1"/>
      <c r="P211" s="2"/>
    </row>
    <row r="212" spans="2:16" ht="15.75" customHeight="1">
      <c r="B212" s="1"/>
      <c r="C212" s="1"/>
      <c r="D212" s="2"/>
      <c r="F212" s="1"/>
      <c r="G212" s="1"/>
      <c r="H212" s="2"/>
      <c r="J212" s="1"/>
      <c r="K212" s="1"/>
      <c r="L212" s="2"/>
      <c r="N212" s="1"/>
      <c r="O212" s="1"/>
      <c r="P212" s="2"/>
    </row>
    <row r="213" spans="2:16" ht="15.75" customHeight="1">
      <c r="B213" s="1"/>
      <c r="C213" s="1"/>
      <c r="D213" s="2"/>
      <c r="F213" s="1"/>
      <c r="G213" s="1"/>
      <c r="H213" s="2"/>
      <c r="J213" s="1"/>
      <c r="K213" s="1"/>
      <c r="L213" s="2"/>
      <c r="N213" s="1"/>
      <c r="O213" s="1"/>
      <c r="P213" s="2"/>
    </row>
    <row r="214" spans="2:16" ht="15.75" customHeight="1">
      <c r="B214" s="1"/>
      <c r="C214" s="1"/>
      <c r="D214" s="2"/>
      <c r="F214" s="1"/>
      <c r="G214" s="1"/>
      <c r="H214" s="2"/>
      <c r="J214" s="1"/>
      <c r="K214" s="1"/>
      <c r="L214" s="2"/>
      <c r="N214" s="1"/>
      <c r="O214" s="1"/>
      <c r="P214" s="2"/>
    </row>
    <row r="215" spans="2:16" ht="15.75" customHeight="1">
      <c r="B215" s="1"/>
      <c r="C215" s="1"/>
      <c r="D215" s="2"/>
      <c r="F215" s="1"/>
      <c r="G215" s="1"/>
      <c r="H215" s="2"/>
      <c r="J215" s="1"/>
      <c r="K215" s="1"/>
      <c r="L215" s="2"/>
      <c r="N215" s="1"/>
      <c r="O215" s="1"/>
      <c r="P215" s="2"/>
    </row>
    <row r="216" spans="2:16" ht="15.75" customHeight="1">
      <c r="B216" s="1"/>
      <c r="C216" s="1"/>
      <c r="D216" s="2"/>
      <c r="F216" s="1"/>
      <c r="G216" s="1"/>
      <c r="H216" s="2"/>
      <c r="J216" s="1"/>
      <c r="K216" s="1"/>
      <c r="L216" s="2"/>
      <c r="N216" s="1"/>
      <c r="O216" s="1"/>
      <c r="P216" s="2"/>
    </row>
    <row r="217" spans="2:16" ht="15.75" customHeight="1">
      <c r="B217" s="1"/>
      <c r="C217" s="1"/>
      <c r="D217" s="2"/>
      <c r="F217" s="1"/>
      <c r="G217" s="1"/>
      <c r="H217" s="2"/>
      <c r="J217" s="1"/>
      <c r="K217" s="1"/>
      <c r="L217" s="2"/>
      <c r="N217" s="1"/>
      <c r="O217" s="1"/>
      <c r="P217" s="2"/>
    </row>
    <row r="218" spans="2:16" ht="15.75" customHeight="1">
      <c r="B218" s="1"/>
      <c r="C218" s="1"/>
      <c r="D218" s="2"/>
      <c r="F218" s="1"/>
      <c r="G218" s="1"/>
      <c r="H218" s="2"/>
      <c r="J218" s="1"/>
      <c r="K218" s="1"/>
      <c r="L218" s="2"/>
      <c r="N218" s="1"/>
      <c r="O218" s="1"/>
      <c r="P218" s="2"/>
    </row>
    <row r="219" spans="2:16" ht="15.75" customHeight="1">
      <c r="B219" s="1"/>
      <c r="C219" s="1"/>
      <c r="D219" s="2"/>
      <c r="F219" s="1"/>
      <c r="G219" s="1"/>
      <c r="H219" s="2"/>
      <c r="J219" s="1"/>
      <c r="K219" s="1"/>
      <c r="L219" s="2"/>
      <c r="N219" s="1"/>
      <c r="O219" s="1"/>
      <c r="P219" s="2"/>
    </row>
    <row r="220" spans="2:16" ht="15.75" customHeight="1">
      <c r="B220" s="1"/>
      <c r="C220" s="1"/>
      <c r="D220" s="2"/>
      <c r="F220" s="1"/>
      <c r="G220" s="1"/>
      <c r="H220" s="2"/>
      <c r="J220" s="1"/>
      <c r="K220" s="1"/>
      <c r="L220" s="2"/>
      <c r="N220" s="1"/>
      <c r="O220" s="1"/>
      <c r="P220" s="2"/>
    </row>
    <row r="221" spans="2:16" ht="15.75" customHeight="1">
      <c r="B221" s="1"/>
      <c r="C221" s="1"/>
      <c r="D221" s="2"/>
      <c r="F221" s="1"/>
      <c r="G221" s="1"/>
      <c r="H221" s="2"/>
      <c r="J221" s="1"/>
      <c r="K221" s="1"/>
      <c r="L221" s="2"/>
      <c r="N221" s="1"/>
      <c r="O221" s="1"/>
      <c r="P221" s="2"/>
    </row>
    <row r="222" spans="2:16" ht="15.75" customHeight="1">
      <c r="B222" s="1"/>
      <c r="C222" s="1"/>
      <c r="D222" s="2"/>
      <c r="F222" s="1"/>
      <c r="G222" s="1"/>
      <c r="H222" s="2"/>
      <c r="J222" s="1"/>
      <c r="K222" s="1"/>
      <c r="L222" s="2"/>
      <c r="N222" s="1"/>
      <c r="O222" s="1"/>
      <c r="P222" s="2"/>
    </row>
    <row r="223" spans="2:16" ht="15.75" customHeight="1">
      <c r="B223" s="1"/>
      <c r="C223" s="1"/>
      <c r="D223" s="2"/>
      <c r="F223" s="1"/>
      <c r="G223" s="1"/>
      <c r="H223" s="2"/>
      <c r="J223" s="1"/>
      <c r="K223" s="1"/>
      <c r="L223" s="2"/>
      <c r="N223" s="1"/>
      <c r="O223" s="1"/>
      <c r="P223" s="2"/>
    </row>
    <row r="224" spans="2:16" ht="15.75" customHeight="1">
      <c r="B224" s="1"/>
      <c r="C224" s="1"/>
      <c r="D224" s="2"/>
      <c r="F224" s="1"/>
      <c r="G224" s="1"/>
      <c r="H224" s="2"/>
      <c r="J224" s="1"/>
      <c r="K224" s="1"/>
      <c r="L224" s="2"/>
      <c r="N224" s="1"/>
      <c r="O224" s="1"/>
      <c r="P224" s="2"/>
    </row>
    <row r="225" spans="2:16" ht="15.75" customHeight="1">
      <c r="B225" s="1"/>
      <c r="C225" s="1"/>
      <c r="D225" s="2"/>
      <c r="F225" s="1"/>
      <c r="G225" s="1"/>
      <c r="H225" s="2"/>
      <c r="J225" s="1"/>
      <c r="K225" s="1"/>
      <c r="L225" s="2"/>
      <c r="N225" s="1"/>
      <c r="O225" s="1"/>
      <c r="P225" s="2"/>
    </row>
    <row r="226" spans="2:16" ht="15.75" customHeight="1">
      <c r="B226" s="1"/>
      <c r="C226" s="1"/>
      <c r="D226" s="2"/>
      <c r="F226" s="1"/>
      <c r="G226" s="1"/>
      <c r="H226" s="2"/>
      <c r="J226" s="1"/>
      <c r="K226" s="1"/>
      <c r="L226" s="2"/>
      <c r="N226" s="1"/>
      <c r="O226" s="1"/>
      <c r="P226" s="2"/>
    </row>
    <row r="227" spans="2:16" ht="15.75" customHeight="1">
      <c r="B227" s="1"/>
      <c r="C227" s="1"/>
      <c r="D227" s="2"/>
      <c r="F227" s="1"/>
      <c r="G227" s="1"/>
      <c r="H227" s="2"/>
      <c r="J227" s="1"/>
      <c r="K227" s="1"/>
      <c r="L227" s="2"/>
      <c r="N227" s="1"/>
      <c r="O227" s="1"/>
      <c r="P227" s="2"/>
    </row>
    <row r="228" spans="2:16" ht="15.75" customHeight="1">
      <c r="B228" s="1"/>
      <c r="C228" s="1"/>
      <c r="D228" s="2"/>
      <c r="F228" s="1"/>
      <c r="G228" s="1"/>
      <c r="H228" s="2"/>
      <c r="J228" s="1"/>
      <c r="K228" s="1"/>
      <c r="L228" s="2"/>
      <c r="N228" s="1"/>
      <c r="O228" s="1"/>
      <c r="P228" s="2"/>
    </row>
    <row r="229" spans="2:16" ht="15.75" customHeight="1">
      <c r="B229" s="1"/>
      <c r="C229" s="1"/>
      <c r="D229" s="2"/>
      <c r="F229" s="1"/>
      <c r="G229" s="1"/>
      <c r="H229" s="2"/>
      <c r="J229" s="1"/>
      <c r="K229" s="1"/>
      <c r="L229" s="2"/>
      <c r="N229" s="1"/>
      <c r="O229" s="1"/>
      <c r="P229" s="2"/>
    </row>
    <row r="230" spans="2:16" ht="15.75" customHeight="1">
      <c r="B230" s="1"/>
      <c r="C230" s="1"/>
      <c r="D230" s="2"/>
      <c r="F230" s="1"/>
      <c r="G230" s="1"/>
      <c r="H230" s="2"/>
      <c r="J230" s="1"/>
      <c r="K230" s="1"/>
      <c r="L230" s="2"/>
      <c r="N230" s="1"/>
      <c r="O230" s="1"/>
      <c r="P230" s="2"/>
    </row>
    <row r="231" spans="2:16" ht="15.75" customHeight="1">
      <c r="B231" s="1"/>
      <c r="C231" s="1"/>
      <c r="D231" s="2"/>
      <c r="F231" s="1"/>
      <c r="G231" s="1"/>
      <c r="H231" s="2"/>
      <c r="J231" s="1"/>
      <c r="K231" s="1"/>
      <c r="L231" s="2"/>
      <c r="N231" s="1"/>
      <c r="O231" s="1"/>
      <c r="P231" s="2"/>
    </row>
    <row r="232" spans="2:16" ht="15.75" customHeight="1">
      <c r="B232" s="1"/>
      <c r="C232" s="1"/>
      <c r="D232" s="2"/>
      <c r="F232" s="1"/>
      <c r="G232" s="1"/>
      <c r="H232" s="2"/>
      <c r="J232" s="1"/>
      <c r="K232" s="1"/>
      <c r="L232" s="2"/>
      <c r="N232" s="1"/>
      <c r="O232" s="1"/>
      <c r="P232" s="2"/>
    </row>
    <row r="233" spans="2:16" ht="15.75" customHeight="1">
      <c r="B233" s="1"/>
      <c r="C233" s="1"/>
      <c r="D233" s="2"/>
      <c r="F233" s="1"/>
      <c r="G233" s="1"/>
      <c r="H233" s="2"/>
      <c r="J233" s="1"/>
      <c r="K233" s="1"/>
      <c r="L233" s="2"/>
      <c r="N233" s="1"/>
      <c r="O233" s="1"/>
      <c r="P233" s="2"/>
    </row>
    <row r="234" spans="2:16" ht="15.75" customHeight="1">
      <c r="B234" s="1"/>
      <c r="C234" s="1"/>
      <c r="D234" s="2"/>
      <c r="F234" s="1"/>
      <c r="G234" s="1"/>
      <c r="H234" s="2"/>
      <c r="J234" s="1"/>
      <c r="K234" s="1"/>
      <c r="L234" s="2"/>
      <c r="N234" s="1"/>
      <c r="O234" s="1"/>
      <c r="P234" s="2"/>
    </row>
    <row r="235" spans="2:16" ht="15.75" customHeight="1">
      <c r="B235" s="1"/>
      <c r="C235" s="1"/>
      <c r="D235" s="2"/>
      <c r="F235" s="1"/>
      <c r="G235" s="1"/>
      <c r="H235" s="2"/>
      <c r="J235" s="1"/>
      <c r="K235" s="1"/>
      <c r="L235" s="2"/>
      <c r="N235" s="1"/>
      <c r="O235" s="1"/>
      <c r="P235" s="2"/>
    </row>
    <row r="236" spans="2:16" ht="15.75" customHeight="1">
      <c r="B236" s="1"/>
      <c r="C236" s="1"/>
      <c r="D236" s="2"/>
      <c r="F236" s="1"/>
      <c r="G236" s="1"/>
      <c r="H236" s="2"/>
      <c r="J236" s="1"/>
      <c r="K236" s="1"/>
      <c r="L236" s="2"/>
      <c r="N236" s="1"/>
      <c r="O236" s="1"/>
      <c r="P236" s="2"/>
    </row>
    <row r="237" spans="2:16" ht="15.75" customHeight="1">
      <c r="B237" s="1"/>
      <c r="C237" s="1"/>
      <c r="D237" s="2"/>
      <c r="F237" s="1"/>
      <c r="G237" s="1"/>
      <c r="H237" s="2"/>
      <c r="J237" s="1"/>
      <c r="K237" s="1"/>
      <c r="L237" s="2"/>
      <c r="N237" s="1"/>
      <c r="O237" s="1"/>
      <c r="P237" s="2"/>
    </row>
    <row r="238" spans="2:16" ht="15.75" customHeight="1">
      <c r="B238" s="1"/>
      <c r="C238" s="1"/>
      <c r="D238" s="2"/>
      <c r="F238" s="1"/>
      <c r="G238" s="1"/>
      <c r="H238" s="2"/>
      <c r="J238" s="1"/>
      <c r="K238" s="1"/>
      <c r="L238" s="2"/>
      <c r="N238" s="1"/>
      <c r="O238" s="1"/>
      <c r="P238" s="2"/>
    </row>
    <row r="239" spans="2:16" ht="15.75" customHeight="1">
      <c r="B239" s="1"/>
      <c r="C239" s="1"/>
      <c r="D239" s="2"/>
      <c r="F239" s="1"/>
      <c r="G239" s="1"/>
      <c r="H239" s="2"/>
      <c r="J239" s="1"/>
      <c r="K239" s="1"/>
      <c r="L239" s="2"/>
      <c r="N239" s="1"/>
      <c r="O239" s="1"/>
      <c r="P239" s="2"/>
    </row>
    <row r="240" spans="2:16" ht="15.75" customHeight="1">
      <c r="B240" s="1"/>
      <c r="C240" s="1"/>
      <c r="D240" s="2"/>
      <c r="F240" s="1"/>
      <c r="G240" s="1"/>
      <c r="H240" s="2"/>
      <c r="J240" s="1"/>
      <c r="K240" s="1"/>
      <c r="L240" s="2"/>
      <c r="N240" s="1"/>
      <c r="O240" s="1"/>
      <c r="P240" s="2"/>
    </row>
    <row r="241" spans="2:16" ht="15.75" customHeight="1">
      <c r="B241" s="1"/>
      <c r="C241" s="1"/>
      <c r="D241" s="2"/>
      <c r="F241" s="1"/>
      <c r="G241" s="1"/>
      <c r="H241" s="2"/>
      <c r="J241" s="1"/>
      <c r="K241" s="1"/>
      <c r="L241" s="2"/>
      <c r="N241" s="1"/>
      <c r="O241" s="1"/>
      <c r="P241" s="2"/>
    </row>
    <row r="242" spans="2:16" ht="15.75" customHeight="1">
      <c r="B242" s="1"/>
      <c r="C242" s="1"/>
      <c r="D242" s="2"/>
      <c r="F242" s="1"/>
      <c r="G242" s="1"/>
      <c r="H242" s="2"/>
      <c r="J242" s="1"/>
      <c r="K242" s="1"/>
      <c r="L242" s="2"/>
      <c r="N242" s="1"/>
      <c r="O242" s="1"/>
      <c r="P242" s="2"/>
    </row>
    <row r="243" spans="2:16" ht="15.75" customHeight="1">
      <c r="B243" s="1"/>
      <c r="C243" s="1"/>
      <c r="D243" s="2"/>
      <c r="F243" s="1"/>
      <c r="G243" s="1"/>
      <c r="H243" s="2"/>
      <c r="J243" s="1"/>
      <c r="K243" s="1"/>
      <c r="L243" s="2"/>
      <c r="N243" s="1"/>
      <c r="O243" s="1"/>
      <c r="P243" s="2"/>
    </row>
    <row r="244" spans="2:16" ht="15.75" customHeight="1">
      <c r="B244" s="1"/>
      <c r="C244" s="1"/>
      <c r="D244" s="2"/>
      <c r="F244" s="1"/>
      <c r="G244" s="1"/>
      <c r="H244" s="2"/>
      <c r="J244" s="1"/>
      <c r="K244" s="1"/>
      <c r="L244" s="2"/>
      <c r="N244" s="1"/>
      <c r="O244" s="1"/>
      <c r="P244" s="2"/>
    </row>
    <row r="245" spans="2:16" ht="15.75" customHeight="1">
      <c r="B245" s="1"/>
      <c r="C245" s="1"/>
      <c r="D245" s="2"/>
      <c r="F245" s="1"/>
      <c r="G245" s="1"/>
      <c r="H245" s="2"/>
      <c r="J245" s="1"/>
      <c r="K245" s="1"/>
      <c r="L245" s="2"/>
      <c r="N245" s="1"/>
      <c r="O245" s="1"/>
      <c r="P245" s="2"/>
    </row>
    <row r="246" spans="2:16" ht="15.75" customHeight="1">
      <c r="B246" s="1"/>
      <c r="C246" s="1"/>
      <c r="D246" s="2"/>
      <c r="F246" s="1"/>
      <c r="G246" s="1"/>
      <c r="H246" s="2"/>
      <c r="J246" s="1"/>
      <c r="K246" s="1"/>
      <c r="L246" s="2"/>
      <c r="N246" s="1"/>
      <c r="O246" s="1"/>
      <c r="P246" s="2"/>
    </row>
    <row r="247" spans="2:16" ht="15.75" customHeight="1">
      <c r="B247" s="1"/>
      <c r="C247" s="1"/>
      <c r="D247" s="2"/>
      <c r="F247" s="1"/>
      <c r="G247" s="1"/>
      <c r="H247" s="2"/>
      <c r="J247" s="1"/>
      <c r="K247" s="1"/>
      <c r="L247" s="2"/>
      <c r="N247" s="1"/>
      <c r="O247" s="1"/>
      <c r="P247" s="2"/>
    </row>
    <row r="248" spans="2:16" ht="15.75" customHeight="1"/>
    <row r="249" spans="2:16" ht="15.75" customHeight="1"/>
    <row r="250" spans="2:16" ht="15.75" customHeight="1"/>
    <row r="251" spans="2:16" ht="15.75" customHeight="1"/>
    <row r="252" spans="2:16" ht="15.75" customHeight="1"/>
    <row r="253" spans="2:16" ht="15.75" customHeight="1"/>
    <row r="254" spans="2:16" ht="15.75" customHeight="1"/>
    <row r="255" spans="2:16" ht="15.75" customHeight="1"/>
    <row r="256" spans="2:1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F2:H2"/>
    <mergeCell ref="J2:L2"/>
    <mergeCell ref="N2:P2"/>
    <mergeCell ref="B3:D3"/>
    <mergeCell ref="F3:H3"/>
    <mergeCell ref="J3:L3"/>
    <mergeCell ref="N3:P3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C00"/>
    <outlinePr summaryBelow="0" summaryRight="0"/>
  </sheetPr>
  <dimension ref="A1:BG1465"/>
  <sheetViews>
    <sheetView showGridLines="0" tabSelected="1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baseColWidth="10" defaultColWidth="14.3984375" defaultRowHeight="15" customHeight="1" outlineLevelRow="1"/>
  <cols>
    <col min="1" max="1" width="2.796875" customWidth="1"/>
    <col min="2" max="2" width="10.19921875" customWidth="1"/>
    <col min="3" max="3" width="20.796875" customWidth="1"/>
    <col min="4" max="4" width="41.3984375" customWidth="1"/>
    <col min="5" max="5" width="10.3984375" customWidth="1"/>
    <col min="6" max="6" width="19.59765625" customWidth="1"/>
    <col min="7" max="7" width="18.59765625" customWidth="1"/>
    <col min="8" max="8" width="24.19921875" customWidth="1"/>
    <col min="9" max="43" width="13.796875" customWidth="1"/>
    <col min="44" max="44" width="17.59765625" customWidth="1"/>
    <col min="45" max="45" width="2.796875" customWidth="1"/>
    <col min="46" max="57" width="13.796875" customWidth="1"/>
    <col min="58" max="58" width="2.796875" customWidth="1"/>
    <col min="59" max="59" width="13.796875" customWidth="1"/>
  </cols>
  <sheetData>
    <row r="1" spans="1:59" ht="15.75" customHeight="1">
      <c r="A1" s="147" t="s">
        <v>997</v>
      </c>
      <c r="B1" s="105"/>
      <c r="C1" s="113"/>
      <c r="D1" s="292"/>
      <c r="E1" s="105"/>
      <c r="F1" s="95"/>
      <c r="G1" s="113"/>
      <c r="H1" s="113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103"/>
      <c r="W1" s="72"/>
      <c r="X1" s="72"/>
      <c r="Y1" s="72"/>
      <c r="Z1" s="103"/>
      <c r="AA1" s="103"/>
      <c r="AB1" s="103"/>
      <c r="AC1" s="103"/>
      <c r="AD1" s="103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103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113"/>
      <c r="BG1" s="113"/>
    </row>
    <row r="2" spans="1:59" ht="15.75" customHeight="1">
      <c r="A2" s="113"/>
      <c r="B2" s="105"/>
      <c r="C2" s="113"/>
      <c r="D2" s="113"/>
      <c r="E2" s="105"/>
      <c r="F2" s="95"/>
      <c r="G2" s="113"/>
      <c r="H2" s="113"/>
      <c r="I2" s="72"/>
      <c r="J2" s="104"/>
      <c r="K2" s="104"/>
      <c r="L2" s="72"/>
      <c r="M2" s="72"/>
      <c r="N2" s="72"/>
      <c r="O2" s="72"/>
      <c r="P2" s="72"/>
      <c r="Q2" s="72"/>
      <c r="R2" s="72"/>
      <c r="S2" s="72"/>
      <c r="T2" s="72"/>
      <c r="U2" s="72"/>
      <c r="V2" s="103"/>
      <c r="W2" s="72"/>
      <c r="X2" s="72"/>
      <c r="Y2" s="72"/>
      <c r="Z2" s="103"/>
      <c r="AA2" s="103"/>
      <c r="AB2" s="103"/>
      <c r="AC2" s="103"/>
      <c r="AD2" s="103"/>
      <c r="AE2" s="72"/>
      <c r="AF2" s="89">
        <v>468.46800000000002</v>
      </c>
      <c r="AG2" s="119">
        <v>253.5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103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113"/>
      <c r="BG2" s="113"/>
    </row>
    <row r="3" spans="1:59" ht="15.75" customHeight="1">
      <c r="A3" s="138"/>
      <c r="B3" s="440" t="s">
        <v>20</v>
      </c>
      <c r="C3" s="452" t="s">
        <v>21</v>
      </c>
      <c r="D3" s="440" t="s">
        <v>22</v>
      </c>
      <c r="E3" s="456" t="s">
        <v>23</v>
      </c>
      <c r="F3" s="411"/>
      <c r="G3" s="440" t="s">
        <v>24</v>
      </c>
      <c r="H3" s="441" t="s">
        <v>4</v>
      </c>
      <c r="I3" s="436" t="s">
        <v>259</v>
      </c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10"/>
      <c r="X3" s="410"/>
      <c r="Y3" s="411"/>
      <c r="Z3" s="436" t="s">
        <v>260</v>
      </c>
      <c r="AA3" s="410"/>
      <c r="AB3" s="410"/>
      <c r="AC3" s="410"/>
      <c r="AD3" s="410"/>
      <c r="AE3" s="410"/>
      <c r="AF3" s="410"/>
      <c r="AG3" s="410"/>
      <c r="AH3" s="410"/>
      <c r="AI3" s="410"/>
      <c r="AJ3" s="410"/>
      <c r="AK3" s="410"/>
      <c r="AL3" s="410"/>
      <c r="AM3" s="411"/>
      <c r="AN3" s="433" t="s">
        <v>261</v>
      </c>
      <c r="AO3" s="433" t="s">
        <v>262</v>
      </c>
      <c r="AP3" s="433" t="s">
        <v>1022</v>
      </c>
      <c r="AQ3" s="433" t="s">
        <v>1023</v>
      </c>
      <c r="AR3" s="434" t="s">
        <v>1024</v>
      </c>
      <c r="AS3" s="111"/>
      <c r="AT3" s="435" t="s">
        <v>262</v>
      </c>
      <c r="AU3" s="410"/>
      <c r="AV3" s="410"/>
      <c r="AW3" s="410"/>
      <c r="AX3" s="410"/>
      <c r="AY3" s="410"/>
      <c r="AZ3" s="410"/>
      <c r="BA3" s="410"/>
      <c r="BB3" s="410"/>
      <c r="BC3" s="410"/>
      <c r="BD3" s="410"/>
      <c r="BE3" s="411"/>
      <c r="BF3" s="138"/>
      <c r="BG3" s="113"/>
    </row>
    <row r="4" spans="1:59" ht="15.75" customHeight="1">
      <c r="A4" s="138"/>
      <c r="B4" s="413"/>
      <c r="C4" s="413"/>
      <c r="D4" s="413"/>
      <c r="E4" s="448" t="s">
        <v>26</v>
      </c>
      <c r="F4" s="457" t="s">
        <v>27</v>
      </c>
      <c r="G4" s="413"/>
      <c r="H4" s="413"/>
      <c r="I4" s="431" t="s">
        <v>1025</v>
      </c>
      <c r="J4" s="437" t="s">
        <v>266</v>
      </c>
      <c r="K4" s="411"/>
      <c r="L4" s="436" t="s">
        <v>267</v>
      </c>
      <c r="M4" s="410"/>
      <c r="N4" s="410"/>
      <c r="O4" s="410"/>
      <c r="P4" s="411"/>
      <c r="Q4" s="122"/>
      <c r="R4" s="438" t="s">
        <v>268</v>
      </c>
      <c r="S4" s="410"/>
      <c r="T4" s="411"/>
      <c r="U4" s="436" t="s">
        <v>269</v>
      </c>
      <c r="V4" s="410"/>
      <c r="W4" s="411"/>
      <c r="X4" s="439" t="s">
        <v>270</v>
      </c>
      <c r="Y4" s="431" t="s">
        <v>271</v>
      </c>
      <c r="Z4" s="436" t="s">
        <v>272</v>
      </c>
      <c r="AA4" s="410"/>
      <c r="AB4" s="410"/>
      <c r="AC4" s="410"/>
      <c r="AD4" s="410"/>
      <c r="AE4" s="411"/>
      <c r="AF4" s="437" t="s">
        <v>266</v>
      </c>
      <c r="AG4" s="411"/>
      <c r="AH4" s="439" t="s">
        <v>273</v>
      </c>
      <c r="AI4" s="438" t="s">
        <v>274</v>
      </c>
      <c r="AJ4" s="410"/>
      <c r="AK4" s="411"/>
      <c r="AL4" s="439" t="s">
        <v>275</v>
      </c>
      <c r="AM4" s="431" t="s">
        <v>271</v>
      </c>
      <c r="AN4" s="413"/>
      <c r="AO4" s="413"/>
      <c r="AP4" s="413"/>
      <c r="AQ4" s="413"/>
      <c r="AR4" s="413"/>
      <c r="AS4" s="111"/>
      <c r="AT4" s="431" t="s">
        <v>4</v>
      </c>
      <c r="AU4" s="431" t="s">
        <v>276</v>
      </c>
      <c r="AV4" s="431" t="s">
        <v>277</v>
      </c>
      <c r="AW4" s="431" t="s">
        <v>278</v>
      </c>
      <c r="AX4" s="431" t="s">
        <v>269</v>
      </c>
      <c r="AY4" s="431" t="s">
        <v>270</v>
      </c>
      <c r="AZ4" s="436" t="s">
        <v>266</v>
      </c>
      <c r="BA4" s="410"/>
      <c r="BB4" s="411"/>
      <c r="BC4" s="431" t="s">
        <v>261</v>
      </c>
      <c r="BD4" s="431" t="s">
        <v>279</v>
      </c>
      <c r="BE4" s="431" t="s">
        <v>262</v>
      </c>
      <c r="BF4" s="138"/>
      <c r="BG4" s="113"/>
    </row>
    <row r="5" spans="1:59" ht="15.75" customHeight="1">
      <c r="A5" s="138"/>
      <c r="B5" s="414"/>
      <c r="C5" s="414"/>
      <c r="D5" s="414"/>
      <c r="E5" s="414"/>
      <c r="F5" s="414"/>
      <c r="G5" s="414"/>
      <c r="H5" s="414"/>
      <c r="I5" s="414"/>
      <c r="J5" s="123" t="s">
        <v>280</v>
      </c>
      <c r="K5" s="123" t="s">
        <v>281</v>
      </c>
      <c r="L5" s="109" t="s">
        <v>282</v>
      </c>
      <c r="M5" s="109" t="s">
        <v>283</v>
      </c>
      <c r="N5" s="123" t="s">
        <v>284</v>
      </c>
      <c r="O5" s="172" t="s">
        <v>285</v>
      </c>
      <c r="P5" s="109" t="s">
        <v>286</v>
      </c>
      <c r="Q5" s="122"/>
      <c r="R5" s="122" t="s">
        <v>282</v>
      </c>
      <c r="S5" s="122" t="s">
        <v>287</v>
      </c>
      <c r="T5" s="122" t="s">
        <v>288</v>
      </c>
      <c r="U5" s="109" t="s">
        <v>289</v>
      </c>
      <c r="V5" s="123" t="s">
        <v>290</v>
      </c>
      <c r="W5" s="109" t="s">
        <v>286</v>
      </c>
      <c r="X5" s="414"/>
      <c r="Y5" s="414"/>
      <c r="Z5" s="123" t="s">
        <v>291</v>
      </c>
      <c r="AA5" s="123" t="s">
        <v>292</v>
      </c>
      <c r="AB5" s="123" t="s">
        <v>293</v>
      </c>
      <c r="AC5" s="123" t="s">
        <v>280</v>
      </c>
      <c r="AD5" s="123" t="s">
        <v>294</v>
      </c>
      <c r="AE5" s="109" t="s">
        <v>286</v>
      </c>
      <c r="AF5" s="123" t="s">
        <v>280</v>
      </c>
      <c r="AG5" s="123" t="s">
        <v>281</v>
      </c>
      <c r="AH5" s="414"/>
      <c r="AI5" s="122" t="s">
        <v>295</v>
      </c>
      <c r="AJ5" s="122" t="s">
        <v>296</v>
      </c>
      <c r="AK5" s="122" t="s">
        <v>297</v>
      </c>
      <c r="AL5" s="414"/>
      <c r="AM5" s="414"/>
      <c r="AN5" s="414"/>
      <c r="AO5" s="414"/>
      <c r="AP5" s="414"/>
      <c r="AQ5" s="414"/>
      <c r="AR5" s="414"/>
      <c r="AS5" s="111"/>
      <c r="AT5" s="414"/>
      <c r="AU5" s="414"/>
      <c r="AV5" s="414"/>
      <c r="AW5" s="414"/>
      <c r="AX5" s="414"/>
      <c r="AY5" s="414"/>
      <c r="AZ5" s="109" t="s">
        <v>298</v>
      </c>
      <c r="BA5" s="109" t="s">
        <v>299</v>
      </c>
      <c r="BB5" s="109" t="s">
        <v>281</v>
      </c>
      <c r="BC5" s="414"/>
      <c r="BD5" s="414"/>
      <c r="BE5" s="414"/>
      <c r="BF5" s="138"/>
      <c r="BG5" s="113"/>
    </row>
    <row r="6" spans="1:59" ht="15.75" customHeight="1" outlineLevel="1">
      <c r="A6" s="113"/>
      <c r="B6" s="224">
        <v>1</v>
      </c>
      <c r="C6" s="263" t="s">
        <v>301</v>
      </c>
      <c r="D6" s="66" t="s">
        <v>302</v>
      </c>
      <c r="E6" s="67" t="s">
        <v>57</v>
      </c>
      <c r="F6" s="68" t="s">
        <v>1137</v>
      </c>
      <c r="G6" s="67" t="s">
        <v>31</v>
      </c>
      <c r="H6" s="92" t="s">
        <v>32</v>
      </c>
      <c r="I6" s="69">
        <f t="shared" ref="I6:I15" si="0">IF(H6="FULL - EXISTING",5729876,5729876/O6*N6)</f>
        <v>5729876</v>
      </c>
      <c r="J6" s="70">
        <v>316368</v>
      </c>
      <c r="K6" s="70">
        <v>203800</v>
      </c>
      <c r="L6" s="70">
        <v>200000</v>
      </c>
      <c r="M6" s="69">
        <f t="shared" ref="M6:M67" ca="1" si="1">L6/O6</f>
        <v>10000</v>
      </c>
      <c r="N6" s="125">
        <f ca="1">IFERROR(__xludf.DUMMYFUNCTION("VLOOKUP(C6,IMPORTRANGE(""https://docs.google.com/spreadsheets/d/1ZLN5T8y7NSBIP1rvSj6TTUR_vTQbRwUKSt8zZJ_EfE4/edit?gid=461094331#gid=461094331"",""SCHEDULE_SDT_JAN26""),35,0)"),20)</f>
        <v>20</v>
      </c>
      <c r="O6" s="125">
        <f ca="1">IFERROR(__xludf.DUMMYFUNCTION("VLOOKUP(C6,IMPORTRANGE(""https://docs.google.com/spreadsheets/d/1ZLN5T8y7NSBIP1rvSj6TTUR_vTQbRwUKSt8zZJ_EfE4/edit?gid=461094331#gid=461094331"",""SCHEDULE_SDT_JAN26""),34,0)"),20)</f>
        <v>20</v>
      </c>
      <c r="P6" s="61">
        <f t="shared" ref="P6:P81" ca="1" si="2">M6*N6</f>
        <v>200000</v>
      </c>
      <c r="Q6" s="71"/>
      <c r="R6" s="69">
        <f t="shared" ref="R6:R81" si="3">I6+J6+K6+L6</f>
        <v>6450044</v>
      </c>
      <c r="S6" s="69">
        <f t="shared" ref="S6:S81" si="4">I6+J6+K6+L6</f>
        <v>6450044</v>
      </c>
      <c r="T6" s="61">
        <f t="shared" ref="T6:T81" si="5">IF(R6-S6&lt;0,R6-S6,0)</f>
        <v>0</v>
      </c>
      <c r="U6" s="70">
        <v>250000</v>
      </c>
      <c r="V6" s="61">
        <f ca="1">IFERROR(__xludf.DUMMYFUNCTION("VLOOKUP(C6,IMPORTRANGE(""https://docs.google.com/spreadsheets/d/1ZLN5T8y7NSBIP1rvSj6TTUR_vTQbRwUKSt8zZJ_EfE4/edit?gid=461094331#gid=461094331"",""SCHEDULE_SDT_JAN26""),36,0)"),1)</f>
        <v>1</v>
      </c>
      <c r="W6" s="69">
        <f t="shared" ref="W6:W81" ca="1" si="6">U6*V6</f>
        <v>250000</v>
      </c>
      <c r="X6" s="69">
        <v>0</v>
      </c>
      <c r="Y6" s="69">
        <f t="shared" ref="Y6:Y81" ca="1" si="7">I6+J6+K6+P6+W6+X6</f>
        <v>6700044</v>
      </c>
      <c r="Z6" s="61">
        <f ca="1">IFERROR(__xludf.DUMMYFUNCTION("VLOOKUP(C6,IMPORTRANGE(""https://docs.google.com/spreadsheets/d/1ZLN5T8y7NSBIP1rvSj6TTUR_vTQbRwUKSt8zZJ_EfE4/edit?gid=461094331#gid=461094331"",""SCHEDULE_SDT_JAN26""),38,0)+VLOOKUP(C6,IMPORTRANGE(""https://docs.google.com/spreadsheets/d/1ZLN5T8y7NSBIP1rv"&amp;"Sj6TTUR_vTQbRwUKSt8zZJ_EfE4/edit?gid=461094331#gid=461094331"",""SCHEDULE_SDT_JAN26""),39,0)"),0)</f>
        <v>0</v>
      </c>
      <c r="AA6" s="61">
        <f ca="1">IFERROR(__xludf.DUMMYFUNCTION("VLOOKUP(C6,IMPORTRANGE(""https://docs.google.com/spreadsheets/d/1ZLN5T8y7NSBIP1rvSj6TTUR_vTQbRwUKSt8zZJ_EfE4/edit?gid=461094331#gid=461094331"",""SCHEDULE_SDT_JAN26""),40,0)"),0)</f>
        <v>0</v>
      </c>
      <c r="AB6" s="61">
        <f ca="1">IFERROR(__xludf.DUMMYFUNCTION("VLOOKUP(C6,IMPORTRANGE(""https://docs.google.com/spreadsheets/d/1ZLN5T8y7NSBIP1rvSj6TTUR_vTQbRwUKSt8zZJ_EfE4/edit?gid=461094331#gid=461094331"",""SCHEDULE_SDT_JAN26""),41,0)"),0)</f>
        <v>0</v>
      </c>
      <c r="AC6" s="61">
        <f ca="1">IFERROR(__xludf.DUMMYFUNCTION("VLOOKUP(C6,IMPORTRANGE(""https://docs.google.com/spreadsheets/d/1ZLN5T8y7NSBIP1rvSj6TTUR_vTQbRwUKSt8zZJ_EfE4/edit?gid=461094331#gid=461094331"",""SCHEDULE_SDT_JAN26""),42,0)"),0)</f>
        <v>0</v>
      </c>
      <c r="AD6" s="61">
        <f ca="1">IFERROR(__xludf.DUMMYFUNCTION("VLOOKUP(C6,IMPORTRANGE(""https://docs.google.com/spreadsheets/d/1ZLN5T8y7NSBIP1rvSj6TTUR_vTQbRwUKSt8zZJ_EfE4/edit?gid=461094331#gid=461094331"",""SCHEDULE_SDT_JAN26""),43,0)"),0)</f>
        <v>0</v>
      </c>
      <c r="AE6" s="69">
        <f t="shared" ref="AE6:AE81" ca="1" si="8">U6*(Z6+AA6+AD6+(AC6))</f>
        <v>0</v>
      </c>
      <c r="AF6" s="19">
        <v>468468</v>
      </c>
      <c r="AG6" s="19">
        <v>253500</v>
      </c>
      <c r="AH6" s="70">
        <v>0</v>
      </c>
      <c r="AI6" s="69">
        <v>0</v>
      </c>
      <c r="AJ6" s="69">
        <v>0</v>
      </c>
      <c r="AK6" s="69">
        <f t="shared" ref="AK6:AK81" si="9">AI6-AJ6</f>
        <v>0</v>
      </c>
      <c r="AL6" s="69">
        <v>0</v>
      </c>
      <c r="AM6" s="69">
        <f t="shared" ref="AM6:AM81" ca="1" si="10">AE6+AF6+AG6+AH6+AJ6+AL6</f>
        <v>721968</v>
      </c>
      <c r="AN6" s="69">
        <f t="shared" ref="AN6:AN81" ca="1" si="11">Y6-AM6</f>
        <v>5978076</v>
      </c>
      <c r="AO6" s="69">
        <f t="shared" ref="AO6:AO81" ca="1" si="12">BE6</f>
        <v>0</v>
      </c>
      <c r="AP6" s="69">
        <f t="shared" ref="AP6:AP81" ca="1" si="13">AN6-AO6</f>
        <v>5978076</v>
      </c>
      <c r="AQ6" s="69">
        <f t="shared" ref="AQ6:AQ81" ca="1" si="14">AP6-X6</f>
        <v>5978076</v>
      </c>
      <c r="AR6" s="69">
        <f t="shared" ref="AR6:AR81" ca="1" si="15">IF(AQ6&gt;0,ROUND(AQ6,-2),0)</f>
        <v>5978100</v>
      </c>
      <c r="AS6" s="72"/>
      <c r="AT6" s="73" t="s">
        <v>8</v>
      </c>
      <c r="AU6" s="61" t="s">
        <v>19</v>
      </c>
      <c r="AV6" s="69">
        <f t="shared" ref="AV6:AV15" si="16">I6</f>
        <v>5729876</v>
      </c>
      <c r="AW6" s="69">
        <f t="shared" ref="AW6:AW15" ca="1" si="17">P6</f>
        <v>200000</v>
      </c>
      <c r="AX6" s="69">
        <f t="shared" ref="AX6:AX15" ca="1" si="18">W6</f>
        <v>250000</v>
      </c>
      <c r="AY6" s="69">
        <v>0</v>
      </c>
      <c r="AZ6" s="70">
        <f t="shared" ref="AZ6:AZ15" si="19">IF(J6=0,0,AV6*0.24%)</f>
        <v>13751.702399999998</v>
      </c>
      <c r="BA6" s="69">
        <f t="shared" ref="BA6:BA15" si="20">IF(J6=0,0,AV6*0.3%)</f>
        <v>17189.628000000001</v>
      </c>
      <c r="BB6" s="69">
        <f t="shared" ref="BB6:BB15" si="21">IF(K6=0,0,AV6*4%)</f>
        <v>229195.04</v>
      </c>
      <c r="BC6" s="69">
        <f t="shared" ref="BC6:BC15" ca="1" si="22">SUM(AV6:BB6)</f>
        <v>6440012.3703999994</v>
      </c>
      <c r="BD6" s="74">
        <f ca="1">IF(AU6="C",VLOOKUP(BC6,TER!$J$4:$L$50,3,TRUE),IF(AU6="B",VLOOKUP(BC6,TER!$F$4:$H$50,3,TRUE),IF(AU6="A",VLOOKUP(BC6,TER!$B$4:$D$50,3,TRUE),"ERROR")))</f>
        <v>0</v>
      </c>
      <c r="BE6" s="69">
        <f t="shared" ref="BE6:BE15" ca="1" si="23">BC6*BD6</f>
        <v>0</v>
      </c>
      <c r="BF6" s="113"/>
      <c r="BG6" s="113"/>
    </row>
    <row r="7" spans="1:59" ht="15.75" customHeight="1" outlineLevel="1">
      <c r="A7" s="113"/>
      <c r="B7" s="224">
        <v>2</v>
      </c>
      <c r="C7" s="124" t="s">
        <v>28</v>
      </c>
      <c r="D7" s="66" t="s">
        <v>29</v>
      </c>
      <c r="E7" s="67" t="s">
        <v>57</v>
      </c>
      <c r="F7" s="68" t="s">
        <v>1138</v>
      </c>
      <c r="G7" s="67" t="s">
        <v>31</v>
      </c>
      <c r="H7" s="66" t="s">
        <v>32</v>
      </c>
      <c r="I7" s="69">
        <f t="shared" si="0"/>
        <v>5729876</v>
      </c>
      <c r="J7" s="70">
        <v>316368</v>
      </c>
      <c r="K7" s="70">
        <v>203800</v>
      </c>
      <c r="L7" s="70">
        <v>1000000</v>
      </c>
      <c r="M7" s="69">
        <f t="shared" ca="1" si="1"/>
        <v>50000</v>
      </c>
      <c r="N7" s="125">
        <f ca="1">IFERROR(__xludf.DUMMYFUNCTION("VLOOKUP(C7,IMPORTRANGE(""https://docs.google.com/spreadsheets/d/1ZLN5T8y7NSBIP1rvSj6TTUR_vTQbRwUKSt8zZJ_EfE4/edit?gid=461094331#gid=461094331"",""SCHEDULE_SDT_JAN26""),35,0)"),20)</f>
        <v>20</v>
      </c>
      <c r="O7" s="125">
        <f ca="1">IFERROR(__xludf.DUMMYFUNCTION("VLOOKUP(C7,IMPORTRANGE(""https://docs.google.com/spreadsheets/d/1ZLN5T8y7NSBIP1rvSj6TTUR_vTQbRwUKSt8zZJ_EfE4/edit?gid=461094331#gid=461094331"",""SCHEDULE_SDT_JAN26""),34,0)"),20)</f>
        <v>20</v>
      </c>
      <c r="P7" s="61">
        <f t="shared" ca="1" si="2"/>
        <v>1000000</v>
      </c>
      <c r="Q7" s="71"/>
      <c r="R7" s="69">
        <f t="shared" si="3"/>
        <v>7250044</v>
      </c>
      <c r="S7" s="69">
        <f t="shared" si="4"/>
        <v>7250044</v>
      </c>
      <c r="T7" s="61">
        <f t="shared" si="5"/>
        <v>0</v>
      </c>
      <c r="U7" s="70">
        <v>250000</v>
      </c>
      <c r="V7" s="61">
        <f ca="1">IFERROR(__xludf.DUMMYFUNCTION("VLOOKUP(C7,IMPORTRANGE(""https://docs.google.com/spreadsheets/d/1ZLN5T8y7NSBIP1rvSj6TTUR_vTQbRwUKSt8zZJ_EfE4/edit?gid=461094331#gid=461094331"",""SCHEDULE_SDT_JAN26""),36,0)"),0)</f>
        <v>0</v>
      </c>
      <c r="W7" s="69">
        <f t="shared" ca="1" si="6"/>
        <v>0</v>
      </c>
      <c r="X7" s="69">
        <v>0</v>
      </c>
      <c r="Y7" s="69">
        <f t="shared" ca="1" si="7"/>
        <v>7250044</v>
      </c>
      <c r="Z7" s="61">
        <f ca="1">IFERROR(__xludf.DUMMYFUNCTION("VLOOKUP(C7,IMPORTRANGE(""https://docs.google.com/spreadsheets/d/1ZLN5T8y7NSBIP1rvSj6TTUR_vTQbRwUKSt8zZJ_EfE4/edit?gid=461094331#gid=461094331"",""SCHEDULE_SDT_JAN26""),38,0)+VLOOKUP(C7,IMPORTRANGE(""https://docs.google.com/spreadsheets/d/1ZLN5T8y7NSBIP1rv"&amp;"Sj6TTUR_vTQbRwUKSt8zZJ_EfE4/edit?gid=461094331#gid=461094331"",""SCHEDULE_SDT_JAN26""),39,0)"),0)</f>
        <v>0</v>
      </c>
      <c r="AA7" s="61">
        <f ca="1">IFERROR(__xludf.DUMMYFUNCTION("VLOOKUP(C7,IMPORTRANGE(""https://docs.google.com/spreadsheets/d/1ZLN5T8y7NSBIP1rvSj6TTUR_vTQbRwUKSt8zZJ_EfE4/edit?gid=461094331#gid=461094331"",""SCHEDULE_SDT_JAN26""),40,0)"),0)</f>
        <v>0</v>
      </c>
      <c r="AB7" s="61">
        <f ca="1">IFERROR(__xludf.DUMMYFUNCTION("VLOOKUP(C7,IMPORTRANGE(""https://docs.google.com/spreadsheets/d/1ZLN5T8y7NSBIP1rvSj6TTUR_vTQbRwUKSt8zZJ_EfE4/edit?gid=461094331#gid=461094331"",""SCHEDULE_SDT_JAN26""),41,0)"),0)</f>
        <v>0</v>
      </c>
      <c r="AC7" s="61">
        <f ca="1">IFERROR(__xludf.DUMMYFUNCTION("VLOOKUP(C7,IMPORTRANGE(""https://docs.google.com/spreadsheets/d/1ZLN5T8y7NSBIP1rvSj6TTUR_vTQbRwUKSt8zZJ_EfE4/edit?gid=461094331#gid=461094331"",""SCHEDULE_SDT_JAN26""),42,0)"),0)</f>
        <v>0</v>
      </c>
      <c r="AD7" s="61">
        <f ca="1">IFERROR(__xludf.DUMMYFUNCTION("VLOOKUP(C7,IMPORTRANGE(""https://docs.google.com/spreadsheets/d/1ZLN5T8y7NSBIP1rvSj6TTUR_vTQbRwUKSt8zZJ_EfE4/edit?gid=461094331#gid=461094331"",""SCHEDULE_SDT_JAN26""),43,0)"),0)</f>
        <v>0</v>
      </c>
      <c r="AE7" s="69">
        <f t="shared" ca="1" si="8"/>
        <v>0</v>
      </c>
      <c r="AF7" s="19">
        <v>468468</v>
      </c>
      <c r="AG7" s="19">
        <v>253500</v>
      </c>
      <c r="AH7" s="69">
        <v>0</v>
      </c>
      <c r="AI7" s="69">
        <v>0</v>
      </c>
      <c r="AJ7" s="69">
        <v>0</v>
      </c>
      <c r="AK7" s="69">
        <f t="shared" si="9"/>
        <v>0</v>
      </c>
      <c r="AL7" s="69">
        <v>0</v>
      </c>
      <c r="AM7" s="69">
        <f t="shared" ca="1" si="10"/>
        <v>721968</v>
      </c>
      <c r="AN7" s="69">
        <f t="shared" ca="1" si="11"/>
        <v>6528076</v>
      </c>
      <c r="AO7" s="69">
        <f t="shared" ca="1" si="12"/>
        <v>34950.061851999999</v>
      </c>
      <c r="AP7" s="69">
        <f t="shared" ca="1" si="13"/>
        <v>6493125.9381480003</v>
      </c>
      <c r="AQ7" s="69">
        <f t="shared" ca="1" si="14"/>
        <v>6493125.9381480003</v>
      </c>
      <c r="AR7" s="69">
        <f t="shared" ca="1" si="15"/>
        <v>6493100</v>
      </c>
      <c r="AS7" s="72"/>
      <c r="AT7" s="73" t="s">
        <v>8</v>
      </c>
      <c r="AU7" s="61" t="s">
        <v>19</v>
      </c>
      <c r="AV7" s="69">
        <f t="shared" si="16"/>
        <v>5729876</v>
      </c>
      <c r="AW7" s="69">
        <f t="shared" ca="1" si="17"/>
        <v>1000000</v>
      </c>
      <c r="AX7" s="69">
        <f t="shared" ca="1" si="18"/>
        <v>0</v>
      </c>
      <c r="AY7" s="69">
        <v>0</v>
      </c>
      <c r="AZ7" s="70">
        <f t="shared" si="19"/>
        <v>13751.702399999998</v>
      </c>
      <c r="BA7" s="69">
        <f t="shared" si="20"/>
        <v>17189.628000000001</v>
      </c>
      <c r="BB7" s="69">
        <f t="shared" si="21"/>
        <v>229195.04</v>
      </c>
      <c r="BC7" s="69">
        <f t="shared" ca="1" si="22"/>
        <v>6990012.3703999994</v>
      </c>
      <c r="BD7" s="74">
        <f ca="1">IF(AU7="C",VLOOKUP(BC7,TER!$J$4:$L$50,3,TRUE),IF(AU7="B",VLOOKUP(BC7,TER!$F$4:$H$50,3,TRUE),IF(AU7="A",VLOOKUP(BC7,TER!$B$4:$D$50,3,TRUE),"ERROR")))</f>
        <v>5.0000000000000001E-3</v>
      </c>
      <c r="BE7" s="69">
        <f t="shared" ca="1" si="23"/>
        <v>34950.061851999999</v>
      </c>
      <c r="BF7" s="113"/>
      <c r="BG7" s="113"/>
    </row>
    <row r="8" spans="1:59" ht="15.75" customHeight="1" outlineLevel="1">
      <c r="A8" s="113"/>
      <c r="B8" s="224">
        <v>3</v>
      </c>
      <c r="C8" s="124" t="s">
        <v>33</v>
      </c>
      <c r="D8" s="66" t="s">
        <v>34</v>
      </c>
      <c r="E8" s="67" t="s">
        <v>57</v>
      </c>
      <c r="F8" s="68" t="s">
        <v>1139</v>
      </c>
      <c r="G8" s="67" t="s">
        <v>31</v>
      </c>
      <c r="H8" s="66" t="s">
        <v>32</v>
      </c>
      <c r="I8" s="69">
        <f t="shared" si="0"/>
        <v>5729876</v>
      </c>
      <c r="J8" s="70">
        <v>316368</v>
      </c>
      <c r="K8" s="70">
        <v>203800</v>
      </c>
      <c r="L8" s="70">
        <v>200000</v>
      </c>
      <c r="M8" s="69">
        <f t="shared" ca="1" si="1"/>
        <v>10000</v>
      </c>
      <c r="N8" s="125">
        <f ca="1">IFERROR(__xludf.DUMMYFUNCTION("VLOOKUP(C8,IMPORTRANGE(""https://docs.google.com/spreadsheets/d/1ZLN5T8y7NSBIP1rvSj6TTUR_vTQbRwUKSt8zZJ_EfE4/edit?gid=461094331#gid=461094331"",""SCHEDULE_SDT_JAN26""),35,0)"),20)</f>
        <v>20</v>
      </c>
      <c r="O8" s="125">
        <f ca="1">IFERROR(__xludf.DUMMYFUNCTION("VLOOKUP(C8,IMPORTRANGE(""https://docs.google.com/spreadsheets/d/1ZLN5T8y7NSBIP1rvSj6TTUR_vTQbRwUKSt8zZJ_EfE4/edit?gid=461094331#gid=461094331"",""SCHEDULE_SDT_JAN26""),34,0)"),20)</f>
        <v>20</v>
      </c>
      <c r="P8" s="61">
        <f t="shared" ca="1" si="2"/>
        <v>200000</v>
      </c>
      <c r="Q8" s="71"/>
      <c r="R8" s="69">
        <f t="shared" si="3"/>
        <v>6450044</v>
      </c>
      <c r="S8" s="69">
        <f t="shared" si="4"/>
        <v>6450044</v>
      </c>
      <c r="T8" s="61">
        <f t="shared" si="5"/>
        <v>0</v>
      </c>
      <c r="U8" s="70">
        <v>250000</v>
      </c>
      <c r="V8" s="61">
        <f ca="1">IFERROR(__xludf.DUMMYFUNCTION("VLOOKUP(C8,IMPORTRANGE(""https://docs.google.com/spreadsheets/d/1ZLN5T8y7NSBIP1rvSj6TTUR_vTQbRwUKSt8zZJ_EfE4/edit?gid=461094331#gid=461094331"",""SCHEDULE_SDT_JAN26""),36,0)"),2)</f>
        <v>2</v>
      </c>
      <c r="W8" s="69">
        <f t="shared" ca="1" si="6"/>
        <v>500000</v>
      </c>
      <c r="X8" s="69">
        <v>0</v>
      </c>
      <c r="Y8" s="69">
        <f t="shared" ca="1" si="7"/>
        <v>6950044</v>
      </c>
      <c r="Z8" s="61">
        <f ca="1">IFERROR(__xludf.DUMMYFUNCTION("VLOOKUP(C8,IMPORTRANGE(""https://docs.google.com/spreadsheets/d/1ZLN5T8y7NSBIP1rvSj6TTUR_vTQbRwUKSt8zZJ_EfE4/edit?gid=461094331#gid=461094331"",""SCHEDULE_SDT_JAN26""),38,0)+VLOOKUP(C8,IMPORTRANGE(""https://docs.google.com/spreadsheets/d/1ZLN5T8y7NSBIP1rv"&amp;"Sj6TTUR_vTQbRwUKSt8zZJ_EfE4/edit?gid=461094331#gid=461094331"",""SCHEDULE_SDT_JAN26""),39,0)"),0)</f>
        <v>0</v>
      </c>
      <c r="AA8" s="61">
        <f ca="1">IFERROR(__xludf.DUMMYFUNCTION("VLOOKUP(C8,IMPORTRANGE(""https://docs.google.com/spreadsheets/d/1ZLN5T8y7NSBIP1rvSj6TTUR_vTQbRwUKSt8zZJ_EfE4/edit?gid=461094331#gid=461094331"",""SCHEDULE_SDT_JAN26""),40,0)"),0)</f>
        <v>0</v>
      </c>
      <c r="AB8" s="61">
        <f ca="1">IFERROR(__xludf.DUMMYFUNCTION("VLOOKUP(C8,IMPORTRANGE(""https://docs.google.com/spreadsheets/d/1ZLN5T8y7NSBIP1rvSj6TTUR_vTQbRwUKSt8zZJ_EfE4/edit?gid=461094331#gid=461094331"",""SCHEDULE_SDT_JAN26""),41,0)"),0)</f>
        <v>0</v>
      </c>
      <c r="AC8" s="61">
        <f ca="1">IFERROR(__xludf.DUMMYFUNCTION("VLOOKUP(C8,IMPORTRANGE(""https://docs.google.com/spreadsheets/d/1ZLN5T8y7NSBIP1rvSj6TTUR_vTQbRwUKSt8zZJ_EfE4/edit?gid=461094331#gid=461094331"",""SCHEDULE_SDT_JAN26""),42,0)"),0)</f>
        <v>0</v>
      </c>
      <c r="AD8" s="61">
        <f ca="1">IFERROR(__xludf.DUMMYFUNCTION("VLOOKUP(C8,IMPORTRANGE(""https://docs.google.com/spreadsheets/d/1ZLN5T8y7NSBIP1rvSj6TTUR_vTQbRwUKSt8zZJ_EfE4/edit?gid=461094331#gid=461094331"",""SCHEDULE_SDT_JAN26""),43,0)"),0)</f>
        <v>0</v>
      </c>
      <c r="AE8" s="69">
        <f t="shared" ca="1" si="8"/>
        <v>0</v>
      </c>
      <c r="AF8" s="19">
        <v>468468</v>
      </c>
      <c r="AG8" s="19">
        <v>253500</v>
      </c>
      <c r="AH8" s="69">
        <v>0</v>
      </c>
      <c r="AI8" s="69">
        <v>0</v>
      </c>
      <c r="AJ8" s="69">
        <v>0</v>
      </c>
      <c r="AK8" s="69">
        <f t="shared" si="9"/>
        <v>0</v>
      </c>
      <c r="AL8" s="69">
        <v>0</v>
      </c>
      <c r="AM8" s="69">
        <f t="shared" ca="1" si="10"/>
        <v>721968</v>
      </c>
      <c r="AN8" s="69">
        <f t="shared" ca="1" si="11"/>
        <v>6228076</v>
      </c>
      <c r="AO8" s="69">
        <f t="shared" ca="1" si="12"/>
        <v>66900.123703999998</v>
      </c>
      <c r="AP8" s="69">
        <f t="shared" ca="1" si="13"/>
        <v>6161175.8762959996</v>
      </c>
      <c r="AQ8" s="69">
        <f t="shared" ca="1" si="14"/>
        <v>6161175.8762959996</v>
      </c>
      <c r="AR8" s="69">
        <f t="shared" ca="1" si="15"/>
        <v>6161200</v>
      </c>
      <c r="AS8" s="72"/>
      <c r="AT8" s="73" t="s">
        <v>9</v>
      </c>
      <c r="AU8" s="61" t="s">
        <v>10</v>
      </c>
      <c r="AV8" s="69">
        <f t="shared" si="16"/>
        <v>5729876</v>
      </c>
      <c r="AW8" s="69">
        <f t="shared" ca="1" si="17"/>
        <v>200000</v>
      </c>
      <c r="AX8" s="69">
        <f t="shared" ca="1" si="18"/>
        <v>500000</v>
      </c>
      <c r="AY8" s="69">
        <v>0</v>
      </c>
      <c r="AZ8" s="70">
        <f t="shared" si="19"/>
        <v>13751.702399999998</v>
      </c>
      <c r="BA8" s="69">
        <f t="shared" si="20"/>
        <v>17189.628000000001</v>
      </c>
      <c r="BB8" s="69">
        <f t="shared" si="21"/>
        <v>229195.04</v>
      </c>
      <c r="BC8" s="69">
        <f t="shared" ca="1" si="22"/>
        <v>6690012.3703999994</v>
      </c>
      <c r="BD8" s="74">
        <f ca="1">IF(AU8="C",VLOOKUP(BC8,TER!$J$4:$L$50,3,TRUE),IF(AU8="B",VLOOKUP(BC8,TER!$F$4:$H$50,3,TRUE),IF(AU8="A",VLOOKUP(BC8,TER!$B$4:$D$50,3,TRUE),"ERROR")))</f>
        <v>0.01</v>
      </c>
      <c r="BE8" s="69">
        <f t="shared" ca="1" si="23"/>
        <v>66900.123703999998</v>
      </c>
      <c r="BF8" s="113"/>
      <c r="BG8" s="113"/>
    </row>
    <row r="9" spans="1:59" ht="15.75" customHeight="1" outlineLevel="1">
      <c r="A9" s="113"/>
      <c r="B9" s="224">
        <v>4</v>
      </c>
      <c r="C9" s="124" t="s">
        <v>303</v>
      </c>
      <c r="D9" s="66" t="s">
        <v>304</v>
      </c>
      <c r="E9" s="67" t="s">
        <v>57</v>
      </c>
      <c r="F9" s="68" t="s">
        <v>1140</v>
      </c>
      <c r="G9" s="67" t="s">
        <v>31</v>
      </c>
      <c r="H9" s="66" t="s">
        <v>32</v>
      </c>
      <c r="I9" s="69">
        <f t="shared" si="0"/>
        <v>5729876</v>
      </c>
      <c r="J9" s="70">
        <v>316368</v>
      </c>
      <c r="K9" s="70">
        <v>203800</v>
      </c>
      <c r="L9" s="70">
        <v>200000</v>
      </c>
      <c r="M9" s="69">
        <f t="shared" ca="1" si="1"/>
        <v>9523.8095238095229</v>
      </c>
      <c r="N9" s="125">
        <f ca="1">IFERROR(__xludf.DUMMYFUNCTION("VLOOKUP(C9,IMPORTRANGE(""https://docs.google.com/spreadsheets/d/1ZLN5T8y7NSBIP1rvSj6TTUR_vTQbRwUKSt8zZJ_EfE4/edit?gid=461094331#gid=461094331"",""SCHEDULE_SDT_JAN26""),35,0)"),20)</f>
        <v>20</v>
      </c>
      <c r="O9" s="125">
        <f ca="1">IFERROR(__xludf.DUMMYFUNCTION("VLOOKUP(C9,IMPORTRANGE(""https://docs.google.com/spreadsheets/d/1ZLN5T8y7NSBIP1rvSj6TTUR_vTQbRwUKSt8zZJ_EfE4/edit?gid=461094331#gid=461094331"",""SCHEDULE_SDT_JAN26""),34,0)"),21)</f>
        <v>21</v>
      </c>
      <c r="P9" s="61">
        <f t="shared" ca="1" si="2"/>
        <v>190476.19047619047</v>
      </c>
      <c r="Q9" s="71"/>
      <c r="R9" s="69">
        <f t="shared" si="3"/>
        <v>6450044</v>
      </c>
      <c r="S9" s="69">
        <f t="shared" si="4"/>
        <v>6450044</v>
      </c>
      <c r="T9" s="61">
        <f t="shared" si="5"/>
        <v>0</v>
      </c>
      <c r="U9" s="70">
        <v>250000</v>
      </c>
      <c r="V9" s="61">
        <f ca="1">IFERROR(__xludf.DUMMYFUNCTION("VLOOKUP(C9,IMPORTRANGE(""https://docs.google.com/spreadsheets/d/1ZLN5T8y7NSBIP1rvSj6TTUR_vTQbRwUKSt8zZJ_EfE4/edit?gid=461094331#gid=461094331"",""SCHEDULE_SDT_JAN26""),36,0)"),2)</f>
        <v>2</v>
      </c>
      <c r="W9" s="69">
        <f t="shared" ca="1" si="6"/>
        <v>500000</v>
      </c>
      <c r="X9" s="69">
        <v>0</v>
      </c>
      <c r="Y9" s="69">
        <f t="shared" ca="1" si="7"/>
        <v>6940520.1904761903</v>
      </c>
      <c r="Z9" s="61">
        <f ca="1">IFERROR(__xludf.DUMMYFUNCTION("VLOOKUP(C9,IMPORTRANGE(""https://docs.google.com/spreadsheets/d/1ZLN5T8y7NSBIP1rvSj6TTUR_vTQbRwUKSt8zZJ_EfE4/edit?gid=461094331#gid=461094331"",""SCHEDULE_SDT_JAN26""),38,0)+VLOOKUP(C9,IMPORTRANGE(""https://docs.google.com/spreadsheets/d/1ZLN5T8y7NSBIP1rv"&amp;"Sj6TTUR_vTQbRwUKSt8zZJ_EfE4/edit?gid=461094331#gid=461094331"",""SCHEDULE_SDT_JAN26""),39,0)"),0)</f>
        <v>0</v>
      </c>
      <c r="AA9" s="61">
        <f ca="1">IFERROR(__xludf.DUMMYFUNCTION("VLOOKUP(C9,IMPORTRANGE(""https://docs.google.com/spreadsheets/d/1ZLN5T8y7NSBIP1rvSj6TTUR_vTQbRwUKSt8zZJ_EfE4/edit?gid=461094331#gid=461094331"",""SCHEDULE_SDT_JAN26""),40,0)"),1)</f>
        <v>1</v>
      </c>
      <c r="AB9" s="61">
        <f ca="1">IFERROR(__xludf.DUMMYFUNCTION("VLOOKUP(C9,IMPORTRANGE(""https://docs.google.com/spreadsheets/d/1ZLN5T8y7NSBIP1rvSj6TTUR_vTQbRwUKSt8zZJ_EfE4/edit?gid=461094331#gid=461094331"",""SCHEDULE_SDT_JAN26""),41,0)"),0)</f>
        <v>0</v>
      </c>
      <c r="AC9" s="61">
        <f ca="1">IFERROR(__xludf.DUMMYFUNCTION("VLOOKUP(C9,IMPORTRANGE(""https://docs.google.com/spreadsheets/d/1ZLN5T8y7NSBIP1rvSj6TTUR_vTQbRwUKSt8zZJ_EfE4/edit?gid=461094331#gid=461094331"",""SCHEDULE_SDT_JAN26""),42,0)"),0)</f>
        <v>0</v>
      </c>
      <c r="AD9" s="61">
        <f ca="1">IFERROR(__xludf.DUMMYFUNCTION("VLOOKUP(C9,IMPORTRANGE(""https://docs.google.com/spreadsheets/d/1ZLN5T8y7NSBIP1rvSj6TTUR_vTQbRwUKSt8zZJ_EfE4/edit?gid=461094331#gid=461094331"",""SCHEDULE_SDT_JAN26""),43,0)"),0)</f>
        <v>0</v>
      </c>
      <c r="AE9" s="69">
        <f t="shared" ca="1" si="8"/>
        <v>250000</v>
      </c>
      <c r="AF9" s="19">
        <v>468468</v>
      </c>
      <c r="AG9" s="19">
        <v>253500</v>
      </c>
      <c r="AH9" s="69">
        <v>0</v>
      </c>
      <c r="AI9" s="69">
        <v>0</v>
      </c>
      <c r="AJ9" s="69">
        <v>0</v>
      </c>
      <c r="AK9" s="69">
        <f t="shared" si="9"/>
        <v>0</v>
      </c>
      <c r="AL9" s="69">
        <v>0</v>
      </c>
      <c r="AM9" s="69">
        <f t="shared" ca="1" si="10"/>
        <v>971968</v>
      </c>
      <c r="AN9" s="69">
        <f t="shared" ca="1" si="11"/>
        <v>5968552.1904761903</v>
      </c>
      <c r="AO9" s="69">
        <f t="shared" ca="1" si="12"/>
        <v>66804.885608761891</v>
      </c>
      <c r="AP9" s="69">
        <f t="shared" ca="1" si="13"/>
        <v>5901747.3048674287</v>
      </c>
      <c r="AQ9" s="69">
        <f t="shared" ca="1" si="14"/>
        <v>5901747.3048674287</v>
      </c>
      <c r="AR9" s="69">
        <f t="shared" ca="1" si="15"/>
        <v>5901700</v>
      </c>
      <c r="AS9" s="72"/>
      <c r="AT9" s="73" t="s">
        <v>9</v>
      </c>
      <c r="AU9" s="61" t="s">
        <v>10</v>
      </c>
      <c r="AV9" s="69">
        <f t="shared" si="16"/>
        <v>5729876</v>
      </c>
      <c r="AW9" s="69">
        <f t="shared" ca="1" si="17"/>
        <v>190476.19047619047</v>
      </c>
      <c r="AX9" s="69">
        <f t="shared" ca="1" si="18"/>
        <v>500000</v>
      </c>
      <c r="AY9" s="69">
        <v>0</v>
      </c>
      <c r="AZ9" s="70">
        <f t="shared" si="19"/>
        <v>13751.702399999998</v>
      </c>
      <c r="BA9" s="69">
        <f t="shared" si="20"/>
        <v>17189.628000000001</v>
      </c>
      <c r="BB9" s="69">
        <f t="shared" si="21"/>
        <v>229195.04</v>
      </c>
      <c r="BC9" s="69">
        <f t="shared" ca="1" si="22"/>
        <v>6680488.5608761897</v>
      </c>
      <c r="BD9" s="74">
        <f ca="1">IF(AU9="C",VLOOKUP(BC9,TER!$J$4:$L$50,3,TRUE),IF(AU9="B",VLOOKUP(BC9,TER!$F$4:$H$50,3,TRUE),IF(AU9="A",VLOOKUP(BC9,TER!$B$4:$D$50,3,TRUE),"ERROR")))</f>
        <v>0.01</v>
      </c>
      <c r="BE9" s="69">
        <f t="shared" ca="1" si="23"/>
        <v>66804.885608761891</v>
      </c>
      <c r="BF9" s="113"/>
      <c r="BG9" s="113"/>
    </row>
    <row r="10" spans="1:59" ht="15.75" customHeight="1" outlineLevel="1">
      <c r="A10" s="113"/>
      <c r="B10" s="224">
        <v>5</v>
      </c>
      <c r="C10" s="68" t="s">
        <v>305</v>
      </c>
      <c r="D10" s="66" t="s">
        <v>306</v>
      </c>
      <c r="E10" s="67" t="s">
        <v>57</v>
      </c>
      <c r="F10" s="68" t="s">
        <v>1141</v>
      </c>
      <c r="G10" s="67" t="s">
        <v>31</v>
      </c>
      <c r="H10" s="66" t="s">
        <v>32</v>
      </c>
      <c r="I10" s="69">
        <f t="shared" si="0"/>
        <v>5729876</v>
      </c>
      <c r="J10" s="70">
        <v>316368</v>
      </c>
      <c r="K10" s="70">
        <v>203800</v>
      </c>
      <c r="L10" s="70">
        <v>200000</v>
      </c>
      <c r="M10" s="69">
        <f t="shared" ca="1" si="1"/>
        <v>9523.8095238095229</v>
      </c>
      <c r="N10" s="125">
        <f ca="1">IFERROR(__xludf.DUMMYFUNCTION("VLOOKUP(C10,IMPORTRANGE(""https://docs.google.com/spreadsheets/d/1ZLN5T8y7NSBIP1rvSj6TTUR_vTQbRwUKSt8zZJ_EfE4/edit?gid=461094331#gid=461094331"",""SCHEDULE_SDT_JAN26""),35,0)"),21)</f>
        <v>21</v>
      </c>
      <c r="O10" s="125">
        <f ca="1">IFERROR(__xludf.DUMMYFUNCTION("VLOOKUP(C10,IMPORTRANGE(""https://docs.google.com/spreadsheets/d/1ZLN5T8y7NSBIP1rvSj6TTUR_vTQbRwUKSt8zZJ_EfE4/edit?gid=461094331#gid=461094331"",""SCHEDULE_SDT_JAN26""),34,0)"),21)</f>
        <v>21</v>
      </c>
      <c r="P10" s="61">
        <f t="shared" ca="1" si="2"/>
        <v>199999.99999999997</v>
      </c>
      <c r="Q10" s="71"/>
      <c r="R10" s="69">
        <f t="shared" si="3"/>
        <v>6450044</v>
      </c>
      <c r="S10" s="69">
        <f t="shared" si="4"/>
        <v>6450044</v>
      </c>
      <c r="T10" s="61">
        <f t="shared" si="5"/>
        <v>0</v>
      </c>
      <c r="U10" s="70">
        <v>250000</v>
      </c>
      <c r="V10" s="61">
        <f ca="1">IFERROR(__xludf.DUMMYFUNCTION("VLOOKUP(C10,IMPORTRANGE(""https://docs.google.com/spreadsheets/d/1ZLN5T8y7NSBIP1rvSj6TTUR_vTQbRwUKSt8zZJ_EfE4/edit?gid=461094331#gid=461094331"",""SCHEDULE_SDT_JAN26""),36,0)"),2)</f>
        <v>2</v>
      </c>
      <c r="W10" s="69">
        <f t="shared" ca="1" si="6"/>
        <v>500000</v>
      </c>
      <c r="X10" s="69">
        <v>0</v>
      </c>
      <c r="Y10" s="69">
        <f t="shared" ca="1" si="7"/>
        <v>6950044</v>
      </c>
      <c r="Z10" s="61">
        <f ca="1">IFERROR(__xludf.DUMMYFUNCTION("VLOOKUP(C10,IMPORTRANGE(""https://docs.google.com/spreadsheets/d/1ZLN5T8y7NSBIP1rvSj6TTUR_vTQbRwUKSt8zZJ_EfE4/edit?gid=461094331#gid=461094331"",""SCHEDULE_SDT_JAN26""),38,0)+VLOOKUP(C10,IMPORTRANGE(""https://docs.google.com/spreadsheets/d/1ZLN5T8y7NSBIP1"&amp;"rvSj6TTUR_vTQbRwUKSt8zZJ_EfE4/edit?gid=461094331#gid=461094331"",""SCHEDULE_SDT_JAN26""),39,0)"),0)</f>
        <v>0</v>
      </c>
      <c r="AA10" s="61">
        <f ca="1">IFERROR(__xludf.DUMMYFUNCTION("VLOOKUP(C10,IMPORTRANGE(""https://docs.google.com/spreadsheets/d/1ZLN5T8y7NSBIP1rvSj6TTUR_vTQbRwUKSt8zZJ_EfE4/edit?gid=461094331#gid=461094331"",""SCHEDULE_SDT_JAN26""),40,0)"),0)</f>
        <v>0</v>
      </c>
      <c r="AB10" s="61">
        <f ca="1">IFERROR(__xludf.DUMMYFUNCTION("VLOOKUP(C10,IMPORTRANGE(""https://docs.google.com/spreadsheets/d/1ZLN5T8y7NSBIP1rvSj6TTUR_vTQbRwUKSt8zZJ_EfE4/edit?gid=461094331#gid=461094331"",""SCHEDULE_SDT_JAN26""),41,0)"),0)</f>
        <v>0</v>
      </c>
      <c r="AC10" s="61">
        <f ca="1">IFERROR(__xludf.DUMMYFUNCTION("VLOOKUP(C10,IMPORTRANGE(""https://docs.google.com/spreadsheets/d/1ZLN5T8y7NSBIP1rvSj6TTUR_vTQbRwUKSt8zZJ_EfE4/edit?gid=461094331#gid=461094331"",""SCHEDULE_SDT_JAN26""),42,0)"),0)</f>
        <v>0</v>
      </c>
      <c r="AD10" s="61">
        <f ca="1">IFERROR(__xludf.DUMMYFUNCTION("VLOOKUP(C10,IMPORTRANGE(""https://docs.google.com/spreadsheets/d/1ZLN5T8y7NSBIP1rvSj6TTUR_vTQbRwUKSt8zZJ_EfE4/edit?gid=461094331#gid=461094331"",""SCHEDULE_SDT_JAN26""),43,0)"),0)</f>
        <v>0</v>
      </c>
      <c r="AE10" s="69">
        <f t="shared" ca="1" si="8"/>
        <v>0</v>
      </c>
      <c r="AF10" s="19">
        <v>468468</v>
      </c>
      <c r="AG10" s="19">
        <v>253500</v>
      </c>
      <c r="AH10" s="69">
        <v>0</v>
      </c>
      <c r="AI10" s="69">
        <v>0</v>
      </c>
      <c r="AJ10" s="69">
        <v>0</v>
      </c>
      <c r="AK10" s="69">
        <f t="shared" si="9"/>
        <v>0</v>
      </c>
      <c r="AL10" s="69">
        <v>0</v>
      </c>
      <c r="AM10" s="69">
        <f t="shared" ca="1" si="10"/>
        <v>721968</v>
      </c>
      <c r="AN10" s="69">
        <f t="shared" ca="1" si="11"/>
        <v>6228076</v>
      </c>
      <c r="AO10" s="69">
        <f t="shared" ca="1" si="12"/>
        <v>66900.123703999998</v>
      </c>
      <c r="AP10" s="69">
        <f t="shared" ca="1" si="13"/>
        <v>6161175.8762959996</v>
      </c>
      <c r="AQ10" s="69">
        <f t="shared" ca="1" si="14"/>
        <v>6161175.8762959996</v>
      </c>
      <c r="AR10" s="69">
        <f t="shared" ca="1" si="15"/>
        <v>6161200</v>
      </c>
      <c r="AS10" s="72"/>
      <c r="AT10" s="73" t="s">
        <v>9</v>
      </c>
      <c r="AU10" s="61" t="s">
        <v>10</v>
      </c>
      <c r="AV10" s="69">
        <f t="shared" si="16"/>
        <v>5729876</v>
      </c>
      <c r="AW10" s="69">
        <f t="shared" ca="1" si="17"/>
        <v>199999.99999999997</v>
      </c>
      <c r="AX10" s="69">
        <f t="shared" ca="1" si="18"/>
        <v>500000</v>
      </c>
      <c r="AY10" s="69">
        <v>0</v>
      </c>
      <c r="AZ10" s="70">
        <f t="shared" si="19"/>
        <v>13751.702399999998</v>
      </c>
      <c r="BA10" s="69">
        <f t="shared" si="20"/>
        <v>17189.628000000001</v>
      </c>
      <c r="BB10" s="69">
        <f t="shared" si="21"/>
        <v>229195.04</v>
      </c>
      <c r="BC10" s="69">
        <f t="shared" ca="1" si="22"/>
        <v>6690012.3703999994</v>
      </c>
      <c r="BD10" s="74">
        <f ca="1">IF(AU10="C",VLOOKUP(BC10,TER!$J$4:$L$50,3,TRUE),IF(AU10="B",VLOOKUP(BC10,TER!$F$4:$H$50,3,TRUE),IF(AU10="A",VLOOKUP(BC10,TER!$B$4:$D$50,3,TRUE),"ERROR")))</f>
        <v>0.01</v>
      </c>
      <c r="BE10" s="69">
        <f t="shared" ca="1" si="23"/>
        <v>66900.123703999998</v>
      </c>
      <c r="BF10" s="113"/>
      <c r="BG10" s="113"/>
    </row>
    <row r="11" spans="1:59" ht="15.75" customHeight="1" outlineLevel="1">
      <c r="A11" s="113"/>
      <c r="B11" s="224">
        <v>6</v>
      </c>
      <c r="C11" s="68" t="s">
        <v>307</v>
      </c>
      <c r="D11" s="66" t="s">
        <v>308</v>
      </c>
      <c r="E11" s="67" t="s">
        <v>57</v>
      </c>
      <c r="F11" s="68" t="s">
        <v>1142</v>
      </c>
      <c r="G11" s="67" t="s">
        <v>31</v>
      </c>
      <c r="H11" s="66" t="s">
        <v>32</v>
      </c>
      <c r="I11" s="69">
        <f t="shared" si="0"/>
        <v>5729876</v>
      </c>
      <c r="J11" s="70">
        <v>316368</v>
      </c>
      <c r="K11" s="70">
        <v>203800</v>
      </c>
      <c r="L11" s="70">
        <v>200000</v>
      </c>
      <c r="M11" s="69">
        <f t="shared" ca="1" si="1"/>
        <v>9523.8095238095229</v>
      </c>
      <c r="N11" s="125">
        <f ca="1">IFERROR(__xludf.DUMMYFUNCTION("VLOOKUP(C11,IMPORTRANGE(""https://docs.google.com/spreadsheets/d/1ZLN5T8y7NSBIP1rvSj6TTUR_vTQbRwUKSt8zZJ_EfE4/edit?gid=461094331#gid=461094331"",""SCHEDULE_SDT_JAN26""),35,0)"),21)</f>
        <v>21</v>
      </c>
      <c r="O11" s="125">
        <f ca="1">IFERROR(__xludf.DUMMYFUNCTION("VLOOKUP(C11,IMPORTRANGE(""https://docs.google.com/spreadsheets/d/1ZLN5T8y7NSBIP1rvSj6TTUR_vTQbRwUKSt8zZJ_EfE4/edit?gid=461094331#gid=461094331"",""SCHEDULE_SDT_JAN26""),34,0)"),21)</f>
        <v>21</v>
      </c>
      <c r="P11" s="61">
        <f t="shared" ca="1" si="2"/>
        <v>199999.99999999997</v>
      </c>
      <c r="Q11" s="71"/>
      <c r="R11" s="69">
        <f t="shared" si="3"/>
        <v>6450044</v>
      </c>
      <c r="S11" s="69">
        <f t="shared" si="4"/>
        <v>6450044</v>
      </c>
      <c r="T11" s="61">
        <f t="shared" si="5"/>
        <v>0</v>
      </c>
      <c r="U11" s="70">
        <v>250000</v>
      </c>
      <c r="V11" s="61">
        <f ca="1">IFERROR(__xludf.DUMMYFUNCTION("VLOOKUP(C11,IMPORTRANGE(""https://docs.google.com/spreadsheets/d/1ZLN5T8y7NSBIP1rvSj6TTUR_vTQbRwUKSt8zZJ_EfE4/edit?gid=461094331#gid=461094331"",""SCHEDULE_SDT_JAN26""),36,0)"),0)</f>
        <v>0</v>
      </c>
      <c r="W11" s="69">
        <f t="shared" ca="1" si="6"/>
        <v>0</v>
      </c>
      <c r="X11" s="69">
        <v>0</v>
      </c>
      <c r="Y11" s="69">
        <f t="shared" ca="1" si="7"/>
        <v>6450044</v>
      </c>
      <c r="Z11" s="61">
        <f ca="1">IFERROR(__xludf.DUMMYFUNCTION("VLOOKUP(C11,IMPORTRANGE(""https://docs.google.com/spreadsheets/d/1ZLN5T8y7NSBIP1rvSj6TTUR_vTQbRwUKSt8zZJ_EfE4/edit?gid=461094331#gid=461094331"",""SCHEDULE_SDT_JAN26""),38,0)+VLOOKUP(C11,IMPORTRANGE(""https://docs.google.com/spreadsheets/d/1ZLN5T8y7NSBIP1"&amp;"rvSj6TTUR_vTQbRwUKSt8zZJ_EfE4/edit?gid=461094331#gid=461094331"",""SCHEDULE_SDT_JAN26""),39,0)"),0)</f>
        <v>0</v>
      </c>
      <c r="AA11" s="61">
        <f ca="1">IFERROR(__xludf.DUMMYFUNCTION("VLOOKUP(C11,IMPORTRANGE(""https://docs.google.com/spreadsheets/d/1ZLN5T8y7NSBIP1rvSj6TTUR_vTQbRwUKSt8zZJ_EfE4/edit?gid=461094331#gid=461094331"",""SCHEDULE_SDT_JAN26""),40,0)"),0)</f>
        <v>0</v>
      </c>
      <c r="AB11" s="61">
        <f ca="1">IFERROR(__xludf.DUMMYFUNCTION("VLOOKUP(C11,IMPORTRANGE(""https://docs.google.com/spreadsheets/d/1ZLN5T8y7NSBIP1rvSj6TTUR_vTQbRwUKSt8zZJ_EfE4/edit?gid=461094331#gid=461094331"",""SCHEDULE_SDT_JAN26""),41,0)"),0)</f>
        <v>0</v>
      </c>
      <c r="AC11" s="61">
        <f ca="1">IFERROR(__xludf.DUMMYFUNCTION("VLOOKUP(C11,IMPORTRANGE(""https://docs.google.com/spreadsheets/d/1ZLN5T8y7NSBIP1rvSj6TTUR_vTQbRwUKSt8zZJ_EfE4/edit?gid=461094331#gid=461094331"",""SCHEDULE_SDT_JAN26""),42,0)"),0)</f>
        <v>0</v>
      </c>
      <c r="AD11" s="61">
        <f ca="1">IFERROR(__xludf.DUMMYFUNCTION("VLOOKUP(C11,IMPORTRANGE(""https://docs.google.com/spreadsheets/d/1ZLN5T8y7NSBIP1rvSj6TTUR_vTQbRwUKSt8zZJ_EfE4/edit?gid=461094331#gid=461094331"",""SCHEDULE_SDT_JAN26""),43,0)"),0)</f>
        <v>0</v>
      </c>
      <c r="AE11" s="69">
        <f t="shared" ca="1" si="8"/>
        <v>0</v>
      </c>
      <c r="AF11" s="19">
        <v>468468</v>
      </c>
      <c r="AG11" s="19">
        <v>253500</v>
      </c>
      <c r="AH11" s="69">
        <v>0</v>
      </c>
      <c r="AI11" s="69">
        <v>0</v>
      </c>
      <c r="AJ11" s="69">
        <v>0</v>
      </c>
      <c r="AK11" s="69">
        <f t="shared" si="9"/>
        <v>0</v>
      </c>
      <c r="AL11" s="69">
        <v>0</v>
      </c>
      <c r="AM11" s="69">
        <f t="shared" ca="1" si="10"/>
        <v>721968</v>
      </c>
      <c r="AN11" s="69">
        <f t="shared" ca="1" si="11"/>
        <v>5728076</v>
      </c>
      <c r="AO11" s="69">
        <f t="shared" ca="1" si="12"/>
        <v>0</v>
      </c>
      <c r="AP11" s="69">
        <f t="shared" ca="1" si="13"/>
        <v>5728076</v>
      </c>
      <c r="AQ11" s="69">
        <f t="shared" ca="1" si="14"/>
        <v>5728076</v>
      </c>
      <c r="AR11" s="69">
        <f t="shared" ca="1" si="15"/>
        <v>5728100</v>
      </c>
      <c r="AS11" s="72"/>
      <c r="AT11" s="73" t="s">
        <v>18</v>
      </c>
      <c r="AU11" s="61" t="s">
        <v>15</v>
      </c>
      <c r="AV11" s="69">
        <f t="shared" si="16"/>
        <v>5729876</v>
      </c>
      <c r="AW11" s="69">
        <f t="shared" ca="1" si="17"/>
        <v>199999.99999999997</v>
      </c>
      <c r="AX11" s="69">
        <f t="shared" ca="1" si="18"/>
        <v>0</v>
      </c>
      <c r="AY11" s="69">
        <v>0</v>
      </c>
      <c r="AZ11" s="70">
        <f t="shared" si="19"/>
        <v>13751.702399999998</v>
      </c>
      <c r="BA11" s="69">
        <f t="shared" si="20"/>
        <v>17189.628000000001</v>
      </c>
      <c r="BB11" s="69">
        <f t="shared" si="21"/>
        <v>229195.04</v>
      </c>
      <c r="BC11" s="69">
        <f t="shared" ca="1" si="22"/>
        <v>6190012.3703999994</v>
      </c>
      <c r="BD11" s="74">
        <f ca="1">IF(AU11="C",VLOOKUP(BC11,TER!$J$4:$L$50,3,TRUE),IF(AU11="B",VLOOKUP(BC11,TER!$F$4:$H$50,3,TRUE),IF(AU11="A",VLOOKUP(BC11,TER!$B$4:$D$50,3,TRUE),"ERROR")))</f>
        <v>0</v>
      </c>
      <c r="BE11" s="69">
        <f t="shared" ca="1" si="23"/>
        <v>0</v>
      </c>
      <c r="BF11" s="113"/>
      <c r="BG11" s="113"/>
    </row>
    <row r="12" spans="1:59" ht="15.75" customHeight="1" outlineLevel="1">
      <c r="A12" s="113"/>
      <c r="B12" s="224">
        <v>7</v>
      </c>
      <c r="C12" s="68" t="s">
        <v>309</v>
      </c>
      <c r="D12" s="66" t="s">
        <v>310</v>
      </c>
      <c r="E12" s="67" t="s">
        <v>57</v>
      </c>
      <c r="F12" s="68" t="s">
        <v>1143</v>
      </c>
      <c r="G12" s="67" t="s">
        <v>31</v>
      </c>
      <c r="H12" s="66" t="s">
        <v>32</v>
      </c>
      <c r="I12" s="69">
        <f t="shared" si="0"/>
        <v>5729876</v>
      </c>
      <c r="J12" s="70">
        <v>316368</v>
      </c>
      <c r="K12" s="70">
        <v>203800</v>
      </c>
      <c r="L12" s="70">
        <v>100000</v>
      </c>
      <c r="M12" s="69">
        <f t="shared" ca="1" si="1"/>
        <v>4761.9047619047615</v>
      </c>
      <c r="N12" s="125">
        <f ca="1">IFERROR(__xludf.DUMMYFUNCTION("VLOOKUP(C12,IMPORTRANGE(""https://docs.google.com/spreadsheets/d/1ZLN5T8y7NSBIP1rvSj6TTUR_vTQbRwUKSt8zZJ_EfE4/edit?gid=461094331#gid=461094331"",""SCHEDULE_SDT_JAN26""),35,0)"),21)</f>
        <v>21</v>
      </c>
      <c r="O12" s="125">
        <f ca="1">IFERROR(__xludf.DUMMYFUNCTION("VLOOKUP(C12,IMPORTRANGE(""https://docs.google.com/spreadsheets/d/1ZLN5T8y7NSBIP1rvSj6TTUR_vTQbRwUKSt8zZJ_EfE4/edit?gid=461094331#gid=461094331"",""SCHEDULE_SDT_JAN26""),34,0)"),21)</f>
        <v>21</v>
      </c>
      <c r="P12" s="61">
        <f t="shared" ca="1" si="2"/>
        <v>99999.999999999985</v>
      </c>
      <c r="Q12" s="71"/>
      <c r="R12" s="69">
        <f t="shared" si="3"/>
        <v>6350044</v>
      </c>
      <c r="S12" s="69">
        <f t="shared" si="4"/>
        <v>6350044</v>
      </c>
      <c r="T12" s="61">
        <f t="shared" si="5"/>
        <v>0</v>
      </c>
      <c r="U12" s="70">
        <v>250000</v>
      </c>
      <c r="V12" s="61">
        <f ca="1">IFERROR(__xludf.DUMMYFUNCTION("VLOOKUP(C12,IMPORTRANGE(""https://docs.google.com/spreadsheets/d/1ZLN5T8y7NSBIP1rvSj6TTUR_vTQbRwUKSt8zZJ_EfE4/edit?gid=461094331#gid=461094331"",""SCHEDULE_SDT_JAN26""),36,0)"),1)</f>
        <v>1</v>
      </c>
      <c r="W12" s="69">
        <f t="shared" ca="1" si="6"/>
        <v>250000</v>
      </c>
      <c r="X12" s="69">
        <v>0</v>
      </c>
      <c r="Y12" s="69">
        <f t="shared" ca="1" si="7"/>
        <v>6600044</v>
      </c>
      <c r="Z12" s="61">
        <f ca="1">IFERROR(__xludf.DUMMYFUNCTION("VLOOKUP(C12,IMPORTRANGE(""https://docs.google.com/spreadsheets/d/1ZLN5T8y7NSBIP1rvSj6TTUR_vTQbRwUKSt8zZJ_EfE4/edit?gid=461094331#gid=461094331"",""SCHEDULE_SDT_JAN26""),38,0)+VLOOKUP(C12,IMPORTRANGE(""https://docs.google.com/spreadsheets/d/1ZLN5T8y7NSBIP1"&amp;"rvSj6TTUR_vTQbRwUKSt8zZJ_EfE4/edit?gid=461094331#gid=461094331"",""SCHEDULE_SDT_JAN26""),39,0)"),0)</f>
        <v>0</v>
      </c>
      <c r="AA12" s="61">
        <f ca="1">IFERROR(__xludf.DUMMYFUNCTION("VLOOKUP(C12,IMPORTRANGE(""https://docs.google.com/spreadsheets/d/1ZLN5T8y7NSBIP1rvSj6TTUR_vTQbRwUKSt8zZJ_EfE4/edit?gid=461094331#gid=461094331"",""SCHEDULE_SDT_JAN26""),40,0)"),0)</f>
        <v>0</v>
      </c>
      <c r="AB12" s="61">
        <f ca="1">IFERROR(__xludf.DUMMYFUNCTION("VLOOKUP(C12,IMPORTRANGE(""https://docs.google.com/spreadsheets/d/1ZLN5T8y7NSBIP1rvSj6TTUR_vTQbRwUKSt8zZJ_EfE4/edit?gid=461094331#gid=461094331"",""SCHEDULE_SDT_JAN26""),41,0)"),0)</f>
        <v>0</v>
      </c>
      <c r="AC12" s="61">
        <f ca="1">IFERROR(__xludf.DUMMYFUNCTION("VLOOKUP(C12,IMPORTRANGE(""https://docs.google.com/spreadsheets/d/1ZLN5T8y7NSBIP1rvSj6TTUR_vTQbRwUKSt8zZJ_EfE4/edit?gid=461094331#gid=461094331"",""SCHEDULE_SDT_JAN26""),42,0)"),0)</f>
        <v>0</v>
      </c>
      <c r="AD12" s="61">
        <f ca="1">IFERROR(__xludf.DUMMYFUNCTION("VLOOKUP(C12,IMPORTRANGE(""https://docs.google.com/spreadsheets/d/1ZLN5T8y7NSBIP1rvSj6TTUR_vTQbRwUKSt8zZJ_EfE4/edit?gid=461094331#gid=461094331"",""SCHEDULE_SDT_JAN26""),43,0)"),0)</f>
        <v>0</v>
      </c>
      <c r="AE12" s="69">
        <f t="shared" ca="1" si="8"/>
        <v>0</v>
      </c>
      <c r="AF12" s="19">
        <v>468468</v>
      </c>
      <c r="AG12" s="19">
        <v>253500</v>
      </c>
      <c r="AH12" s="69">
        <v>0</v>
      </c>
      <c r="AI12" s="69">
        <v>0</v>
      </c>
      <c r="AJ12" s="69">
        <v>0</v>
      </c>
      <c r="AK12" s="69">
        <f t="shared" si="9"/>
        <v>0</v>
      </c>
      <c r="AL12" s="69">
        <v>0</v>
      </c>
      <c r="AM12" s="69">
        <f t="shared" ca="1" si="10"/>
        <v>721968</v>
      </c>
      <c r="AN12" s="69">
        <f t="shared" ca="1" si="11"/>
        <v>5878076</v>
      </c>
      <c r="AO12" s="69">
        <f t="shared" ca="1" si="12"/>
        <v>63400.123703999998</v>
      </c>
      <c r="AP12" s="69">
        <f t="shared" ca="1" si="13"/>
        <v>5814675.8762959996</v>
      </c>
      <c r="AQ12" s="69">
        <f t="shared" ca="1" si="14"/>
        <v>5814675.8762959996</v>
      </c>
      <c r="AR12" s="69">
        <f t="shared" ca="1" si="15"/>
        <v>5814700</v>
      </c>
      <c r="AS12" s="72"/>
      <c r="AT12" s="73" t="s">
        <v>9</v>
      </c>
      <c r="AU12" s="61" t="s">
        <v>10</v>
      </c>
      <c r="AV12" s="69">
        <f t="shared" si="16"/>
        <v>5729876</v>
      </c>
      <c r="AW12" s="69">
        <f t="shared" ca="1" si="17"/>
        <v>99999.999999999985</v>
      </c>
      <c r="AX12" s="69">
        <f t="shared" ca="1" si="18"/>
        <v>250000</v>
      </c>
      <c r="AY12" s="69">
        <v>0</v>
      </c>
      <c r="AZ12" s="70">
        <f t="shared" si="19"/>
        <v>13751.702399999998</v>
      </c>
      <c r="BA12" s="69">
        <f t="shared" si="20"/>
        <v>17189.628000000001</v>
      </c>
      <c r="BB12" s="69">
        <f t="shared" si="21"/>
        <v>229195.04</v>
      </c>
      <c r="BC12" s="69">
        <f t="shared" ca="1" si="22"/>
        <v>6340012.3703999994</v>
      </c>
      <c r="BD12" s="74">
        <f ca="1">IF(AU12="C",VLOOKUP(BC12,TER!$J$4:$L$50,3,TRUE),IF(AU12="B",VLOOKUP(BC12,TER!$F$4:$H$50,3,TRUE),IF(AU12="A",VLOOKUP(BC12,TER!$B$4:$D$50,3,TRUE),"ERROR")))</f>
        <v>0.01</v>
      </c>
      <c r="BE12" s="69">
        <f t="shared" ca="1" si="23"/>
        <v>63400.123703999998</v>
      </c>
      <c r="BF12" s="113"/>
      <c r="BG12" s="113"/>
    </row>
    <row r="13" spans="1:59" ht="15.75" customHeight="1" outlineLevel="1">
      <c r="A13" s="113"/>
      <c r="B13" s="224">
        <v>8</v>
      </c>
      <c r="C13" s="68" t="s">
        <v>35</v>
      </c>
      <c r="D13" s="66" t="s">
        <v>36</v>
      </c>
      <c r="E13" s="67" t="s">
        <v>57</v>
      </c>
      <c r="F13" s="68" t="s">
        <v>1144</v>
      </c>
      <c r="G13" s="67" t="s">
        <v>31</v>
      </c>
      <c r="H13" s="66" t="s">
        <v>32</v>
      </c>
      <c r="I13" s="69">
        <f t="shared" si="0"/>
        <v>5729876</v>
      </c>
      <c r="J13" s="70">
        <v>316368</v>
      </c>
      <c r="K13" s="70">
        <v>203800</v>
      </c>
      <c r="L13" s="70">
        <v>200000</v>
      </c>
      <c r="M13" s="69">
        <f t="shared" ca="1" si="1"/>
        <v>9523.8095238095229</v>
      </c>
      <c r="N13" s="125">
        <f ca="1">IFERROR(__xludf.DUMMYFUNCTION("VLOOKUP(C13,IMPORTRANGE(""https://docs.google.com/spreadsheets/d/1ZLN5T8y7NSBIP1rvSj6TTUR_vTQbRwUKSt8zZJ_EfE4/edit?gid=461094331#gid=461094331"",""SCHEDULE_SDT_JAN26""),35,0)"),21)</f>
        <v>21</v>
      </c>
      <c r="O13" s="125">
        <f ca="1">IFERROR(__xludf.DUMMYFUNCTION("VLOOKUP(C13,IMPORTRANGE(""https://docs.google.com/spreadsheets/d/1ZLN5T8y7NSBIP1rvSj6TTUR_vTQbRwUKSt8zZJ_EfE4/edit?gid=461094331#gid=461094331"",""SCHEDULE_SDT_JAN26""),34,0)"),21)</f>
        <v>21</v>
      </c>
      <c r="P13" s="61">
        <f t="shared" ca="1" si="2"/>
        <v>199999.99999999997</v>
      </c>
      <c r="Q13" s="71"/>
      <c r="R13" s="69">
        <f t="shared" si="3"/>
        <v>6450044</v>
      </c>
      <c r="S13" s="69">
        <f t="shared" si="4"/>
        <v>6450044</v>
      </c>
      <c r="T13" s="61">
        <f t="shared" si="5"/>
        <v>0</v>
      </c>
      <c r="U13" s="70">
        <v>250000</v>
      </c>
      <c r="V13" s="61">
        <f ca="1">IFERROR(__xludf.DUMMYFUNCTION("VLOOKUP(C13,IMPORTRANGE(""https://docs.google.com/spreadsheets/d/1ZLN5T8y7NSBIP1rvSj6TTUR_vTQbRwUKSt8zZJ_EfE4/edit?gid=461094331#gid=461094331"",""SCHEDULE_SDT_JAN26""),36,0)"),1)</f>
        <v>1</v>
      </c>
      <c r="W13" s="69">
        <f t="shared" ca="1" si="6"/>
        <v>250000</v>
      </c>
      <c r="X13" s="69">
        <v>0</v>
      </c>
      <c r="Y13" s="69">
        <f t="shared" ca="1" si="7"/>
        <v>6700044</v>
      </c>
      <c r="Z13" s="61">
        <f ca="1">IFERROR(__xludf.DUMMYFUNCTION("VLOOKUP(C13,IMPORTRANGE(""https://docs.google.com/spreadsheets/d/1ZLN5T8y7NSBIP1rvSj6TTUR_vTQbRwUKSt8zZJ_EfE4/edit?gid=461094331#gid=461094331"",""SCHEDULE_SDT_JAN26""),38,0)+VLOOKUP(C13,IMPORTRANGE(""https://docs.google.com/spreadsheets/d/1ZLN5T8y7NSBIP1"&amp;"rvSj6TTUR_vTQbRwUKSt8zZJ_EfE4/edit?gid=461094331#gid=461094331"",""SCHEDULE_SDT_JAN26""),39,0)"),0)</f>
        <v>0</v>
      </c>
      <c r="AA13" s="61">
        <f ca="1">IFERROR(__xludf.DUMMYFUNCTION("VLOOKUP(C13,IMPORTRANGE(""https://docs.google.com/spreadsheets/d/1ZLN5T8y7NSBIP1rvSj6TTUR_vTQbRwUKSt8zZJ_EfE4/edit?gid=461094331#gid=461094331"",""SCHEDULE_SDT_JAN26""),40,0)"),0)</f>
        <v>0</v>
      </c>
      <c r="AB13" s="61">
        <f ca="1">IFERROR(__xludf.DUMMYFUNCTION("VLOOKUP(C13,IMPORTRANGE(""https://docs.google.com/spreadsheets/d/1ZLN5T8y7NSBIP1rvSj6TTUR_vTQbRwUKSt8zZJ_EfE4/edit?gid=461094331#gid=461094331"",""SCHEDULE_SDT_JAN26""),41,0)"),0)</f>
        <v>0</v>
      </c>
      <c r="AC13" s="61">
        <f ca="1">IFERROR(__xludf.DUMMYFUNCTION("VLOOKUP(C13,IMPORTRANGE(""https://docs.google.com/spreadsheets/d/1ZLN5T8y7NSBIP1rvSj6TTUR_vTQbRwUKSt8zZJ_EfE4/edit?gid=461094331#gid=461094331"",""SCHEDULE_SDT_JAN26""),42,0)"),0)</f>
        <v>0</v>
      </c>
      <c r="AD13" s="61">
        <f ca="1">IFERROR(__xludf.DUMMYFUNCTION("VLOOKUP(C13,IMPORTRANGE(""https://docs.google.com/spreadsheets/d/1ZLN5T8y7NSBIP1rvSj6TTUR_vTQbRwUKSt8zZJ_EfE4/edit?gid=461094331#gid=461094331"",""SCHEDULE_SDT_JAN26""),43,0)"),0)</f>
        <v>0</v>
      </c>
      <c r="AE13" s="69">
        <f t="shared" ca="1" si="8"/>
        <v>0</v>
      </c>
      <c r="AF13" s="19">
        <v>468468</v>
      </c>
      <c r="AG13" s="19">
        <v>253500</v>
      </c>
      <c r="AH13" s="69">
        <v>0</v>
      </c>
      <c r="AI13" s="69">
        <v>0</v>
      </c>
      <c r="AJ13" s="69">
        <v>0</v>
      </c>
      <c r="AK13" s="69">
        <f t="shared" si="9"/>
        <v>0</v>
      </c>
      <c r="AL13" s="69">
        <v>0</v>
      </c>
      <c r="AM13" s="69">
        <f t="shared" ca="1" si="10"/>
        <v>721968</v>
      </c>
      <c r="AN13" s="69">
        <f t="shared" ca="1" si="11"/>
        <v>5978076</v>
      </c>
      <c r="AO13" s="69">
        <f t="shared" ca="1" si="12"/>
        <v>64400.123703999998</v>
      </c>
      <c r="AP13" s="69">
        <f t="shared" ca="1" si="13"/>
        <v>5913675.8762959996</v>
      </c>
      <c r="AQ13" s="69">
        <f t="shared" ca="1" si="14"/>
        <v>5913675.8762959996</v>
      </c>
      <c r="AR13" s="69">
        <f t="shared" ca="1" si="15"/>
        <v>5913700</v>
      </c>
      <c r="AS13" s="72"/>
      <c r="AT13" s="73" t="s">
        <v>9</v>
      </c>
      <c r="AU13" s="61" t="s">
        <v>10</v>
      </c>
      <c r="AV13" s="69">
        <f t="shared" si="16"/>
        <v>5729876</v>
      </c>
      <c r="AW13" s="69">
        <f t="shared" ca="1" si="17"/>
        <v>199999.99999999997</v>
      </c>
      <c r="AX13" s="69">
        <f t="shared" ca="1" si="18"/>
        <v>250000</v>
      </c>
      <c r="AY13" s="69">
        <v>0</v>
      </c>
      <c r="AZ13" s="70">
        <f t="shared" si="19"/>
        <v>13751.702399999998</v>
      </c>
      <c r="BA13" s="69">
        <f t="shared" si="20"/>
        <v>17189.628000000001</v>
      </c>
      <c r="BB13" s="69">
        <f t="shared" si="21"/>
        <v>229195.04</v>
      </c>
      <c r="BC13" s="69">
        <f t="shared" ca="1" si="22"/>
        <v>6440012.3703999994</v>
      </c>
      <c r="BD13" s="74">
        <f ca="1">IF(AU13="C",VLOOKUP(BC13,TER!$J$4:$L$50,3,TRUE),IF(AU13="B",VLOOKUP(BC13,TER!$F$4:$H$50,3,TRUE),IF(AU13="A",VLOOKUP(BC13,TER!$B$4:$D$50,3,TRUE),"ERROR")))</f>
        <v>0.01</v>
      </c>
      <c r="BE13" s="69">
        <f t="shared" ca="1" si="23"/>
        <v>64400.123703999998</v>
      </c>
      <c r="BF13" s="113"/>
      <c r="BG13" s="113"/>
    </row>
    <row r="14" spans="1:59" ht="15.75" customHeight="1" outlineLevel="1">
      <c r="A14" s="260"/>
      <c r="B14" s="224">
        <v>9</v>
      </c>
      <c r="C14" s="358" t="s">
        <v>311</v>
      </c>
      <c r="D14" s="266" t="s">
        <v>312</v>
      </c>
      <c r="E14" s="267" t="s">
        <v>57</v>
      </c>
      <c r="F14" s="265" t="s">
        <v>1145</v>
      </c>
      <c r="G14" s="267" t="s">
        <v>31</v>
      </c>
      <c r="H14" s="268" t="s">
        <v>32</v>
      </c>
      <c r="I14" s="69">
        <f t="shared" si="0"/>
        <v>5729876</v>
      </c>
      <c r="J14" s="269">
        <v>316368</v>
      </c>
      <c r="K14" s="269">
        <v>203800</v>
      </c>
      <c r="L14" s="269">
        <v>100000</v>
      </c>
      <c r="M14" s="69">
        <f t="shared" ca="1" si="1"/>
        <v>4761.9047619047615</v>
      </c>
      <c r="N14" s="125">
        <f ca="1">IFERROR(__xludf.DUMMYFUNCTION("VLOOKUP(C14,IMPORTRANGE(""https://docs.google.com/spreadsheets/d/1ZLN5T8y7NSBIP1rvSj6TTUR_vTQbRwUKSt8zZJ_EfE4/edit?gid=461094331#gid=461094331"",""SCHEDULE_SDT_JAN26""),35,0)"),11)</f>
        <v>11</v>
      </c>
      <c r="O14" s="125">
        <f ca="1">IFERROR(__xludf.DUMMYFUNCTION("VLOOKUP(C14,IMPORTRANGE(""https://docs.google.com/spreadsheets/d/1ZLN5T8y7NSBIP1rvSj6TTUR_vTQbRwUKSt8zZJ_EfE4/edit?gid=461094331#gid=461094331"",""SCHEDULE_SDT_JAN26""),34,0)"),21)</f>
        <v>21</v>
      </c>
      <c r="P14" s="61">
        <f t="shared" ca="1" si="2"/>
        <v>52380.952380952374</v>
      </c>
      <c r="Q14" s="270"/>
      <c r="R14" s="182">
        <f t="shared" si="3"/>
        <v>6350044</v>
      </c>
      <c r="S14" s="182">
        <f t="shared" si="4"/>
        <v>6350044</v>
      </c>
      <c r="T14" s="258">
        <f t="shared" si="5"/>
        <v>0</v>
      </c>
      <c r="U14" s="269">
        <v>250000</v>
      </c>
      <c r="V14" s="61">
        <f ca="1">IFERROR(__xludf.DUMMYFUNCTION("VLOOKUP(C14,IMPORTRANGE(""https://docs.google.com/spreadsheets/d/1ZLN5T8y7NSBIP1rvSj6TTUR_vTQbRwUKSt8zZJ_EfE4/edit?gid=461094331#gid=461094331"",""SCHEDULE_SDT_JAN26""),36,0)"),0)</f>
        <v>0</v>
      </c>
      <c r="W14" s="69">
        <f t="shared" ca="1" si="6"/>
        <v>0</v>
      </c>
      <c r="X14" s="182">
        <v>0</v>
      </c>
      <c r="Y14" s="182">
        <f t="shared" ca="1" si="7"/>
        <v>6302424.9523809524</v>
      </c>
      <c r="Z14" s="61">
        <f ca="1">IFERROR(__xludf.DUMMYFUNCTION("VLOOKUP(C14,IMPORTRANGE(""https://docs.google.com/spreadsheets/d/1ZLN5T8y7NSBIP1rvSj6TTUR_vTQbRwUKSt8zZJ_EfE4/edit?gid=461094331#gid=461094331"",""SCHEDULE_SDT_JAN26""),38,0)+VLOOKUP(C14,IMPORTRANGE(""https://docs.google.com/spreadsheets/d/1ZLN5T8y7NSBIP1"&amp;"rvSj6TTUR_vTQbRwUKSt8zZJ_EfE4/edit?gid=461094331#gid=461094331"",""SCHEDULE_SDT_JAN26""),39,0)"),1)</f>
        <v>1</v>
      </c>
      <c r="AA14" s="61">
        <f ca="1">IFERROR(__xludf.DUMMYFUNCTION("VLOOKUP(C14,IMPORTRANGE(""https://docs.google.com/spreadsheets/d/1ZLN5T8y7NSBIP1rvSj6TTUR_vTQbRwUKSt8zZJ_EfE4/edit?gid=461094331#gid=461094331"",""SCHEDULE_SDT_JAN26""),40,0)"),4)</f>
        <v>4</v>
      </c>
      <c r="AB14" s="61">
        <f ca="1">IFERROR(__xludf.DUMMYFUNCTION("VLOOKUP(C14,IMPORTRANGE(""https://docs.google.com/spreadsheets/d/1ZLN5T8y7NSBIP1rvSj6TTUR_vTQbRwUKSt8zZJ_EfE4/edit?gid=461094331#gid=461094331"",""SCHEDULE_SDT_JAN26""),41,0)"),0)</f>
        <v>0</v>
      </c>
      <c r="AC14" s="61">
        <f ca="1">IFERROR(__xludf.DUMMYFUNCTION("VLOOKUP(C14,IMPORTRANGE(""https://docs.google.com/spreadsheets/d/1ZLN5T8y7NSBIP1rvSj6TTUR_vTQbRwUKSt8zZJ_EfE4/edit?gid=461094331#gid=461094331"",""SCHEDULE_SDT_JAN26""),42,0)"),0)</f>
        <v>0</v>
      </c>
      <c r="AD14" s="61">
        <f ca="1">IFERROR(__xludf.DUMMYFUNCTION("VLOOKUP(C14,IMPORTRANGE(""https://docs.google.com/spreadsheets/d/1ZLN5T8y7NSBIP1rvSj6TTUR_vTQbRwUKSt8zZJ_EfE4/edit?gid=461094331#gid=461094331"",""SCHEDULE_SDT_JAN26""),43,0)"),0)</f>
        <v>0</v>
      </c>
      <c r="AE14" s="69">
        <f t="shared" ca="1" si="8"/>
        <v>1250000</v>
      </c>
      <c r="AF14" s="20">
        <v>468468</v>
      </c>
      <c r="AG14" s="19">
        <v>253500</v>
      </c>
      <c r="AH14" s="269">
        <v>1000000</v>
      </c>
      <c r="AI14" s="182">
        <v>0</v>
      </c>
      <c r="AJ14" s="182">
        <v>0</v>
      </c>
      <c r="AK14" s="182">
        <f t="shared" si="9"/>
        <v>0</v>
      </c>
      <c r="AL14" s="182">
        <v>0</v>
      </c>
      <c r="AM14" s="182">
        <f t="shared" ca="1" si="10"/>
        <v>2971968</v>
      </c>
      <c r="AN14" s="182">
        <f t="shared" ca="1" si="11"/>
        <v>3330456.9523809524</v>
      </c>
      <c r="AO14" s="182">
        <f t="shared" ca="1" si="12"/>
        <v>45317.949920857136</v>
      </c>
      <c r="AP14" s="182">
        <f t="shared" ca="1" si="13"/>
        <v>3285139.0024600951</v>
      </c>
      <c r="AQ14" s="182">
        <f t="shared" ca="1" si="14"/>
        <v>3285139.0024600951</v>
      </c>
      <c r="AR14" s="182">
        <f t="shared" ca="1" si="15"/>
        <v>3285100</v>
      </c>
      <c r="AS14" s="271"/>
      <c r="AT14" s="272" t="s">
        <v>9</v>
      </c>
      <c r="AU14" s="258" t="s">
        <v>10</v>
      </c>
      <c r="AV14" s="182">
        <f t="shared" si="16"/>
        <v>5729876</v>
      </c>
      <c r="AW14" s="182">
        <f t="shared" ca="1" si="17"/>
        <v>52380.952380952374</v>
      </c>
      <c r="AX14" s="182">
        <f t="shared" ca="1" si="18"/>
        <v>0</v>
      </c>
      <c r="AY14" s="182">
        <v>0</v>
      </c>
      <c r="AZ14" s="269">
        <f t="shared" si="19"/>
        <v>13751.702399999998</v>
      </c>
      <c r="BA14" s="182">
        <f t="shared" si="20"/>
        <v>17189.628000000001</v>
      </c>
      <c r="BB14" s="182">
        <f t="shared" si="21"/>
        <v>229195.04</v>
      </c>
      <c r="BC14" s="182">
        <f t="shared" ca="1" si="22"/>
        <v>6042393.3227809519</v>
      </c>
      <c r="BD14" s="273">
        <f ca="1">IF(AU14="C",VLOOKUP(BC14,TER!$J$4:$L$50,3,TRUE),IF(AU14="B",VLOOKUP(BC14,TER!$F$4:$H$50,3,TRUE),IF(AU14="A",VLOOKUP(BC14,TER!$B$4:$D$50,3,TRUE),"ERROR")))</f>
        <v>7.4999999999999997E-3</v>
      </c>
      <c r="BE14" s="182">
        <f t="shared" ca="1" si="23"/>
        <v>45317.949920857136</v>
      </c>
      <c r="BF14" s="260"/>
      <c r="BG14" s="260"/>
    </row>
    <row r="15" spans="1:59" ht="15.75" customHeight="1" outlineLevel="1">
      <c r="A15" s="113"/>
      <c r="B15" s="224">
        <v>10</v>
      </c>
      <c r="C15" s="257" t="s">
        <v>313</v>
      </c>
      <c r="D15" s="85" t="s">
        <v>314</v>
      </c>
      <c r="E15" s="67" t="s">
        <v>57</v>
      </c>
      <c r="F15" s="68" t="s">
        <v>1146</v>
      </c>
      <c r="G15" s="86" t="s">
        <v>1118</v>
      </c>
      <c r="H15" s="88" t="s">
        <v>32</v>
      </c>
      <c r="I15" s="69">
        <f t="shared" si="0"/>
        <v>5729876</v>
      </c>
      <c r="J15" s="90">
        <v>316368</v>
      </c>
      <c r="K15" s="90">
        <v>203800</v>
      </c>
      <c r="L15" s="90">
        <v>2000000</v>
      </c>
      <c r="M15" s="69">
        <f t="shared" ca="1" si="1"/>
        <v>95238.095238095237</v>
      </c>
      <c r="N15" s="125">
        <f ca="1">IFERROR(__xludf.DUMMYFUNCTION("VLOOKUP(C15,IMPORTRANGE(""https://docs.google.com/spreadsheets/d/1ZLN5T8y7NSBIP1rvSj6TTUR_vTQbRwUKSt8zZJ_EfE4/edit?gid=461094331#gid=461094331"",""SCHEDULE_SDT_JAN26""),35,0)"),2)</f>
        <v>2</v>
      </c>
      <c r="O15" s="125">
        <f ca="1">IFERROR(__xludf.DUMMYFUNCTION("VLOOKUP(C15,IMPORTRANGE(""https://docs.google.com/spreadsheets/d/1ZLN5T8y7NSBIP1rvSj6TTUR_vTQbRwUKSt8zZJ_EfE4/edit?gid=461094331#gid=461094331"",""SCHEDULE_SDT_JAN26""),34,0)"),21)</f>
        <v>21</v>
      </c>
      <c r="P15" s="61">
        <f t="shared" ca="1" si="2"/>
        <v>190476.19047619047</v>
      </c>
      <c r="Q15" s="71"/>
      <c r="R15" s="69">
        <f t="shared" si="3"/>
        <v>8250044</v>
      </c>
      <c r="S15" s="69">
        <f t="shared" si="4"/>
        <v>8250044</v>
      </c>
      <c r="T15" s="61">
        <f t="shared" si="5"/>
        <v>0</v>
      </c>
      <c r="U15" s="70">
        <v>250000</v>
      </c>
      <c r="V15" s="61">
        <f ca="1">IFERROR(__xludf.DUMMYFUNCTION("VLOOKUP(C15,IMPORTRANGE(""https://docs.google.com/spreadsheets/d/1ZLN5T8y7NSBIP1rvSj6TTUR_vTQbRwUKSt8zZJ_EfE4/edit?gid=461094331#gid=461094331"",""SCHEDULE_SDT_JAN26""),36,0)"),0)</f>
        <v>0</v>
      </c>
      <c r="W15" s="69">
        <f t="shared" ca="1" si="6"/>
        <v>0</v>
      </c>
      <c r="X15" s="69">
        <v>0</v>
      </c>
      <c r="Y15" s="69">
        <f t="shared" ca="1" si="7"/>
        <v>6440520.1904761903</v>
      </c>
      <c r="Z15" s="61">
        <f ca="1">IFERROR(__xludf.DUMMYFUNCTION("VLOOKUP(C15,IMPORTRANGE(""https://docs.google.com/spreadsheets/d/1ZLN5T8y7NSBIP1rvSj6TTUR_vTQbRwUKSt8zZJ_EfE4/edit?gid=461094331#gid=461094331"",""SCHEDULE_SDT_JAN26""),38,0)+VLOOKUP(C15,IMPORTRANGE(""https://docs.google.com/spreadsheets/d/1ZLN5T8y7NSBIP1"&amp;"rvSj6TTUR_vTQbRwUKSt8zZJ_EfE4/edit?gid=461094331#gid=461094331"",""SCHEDULE_SDT_JAN26""),39,0)"),0)</f>
        <v>0</v>
      </c>
      <c r="AA15" s="61">
        <f ca="1">IFERROR(__xludf.DUMMYFUNCTION("VLOOKUP(C15,IMPORTRANGE(""https://docs.google.com/spreadsheets/d/1ZLN5T8y7NSBIP1rvSj6TTUR_vTQbRwUKSt8zZJ_EfE4/edit?gid=461094331#gid=461094331"",""SCHEDULE_SDT_JAN26""),40,0)"),0)</f>
        <v>0</v>
      </c>
      <c r="AB15" s="61">
        <f ca="1">IFERROR(__xludf.DUMMYFUNCTION("VLOOKUP(C15,IMPORTRANGE(""https://docs.google.com/spreadsheets/d/1ZLN5T8y7NSBIP1rvSj6TTUR_vTQbRwUKSt8zZJ_EfE4/edit?gid=461094331#gid=461094331"",""SCHEDULE_SDT_JAN26""),41,0)"),0)</f>
        <v>0</v>
      </c>
      <c r="AC15" s="61">
        <f ca="1">IFERROR(__xludf.DUMMYFUNCTION("VLOOKUP(C15,IMPORTRANGE(""https://docs.google.com/spreadsheets/d/1ZLN5T8y7NSBIP1rvSj6TTUR_vTQbRwUKSt8zZJ_EfE4/edit?gid=461094331#gid=461094331"",""SCHEDULE_SDT_JAN26""),42,0)"),0)</f>
        <v>0</v>
      </c>
      <c r="AD15" s="61">
        <f ca="1">IFERROR(__xludf.DUMMYFUNCTION("VLOOKUP(C15,IMPORTRANGE(""https://docs.google.com/spreadsheets/d/1ZLN5T8y7NSBIP1rvSj6TTUR_vTQbRwUKSt8zZJ_EfE4/edit?gid=461094331#gid=461094331"",""SCHEDULE_SDT_JAN26""),43,0)"),0)</f>
        <v>0</v>
      </c>
      <c r="AE15" s="69">
        <f t="shared" ca="1" si="8"/>
        <v>0</v>
      </c>
      <c r="AF15" s="19">
        <v>468468</v>
      </c>
      <c r="AG15" s="19">
        <v>253500</v>
      </c>
      <c r="AH15" s="69">
        <v>0</v>
      </c>
      <c r="AI15" s="69">
        <v>0</v>
      </c>
      <c r="AJ15" s="69">
        <v>0</v>
      </c>
      <c r="AK15" s="69">
        <f t="shared" si="9"/>
        <v>0</v>
      </c>
      <c r="AL15" s="69">
        <v>0</v>
      </c>
      <c r="AM15" s="69">
        <f t="shared" ca="1" si="10"/>
        <v>721968</v>
      </c>
      <c r="AN15" s="69">
        <f t="shared" ca="1" si="11"/>
        <v>5718552.1904761903</v>
      </c>
      <c r="AO15" s="69">
        <f t="shared" ca="1" si="12"/>
        <v>46353.664206571419</v>
      </c>
      <c r="AP15" s="69">
        <f t="shared" ca="1" si="13"/>
        <v>5672198.5262696184</v>
      </c>
      <c r="AQ15" s="69">
        <f t="shared" ca="1" si="14"/>
        <v>5672198.5262696184</v>
      </c>
      <c r="AR15" s="69">
        <f t="shared" ca="1" si="15"/>
        <v>5672200</v>
      </c>
      <c r="AS15" s="72"/>
      <c r="AT15" s="73" t="s">
        <v>9</v>
      </c>
      <c r="AU15" s="61" t="s">
        <v>10</v>
      </c>
      <c r="AV15" s="69">
        <f t="shared" si="16"/>
        <v>5729876</v>
      </c>
      <c r="AW15" s="69">
        <f t="shared" ca="1" si="17"/>
        <v>190476.19047619047</v>
      </c>
      <c r="AX15" s="69">
        <f t="shared" ca="1" si="18"/>
        <v>0</v>
      </c>
      <c r="AY15" s="69">
        <v>0</v>
      </c>
      <c r="AZ15" s="70">
        <f t="shared" si="19"/>
        <v>13751.702399999998</v>
      </c>
      <c r="BA15" s="69">
        <f t="shared" si="20"/>
        <v>17189.628000000001</v>
      </c>
      <c r="BB15" s="69">
        <f t="shared" si="21"/>
        <v>229195.04</v>
      </c>
      <c r="BC15" s="69">
        <f t="shared" ca="1" si="22"/>
        <v>6180488.5608761897</v>
      </c>
      <c r="BD15" s="74">
        <f ca="1">IF(AU15="C",VLOOKUP(BC15,TER!$J$4:$L$50,3,TRUE),IF(AU15="B",VLOOKUP(BC15,TER!$F$4:$H$50,3,TRUE),IF(AU15="A",VLOOKUP(BC15,TER!$B$4:$D$50,3,TRUE),"ERROR")))</f>
        <v>7.4999999999999997E-3</v>
      </c>
      <c r="BE15" s="69">
        <f t="shared" ca="1" si="23"/>
        <v>46353.664206571419</v>
      </c>
      <c r="BF15" s="113"/>
      <c r="BG15" s="113"/>
    </row>
    <row r="16" spans="1:59" ht="15.75" customHeight="1" outlineLevel="1">
      <c r="A16" s="113"/>
      <c r="B16" s="373" t="s">
        <v>1348</v>
      </c>
      <c r="C16" s="374" t="s">
        <v>1349</v>
      </c>
      <c r="D16" s="375" t="s">
        <v>314</v>
      </c>
      <c r="E16" s="376" t="s">
        <v>57</v>
      </c>
      <c r="F16" s="377" t="s">
        <v>1146</v>
      </c>
      <c r="G16" s="378" t="s">
        <v>1350</v>
      </c>
      <c r="H16" s="379" t="s">
        <v>602</v>
      </c>
      <c r="I16" s="380"/>
      <c r="J16" s="381"/>
      <c r="K16" s="381"/>
      <c r="L16" s="381">
        <v>2750000</v>
      </c>
      <c r="M16" s="380">
        <f t="shared" si="1"/>
        <v>137500</v>
      </c>
      <c r="N16" s="382">
        <f ca="1">IFERROR(__xludf.DUMMYFUNCTION("VLOOKUP(C16,IMPORTRANGE(""https://docs.google.com/spreadsheets/d/1ZLN5T8y7NSBIP1rvSj6TTUR_vTQbRwUKSt8zZJ_EfE4/edit?gid=461094331#gid=461094331"",""SCHEDULE_SDT_JAN26""),35,0)"),19)</f>
        <v>19</v>
      </c>
      <c r="O16" s="382">
        <v>20</v>
      </c>
      <c r="P16" s="383">
        <f t="shared" ca="1" si="2"/>
        <v>2612500</v>
      </c>
      <c r="Q16" s="384"/>
      <c r="R16" s="380">
        <f t="shared" si="3"/>
        <v>2750000</v>
      </c>
      <c r="S16" s="380">
        <f t="shared" si="4"/>
        <v>2750000</v>
      </c>
      <c r="T16" s="383">
        <f t="shared" si="5"/>
        <v>0</v>
      </c>
      <c r="U16" s="385">
        <v>250000</v>
      </c>
      <c r="V16" s="383">
        <f ca="1">IFERROR(__xludf.DUMMYFUNCTION("VLOOKUP(C16,IMPORTRANGE(""https://docs.google.com/spreadsheets/d/1ZLN5T8y7NSBIP1rvSj6TTUR_vTQbRwUKSt8zZJ_EfE4/edit?gid=461094331#gid=461094331"",""SCHEDULE_SDT_JAN26""),36,0)"),0)</f>
        <v>0</v>
      </c>
      <c r="W16" s="380">
        <f t="shared" ca="1" si="6"/>
        <v>0</v>
      </c>
      <c r="X16" s="380">
        <v>0</v>
      </c>
      <c r="Y16" s="380">
        <f t="shared" ca="1" si="7"/>
        <v>2612500</v>
      </c>
      <c r="Z16" s="383">
        <f ca="1">IFERROR(__xludf.DUMMYFUNCTION("VLOOKUP(C16,IMPORTRANGE(""https://docs.google.com/spreadsheets/d/1ZLN5T8y7NSBIP1rvSj6TTUR_vTQbRwUKSt8zZJ_EfE4/edit?gid=461094331#gid=461094331"",""SCHEDULE_SDT_JAN26""),38,0)+VLOOKUP(C16,IMPORTRANGE(""https://docs.google.com/spreadsheets/d/1ZLN5T8y7NSBIP1"&amp;"rvSj6TTUR_vTQbRwUKSt8zZJ_EfE4/edit?gid=461094331#gid=461094331"",""SCHEDULE_SDT_JAN26""),39,0)"),0)</f>
        <v>0</v>
      </c>
      <c r="AA16" s="383">
        <f ca="1">IFERROR(__xludf.DUMMYFUNCTION("VLOOKUP(C16,IMPORTRANGE(""https://docs.google.com/spreadsheets/d/1ZLN5T8y7NSBIP1rvSj6TTUR_vTQbRwUKSt8zZJ_EfE4/edit?gid=461094331#gid=461094331"",""SCHEDULE_SDT_JAN26""),40,0)"),0)</f>
        <v>0</v>
      </c>
      <c r="AB16" s="383">
        <f ca="1">IFERROR(__xludf.DUMMYFUNCTION("VLOOKUP(C16,IMPORTRANGE(""https://docs.google.com/spreadsheets/d/1ZLN5T8y7NSBIP1rvSj6TTUR_vTQbRwUKSt8zZJ_EfE4/edit?gid=461094331#gid=461094331"",""SCHEDULE_SDT_JAN26""),41,0)"),0)</f>
        <v>0</v>
      </c>
      <c r="AC16" s="383">
        <f ca="1">IFERROR(__xludf.DUMMYFUNCTION("VLOOKUP(C16,IMPORTRANGE(""https://docs.google.com/spreadsheets/d/1ZLN5T8y7NSBIP1rvSj6TTUR_vTQbRwUKSt8zZJ_EfE4/edit?gid=461094331#gid=461094331"",""SCHEDULE_SDT_JAN26""),42,0)"),0)</f>
        <v>0</v>
      </c>
      <c r="AD16" s="383">
        <f ca="1">IFERROR(__xludf.DUMMYFUNCTION("VLOOKUP(C16,IMPORTRANGE(""https://docs.google.com/spreadsheets/d/1ZLN5T8y7NSBIP1rvSj6TTUR_vTQbRwUKSt8zZJ_EfE4/edit?gid=461094331#gid=461094331"",""SCHEDULE_SDT_JAN26""),43,0)"),0)</f>
        <v>0</v>
      </c>
      <c r="AE16" s="380">
        <f t="shared" ca="1" si="8"/>
        <v>0</v>
      </c>
      <c r="AF16" s="386"/>
      <c r="AG16" s="386"/>
      <c r="AH16" s="380">
        <v>0</v>
      </c>
      <c r="AI16" s="380">
        <v>0</v>
      </c>
      <c r="AJ16" s="380">
        <v>0</v>
      </c>
      <c r="AK16" s="380">
        <f t="shared" si="9"/>
        <v>0</v>
      </c>
      <c r="AL16" s="380">
        <v>0</v>
      </c>
      <c r="AM16" s="380">
        <f t="shared" ca="1" si="10"/>
        <v>0</v>
      </c>
      <c r="AN16" s="380">
        <f t="shared" ca="1" si="11"/>
        <v>2612500</v>
      </c>
      <c r="AO16" s="380">
        <f t="shared" si="12"/>
        <v>0</v>
      </c>
      <c r="AP16" s="380">
        <f t="shared" ca="1" si="13"/>
        <v>2612500</v>
      </c>
      <c r="AQ16" s="380">
        <f t="shared" ca="1" si="14"/>
        <v>2612500</v>
      </c>
      <c r="AR16" s="380">
        <f t="shared" ca="1" si="15"/>
        <v>2612500</v>
      </c>
      <c r="AS16" s="387"/>
      <c r="AT16" s="388"/>
      <c r="AU16" s="383"/>
      <c r="AV16" s="380"/>
      <c r="AW16" s="380"/>
      <c r="AX16" s="380"/>
      <c r="AY16" s="380"/>
      <c r="AZ16" s="385"/>
      <c r="BA16" s="380"/>
      <c r="BB16" s="380"/>
      <c r="BC16" s="380"/>
      <c r="BD16" s="376"/>
      <c r="BE16" s="380"/>
      <c r="BF16" s="113"/>
      <c r="BG16" s="113"/>
    </row>
    <row r="17" spans="1:59" ht="15.75" customHeight="1" outlineLevel="1">
      <c r="A17" s="113"/>
      <c r="B17" s="224">
        <v>11</v>
      </c>
      <c r="C17" s="87" t="s">
        <v>315</v>
      </c>
      <c r="D17" s="88" t="s">
        <v>316</v>
      </c>
      <c r="E17" s="67" t="s">
        <v>57</v>
      </c>
      <c r="F17" s="68" t="s">
        <v>1147</v>
      </c>
      <c r="G17" s="86" t="s">
        <v>31</v>
      </c>
      <c r="H17" s="88" t="s">
        <v>32</v>
      </c>
      <c r="I17" s="69">
        <f t="shared" ref="I17:I22" si="24">IF(H17="FULL - EXISTING",5729876,5729876/O17*N17)</f>
        <v>5729876</v>
      </c>
      <c r="J17" s="90">
        <v>316368</v>
      </c>
      <c r="K17" s="90">
        <v>203800</v>
      </c>
      <c r="L17" s="90">
        <v>1000000</v>
      </c>
      <c r="M17" s="69">
        <f t="shared" ca="1" si="1"/>
        <v>47619.047619047618</v>
      </c>
      <c r="N17" s="125">
        <f ca="1">IFERROR(__xludf.DUMMYFUNCTION("VLOOKUP(C17,IMPORTRANGE(""https://docs.google.com/spreadsheets/d/1ZLN5T8y7NSBIP1rvSj6TTUR_vTQbRwUKSt8zZJ_EfE4/edit?gid=461094331#gid=461094331"",""SCHEDULE_SDT_JAN26""),35,0)"),21)</f>
        <v>21</v>
      </c>
      <c r="O17" s="125">
        <f ca="1">IFERROR(__xludf.DUMMYFUNCTION("VLOOKUP(C17,IMPORTRANGE(""https://docs.google.com/spreadsheets/d/1ZLN5T8y7NSBIP1rvSj6TTUR_vTQbRwUKSt8zZJ_EfE4/edit?gid=461094331#gid=461094331"",""SCHEDULE_SDT_JAN26""),34,0)"),21)</f>
        <v>21</v>
      </c>
      <c r="P17" s="61">
        <f t="shared" ca="1" si="2"/>
        <v>1000000</v>
      </c>
      <c r="Q17" s="71"/>
      <c r="R17" s="69">
        <f t="shared" si="3"/>
        <v>7250044</v>
      </c>
      <c r="S17" s="69">
        <f t="shared" si="4"/>
        <v>7250044</v>
      </c>
      <c r="T17" s="61">
        <f t="shared" si="5"/>
        <v>0</v>
      </c>
      <c r="U17" s="70">
        <v>250000</v>
      </c>
      <c r="V17" s="61">
        <f ca="1">IFERROR(__xludf.DUMMYFUNCTION("VLOOKUP(C17,IMPORTRANGE(""https://docs.google.com/spreadsheets/d/1ZLN5T8y7NSBIP1rvSj6TTUR_vTQbRwUKSt8zZJ_EfE4/edit?gid=461094331#gid=461094331"",""SCHEDULE_SDT_JAN26""),36,0)"),1)</f>
        <v>1</v>
      </c>
      <c r="W17" s="69">
        <f t="shared" ca="1" si="6"/>
        <v>250000</v>
      </c>
      <c r="X17" s="69">
        <v>0</v>
      </c>
      <c r="Y17" s="69">
        <f t="shared" ca="1" si="7"/>
        <v>7500044</v>
      </c>
      <c r="Z17" s="61">
        <f ca="1">IFERROR(__xludf.DUMMYFUNCTION("VLOOKUP(C17,IMPORTRANGE(""https://docs.google.com/spreadsheets/d/1ZLN5T8y7NSBIP1rvSj6TTUR_vTQbRwUKSt8zZJ_EfE4/edit?gid=461094331#gid=461094331"",""SCHEDULE_SDT_JAN26""),38,0)+VLOOKUP(C17,IMPORTRANGE(""https://docs.google.com/spreadsheets/d/1ZLN5T8y7NSBIP1"&amp;"rvSj6TTUR_vTQbRwUKSt8zZJ_EfE4/edit?gid=461094331#gid=461094331"",""SCHEDULE_SDT_JAN26""),39,0)"),0)</f>
        <v>0</v>
      </c>
      <c r="AA17" s="61">
        <f ca="1">IFERROR(__xludf.DUMMYFUNCTION("VLOOKUP(C17,IMPORTRANGE(""https://docs.google.com/spreadsheets/d/1ZLN5T8y7NSBIP1rvSj6TTUR_vTQbRwUKSt8zZJ_EfE4/edit?gid=461094331#gid=461094331"",""SCHEDULE_SDT_JAN26""),40,0)"),0)</f>
        <v>0</v>
      </c>
      <c r="AB17" s="61">
        <f ca="1">IFERROR(__xludf.DUMMYFUNCTION("VLOOKUP(C17,IMPORTRANGE(""https://docs.google.com/spreadsheets/d/1ZLN5T8y7NSBIP1rvSj6TTUR_vTQbRwUKSt8zZJ_EfE4/edit?gid=461094331#gid=461094331"",""SCHEDULE_SDT_JAN26""),41,0)"),0)</f>
        <v>0</v>
      </c>
      <c r="AC17" s="61">
        <f ca="1">IFERROR(__xludf.DUMMYFUNCTION("VLOOKUP(C17,IMPORTRANGE(""https://docs.google.com/spreadsheets/d/1ZLN5T8y7NSBIP1rvSj6TTUR_vTQbRwUKSt8zZJ_EfE4/edit?gid=461094331#gid=461094331"",""SCHEDULE_SDT_JAN26""),42,0)"),0)</f>
        <v>0</v>
      </c>
      <c r="AD17" s="61">
        <f ca="1">IFERROR(__xludf.DUMMYFUNCTION("VLOOKUP(C17,IMPORTRANGE(""https://docs.google.com/spreadsheets/d/1ZLN5T8y7NSBIP1rvSj6TTUR_vTQbRwUKSt8zZJ_EfE4/edit?gid=461094331#gid=461094331"",""SCHEDULE_SDT_JAN26""),43,0)"),0)</f>
        <v>0</v>
      </c>
      <c r="AE17" s="69">
        <f t="shared" ca="1" si="8"/>
        <v>0</v>
      </c>
      <c r="AF17" s="19">
        <v>468468</v>
      </c>
      <c r="AG17" s="19">
        <v>253500</v>
      </c>
      <c r="AH17" s="69">
        <v>0</v>
      </c>
      <c r="AI17" s="69">
        <v>0</v>
      </c>
      <c r="AJ17" s="69">
        <v>0</v>
      </c>
      <c r="AK17" s="69">
        <f t="shared" si="9"/>
        <v>0</v>
      </c>
      <c r="AL17" s="69">
        <v>0</v>
      </c>
      <c r="AM17" s="69">
        <f t="shared" ca="1" si="10"/>
        <v>721968</v>
      </c>
      <c r="AN17" s="69">
        <f t="shared" ca="1" si="11"/>
        <v>6778076</v>
      </c>
      <c r="AO17" s="69">
        <f t="shared" ca="1" si="12"/>
        <v>90500.154630000005</v>
      </c>
      <c r="AP17" s="69">
        <f t="shared" ca="1" si="13"/>
        <v>6687575.8453700002</v>
      </c>
      <c r="AQ17" s="69">
        <f t="shared" ca="1" si="14"/>
        <v>6687575.8453700002</v>
      </c>
      <c r="AR17" s="69">
        <f t="shared" ca="1" si="15"/>
        <v>6687600</v>
      </c>
      <c r="AS17" s="72"/>
      <c r="AT17" s="73" t="s">
        <v>9</v>
      </c>
      <c r="AU17" s="61" t="s">
        <v>10</v>
      </c>
      <c r="AV17" s="69">
        <f t="shared" ref="AV17:AV22" si="25">I17</f>
        <v>5729876</v>
      </c>
      <c r="AW17" s="69">
        <f t="shared" ref="AW17:AW22" ca="1" si="26">P17</f>
        <v>1000000</v>
      </c>
      <c r="AX17" s="69">
        <f t="shared" ref="AX17:AX22" ca="1" si="27">W17</f>
        <v>250000</v>
      </c>
      <c r="AY17" s="69">
        <v>0</v>
      </c>
      <c r="AZ17" s="70">
        <f t="shared" ref="AZ17:AZ22" si="28">IF(J17=0,0,AV17*0.24%)</f>
        <v>13751.702399999998</v>
      </c>
      <c r="BA17" s="69">
        <f t="shared" ref="BA17:BA22" si="29">IF(J17=0,0,AV17*0.3%)</f>
        <v>17189.628000000001</v>
      </c>
      <c r="BB17" s="69">
        <f t="shared" ref="BB17:BB22" si="30">IF(K17=0,0,AV17*4%)</f>
        <v>229195.04</v>
      </c>
      <c r="BC17" s="69">
        <f t="shared" ref="BC17:BC22" ca="1" si="31">SUM(AV17:BB17)</f>
        <v>7240012.3703999994</v>
      </c>
      <c r="BD17" s="74">
        <f ca="1">IF(AU17="C",VLOOKUP(BC17,TER!$J$4:$L$50,3,TRUE),IF(AU17="B",VLOOKUP(BC17,TER!$F$4:$H$50,3,TRUE),IF(AU17="A",VLOOKUP(BC17,TER!$B$4:$D$50,3,TRUE),"ERROR")))</f>
        <v>1.2500000000000001E-2</v>
      </c>
      <c r="BE17" s="69">
        <f t="shared" ref="BE17:BE22" ca="1" si="32">BC17*BD17</f>
        <v>90500.154630000005</v>
      </c>
      <c r="BF17" s="113"/>
      <c r="BG17" s="113"/>
    </row>
    <row r="18" spans="1:59" ht="15.75" customHeight="1" outlineLevel="1">
      <c r="A18" s="113"/>
      <c r="B18" s="224">
        <v>12</v>
      </c>
      <c r="C18" s="68" t="s">
        <v>317</v>
      </c>
      <c r="D18" s="66" t="s">
        <v>318</v>
      </c>
      <c r="E18" s="67" t="s">
        <v>57</v>
      </c>
      <c r="F18" s="68" t="s">
        <v>1148</v>
      </c>
      <c r="G18" s="67" t="s">
        <v>31</v>
      </c>
      <c r="H18" s="66" t="s">
        <v>32</v>
      </c>
      <c r="I18" s="69">
        <f t="shared" si="24"/>
        <v>5729876</v>
      </c>
      <c r="J18" s="70">
        <v>316368</v>
      </c>
      <c r="K18" s="70">
        <v>203800</v>
      </c>
      <c r="L18" s="70">
        <v>1000000</v>
      </c>
      <c r="M18" s="69">
        <f t="shared" ca="1" si="1"/>
        <v>47619.047619047618</v>
      </c>
      <c r="N18" s="125">
        <f ca="1">IFERROR(__xludf.DUMMYFUNCTION("VLOOKUP(C18,IMPORTRANGE(""https://docs.google.com/spreadsheets/d/1ZLN5T8y7NSBIP1rvSj6TTUR_vTQbRwUKSt8zZJ_EfE4/edit?gid=461094331#gid=461094331"",""SCHEDULE_SDT_JAN26""),35,0)"),20)</f>
        <v>20</v>
      </c>
      <c r="O18" s="125">
        <f ca="1">IFERROR(__xludf.DUMMYFUNCTION("VLOOKUP(C18,IMPORTRANGE(""https://docs.google.com/spreadsheets/d/1ZLN5T8y7NSBIP1rvSj6TTUR_vTQbRwUKSt8zZJ_EfE4/edit?gid=461094331#gid=461094331"",""SCHEDULE_SDT_JAN26""),34,0)"),21)</f>
        <v>21</v>
      </c>
      <c r="P18" s="61">
        <f t="shared" ca="1" si="2"/>
        <v>952380.95238095243</v>
      </c>
      <c r="Q18" s="71"/>
      <c r="R18" s="69">
        <f t="shared" si="3"/>
        <v>7250044</v>
      </c>
      <c r="S18" s="69">
        <f t="shared" si="4"/>
        <v>7250044</v>
      </c>
      <c r="T18" s="61">
        <f t="shared" si="5"/>
        <v>0</v>
      </c>
      <c r="U18" s="70">
        <v>250000</v>
      </c>
      <c r="V18" s="61">
        <f ca="1">IFERROR(__xludf.DUMMYFUNCTION("VLOOKUP(C18,IMPORTRANGE(""https://docs.google.com/spreadsheets/d/1ZLN5T8y7NSBIP1rvSj6TTUR_vTQbRwUKSt8zZJ_EfE4/edit?gid=461094331#gid=461094331"",""SCHEDULE_SDT_JAN26""),36,0)"),1)</f>
        <v>1</v>
      </c>
      <c r="W18" s="69">
        <f t="shared" ca="1" si="6"/>
        <v>250000</v>
      </c>
      <c r="X18" s="69">
        <v>0</v>
      </c>
      <c r="Y18" s="69">
        <f t="shared" ca="1" si="7"/>
        <v>7452424.9523809524</v>
      </c>
      <c r="Z18" s="61">
        <f ca="1">IFERROR(__xludf.DUMMYFUNCTION("VLOOKUP(C18,IMPORTRANGE(""https://docs.google.com/spreadsheets/d/1ZLN5T8y7NSBIP1rvSj6TTUR_vTQbRwUKSt8zZJ_EfE4/edit?gid=461094331#gid=461094331"",""SCHEDULE_SDT_JAN26""),38,0)+VLOOKUP(C18,IMPORTRANGE(""https://docs.google.com/spreadsheets/d/1ZLN5T8y7NSBIP1"&amp;"rvSj6TTUR_vTQbRwUKSt8zZJ_EfE4/edit?gid=461094331#gid=461094331"",""SCHEDULE_SDT_JAN26""),39,0)"),0)</f>
        <v>0</v>
      </c>
      <c r="AA18" s="61">
        <f ca="1">IFERROR(__xludf.DUMMYFUNCTION("VLOOKUP(C18,IMPORTRANGE(""https://docs.google.com/spreadsheets/d/1ZLN5T8y7NSBIP1rvSj6TTUR_vTQbRwUKSt8zZJ_EfE4/edit?gid=461094331#gid=461094331"",""SCHEDULE_SDT_JAN26""),40,0)"),1)</f>
        <v>1</v>
      </c>
      <c r="AB18" s="61">
        <f ca="1">IFERROR(__xludf.DUMMYFUNCTION("VLOOKUP(C18,IMPORTRANGE(""https://docs.google.com/spreadsheets/d/1ZLN5T8y7NSBIP1rvSj6TTUR_vTQbRwUKSt8zZJ_EfE4/edit?gid=461094331#gid=461094331"",""SCHEDULE_SDT_JAN26""),41,0)"),0)</f>
        <v>0</v>
      </c>
      <c r="AC18" s="61">
        <f ca="1">IFERROR(__xludf.DUMMYFUNCTION("VLOOKUP(C18,IMPORTRANGE(""https://docs.google.com/spreadsheets/d/1ZLN5T8y7NSBIP1rvSj6TTUR_vTQbRwUKSt8zZJ_EfE4/edit?gid=461094331#gid=461094331"",""SCHEDULE_SDT_JAN26""),42,0)"),0)</f>
        <v>0</v>
      </c>
      <c r="AD18" s="61">
        <f ca="1">IFERROR(__xludf.DUMMYFUNCTION("VLOOKUP(C18,IMPORTRANGE(""https://docs.google.com/spreadsheets/d/1ZLN5T8y7NSBIP1rvSj6TTUR_vTQbRwUKSt8zZJ_EfE4/edit?gid=461094331#gid=461094331"",""SCHEDULE_SDT_JAN26""),43,0)"),0)</f>
        <v>0</v>
      </c>
      <c r="AE18" s="69">
        <f t="shared" ca="1" si="8"/>
        <v>250000</v>
      </c>
      <c r="AF18" s="19">
        <v>468468</v>
      </c>
      <c r="AG18" s="19">
        <v>253500</v>
      </c>
      <c r="AH18" s="69">
        <v>0</v>
      </c>
      <c r="AI18" s="69">
        <v>0</v>
      </c>
      <c r="AJ18" s="69">
        <v>0</v>
      </c>
      <c r="AK18" s="69">
        <f t="shared" si="9"/>
        <v>0</v>
      </c>
      <c r="AL18" s="69">
        <v>0</v>
      </c>
      <c r="AM18" s="69">
        <f t="shared" ca="1" si="10"/>
        <v>971968</v>
      </c>
      <c r="AN18" s="69">
        <f t="shared" ca="1" si="11"/>
        <v>6480456.9523809524</v>
      </c>
      <c r="AO18" s="69">
        <f t="shared" ca="1" si="12"/>
        <v>53942.949920857136</v>
      </c>
      <c r="AP18" s="69">
        <f t="shared" ca="1" si="13"/>
        <v>6426514.0024600951</v>
      </c>
      <c r="AQ18" s="69">
        <f t="shared" ca="1" si="14"/>
        <v>6426514.0024600951</v>
      </c>
      <c r="AR18" s="69">
        <f t="shared" ca="1" si="15"/>
        <v>6426500</v>
      </c>
      <c r="AS18" s="72"/>
      <c r="AT18" s="73" t="s">
        <v>18</v>
      </c>
      <c r="AU18" s="61" t="s">
        <v>15</v>
      </c>
      <c r="AV18" s="69">
        <f t="shared" si="25"/>
        <v>5729876</v>
      </c>
      <c r="AW18" s="69">
        <f t="shared" ca="1" si="26"/>
        <v>952380.95238095243</v>
      </c>
      <c r="AX18" s="69">
        <f t="shared" ca="1" si="27"/>
        <v>250000</v>
      </c>
      <c r="AY18" s="69">
        <v>0</v>
      </c>
      <c r="AZ18" s="70">
        <f t="shared" si="28"/>
        <v>13751.702399999998</v>
      </c>
      <c r="BA18" s="69">
        <f t="shared" si="29"/>
        <v>17189.628000000001</v>
      </c>
      <c r="BB18" s="69">
        <f t="shared" si="30"/>
        <v>229195.04</v>
      </c>
      <c r="BC18" s="69">
        <f t="shared" ca="1" si="31"/>
        <v>7192393.3227809519</v>
      </c>
      <c r="BD18" s="74">
        <f ca="1">IF(AU18="C",VLOOKUP(BC18,TER!$J$4:$L$50,3,TRUE),IF(AU18="B",VLOOKUP(BC18,TER!$F$4:$H$50,3,TRUE),IF(AU18="A",VLOOKUP(BC18,TER!$B$4:$D$50,3,TRUE),"ERROR")))</f>
        <v>7.4999999999999997E-3</v>
      </c>
      <c r="BE18" s="69">
        <f t="shared" ca="1" si="32"/>
        <v>53942.949920857136</v>
      </c>
      <c r="BF18" s="113"/>
      <c r="BG18" s="113"/>
    </row>
    <row r="19" spans="1:59" ht="15.75" customHeight="1" outlineLevel="1">
      <c r="A19" s="113"/>
      <c r="B19" s="224">
        <v>13</v>
      </c>
      <c r="C19" s="68" t="s">
        <v>319</v>
      </c>
      <c r="D19" s="66" t="s">
        <v>320</v>
      </c>
      <c r="E19" s="67" t="s">
        <v>57</v>
      </c>
      <c r="F19" s="68" t="s">
        <v>1149</v>
      </c>
      <c r="G19" s="67" t="s">
        <v>31</v>
      </c>
      <c r="H19" s="66" t="s">
        <v>32</v>
      </c>
      <c r="I19" s="69">
        <f t="shared" si="24"/>
        <v>5729876</v>
      </c>
      <c r="J19" s="70">
        <v>316368</v>
      </c>
      <c r="K19" s="70">
        <v>203800</v>
      </c>
      <c r="L19" s="70">
        <v>100000</v>
      </c>
      <c r="M19" s="69">
        <f t="shared" ca="1" si="1"/>
        <v>4761.9047619047615</v>
      </c>
      <c r="N19" s="125">
        <f ca="1">IFERROR(__xludf.DUMMYFUNCTION("VLOOKUP(C19,IMPORTRANGE(""https://docs.google.com/spreadsheets/d/1ZLN5T8y7NSBIP1rvSj6TTUR_vTQbRwUKSt8zZJ_EfE4/edit?gid=461094331#gid=461094331"",""SCHEDULE_SDT_JAN26""),35,0)"),20)</f>
        <v>20</v>
      </c>
      <c r="O19" s="125">
        <f ca="1">IFERROR(__xludf.DUMMYFUNCTION("VLOOKUP(C19,IMPORTRANGE(""https://docs.google.com/spreadsheets/d/1ZLN5T8y7NSBIP1rvSj6TTUR_vTQbRwUKSt8zZJ_EfE4/edit?gid=461094331#gid=461094331"",""SCHEDULE_SDT_JAN26""),34,0)"),21)</f>
        <v>21</v>
      </c>
      <c r="P19" s="61">
        <f t="shared" ca="1" si="2"/>
        <v>95238.095238095237</v>
      </c>
      <c r="Q19" s="71"/>
      <c r="R19" s="69">
        <f t="shared" si="3"/>
        <v>6350044</v>
      </c>
      <c r="S19" s="69">
        <f t="shared" si="4"/>
        <v>6350044</v>
      </c>
      <c r="T19" s="61">
        <f t="shared" si="5"/>
        <v>0</v>
      </c>
      <c r="U19" s="70">
        <v>250000</v>
      </c>
      <c r="V19" s="61">
        <f ca="1">IFERROR(__xludf.DUMMYFUNCTION("VLOOKUP(C19,IMPORTRANGE(""https://docs.google.com/spreadsheets/d/1ZLN5T8y7NSBIP1rvSj6TTUR_vTQbRwUKSt8zZJ_EfE4/edit?gid=461094331#gid=461094331"",""SCHEDULE_SDT_JAN26""),36,0)"),1)</f>
        <v>1</v>
      </c>
      <c r="W19" s="69">
        <f t="shared" ca="1" si="6"/>
        <v>250000</v>
      </c>
      <c r="X19" s="69">
        <v>0</v>
      </c>
      <c r="Y19" s="69">
        <f t="shared" ca="1" si="7"/>
        <v>6595282.0952380951</v>
      </c>
      <c r="Z19" s="61">
        <f ca="1">IFERROR(__xludf.DUMMYFUNCTION("VLOOKUP(C19,IMPORTRANGE(""https://docs.google.com/spreadsheets/d/1ZLN5T8y7NSBIP1rvSj6TTUR_vTQbRwUKSt8zZJ_EfE4/edit?gid=461094331#gid=461094331"",""SCHEDULE_SDT_JAN26""),38,0)+VLOOKUP(C19,IMPORTRANGE(""https://docs.google.com/spreadsheets/d/1ZLN5T8y7NSBIP1"&amp;"rvSj6TTUR_vTQbRwUKSt8zZJ_EfE4/edit?gid=461094331#gid=461094331"",""SCHEDULE_SDT_JAN26""),39,0)"),0)</f>
        <v>0</v>
      </c>
      <c r="AA19" s="61">
        <f ca="1">IFERROR(__xludf.DUMMYFUNCTION("VLOOKUP(C19,IMPORTRANGE(""https://docs.google.com/spreadsheets/d/1ZLN5T8y7NSBIP1rvSj6TTUR_vTQbRwUKSt8zZJ_EfE4/edit?gid=461094331#gid=461094331"",""SCHEDULE_SDT_JAN26""),40,0)"),1)</f>
        <v>1</v>
      </c>
      <c r="AB19" s="61">
        <f ca="1">IFERROR(__xludf.DUMMYFUNCTION("VLOOKUP(C19,IMPORTRANGE(""https://docs.google.com/spreadsheets/d/1ZLN5T8y7NSBIP1rvSj6TTUR_vTQbRwUKSt8zZJ_EfE4/edit?gid=461094331#gid=461094331"",""SCHEDULE_SDT_JAN26""),41,0)"),0)</f>
        <v>0</v>
      </c>
      <c r="AC19" s="61">
        <f ca="1">IFERROR(__xludf.DUMMYFUNCTION("VLOOKUP(C19,IMPORTRANGE(""https://docs.google.com/spreadsheets/d/1ZLN5T8y7NSBIP1rvSj6TTUR_vTQbRwUKSt8zZJ_EfE4/edit?gid=461094331#gid=461094331"",""SCHEDULE_SDT_JAN26""),42,0)"),0)</f>
        <v>0</v>
      </c>
      <c r="AD19" s="61">
        <f ca="1">IFERROR(__xludf.DUMMYFUNCTION("VLOOKUP(C19,IMPORTRANGE(""https://docs.google.com/spreadsheets/d/1ZLN5T8y7NSBIP1rvSj6TTUR_vTQbRwUKSt8zZJ_EfE4/edit?gid=461094331#gid=461094331"",""SCHEDULE_SDT_JAN26""),43,0)"),0)</f>
        <v>0</v>
      </c>
      <c r="AE19" s="69">
        <f t="shared" ca="1" si="8"/>
        <v>250000</v>
      </c>
      <c r="AF19" s="19">
        <v>468468</v>
      </c>
      <c r="AG19" s="19">
        <v>253500</v>
      </c>
      <c r="AH19" s="69">
        <v>0</v>
      </c>
      <c r="AI19" s="69">
        <v>0</v>
      </c>
      <c r="AJ19" s="69">
        <v>0</v>
      </c>
      <c r="AK19" s="69">
        <f t="shared" si="9"/>
        <v>0</v>
      </c>
      <c r="AL19" s="69">
        <v>0</v>
      </c>
      <c r="AM19" s="69">
        <f t="shared" ca="1" si="10"/>
        <v>971968</v>
      </c>
      <c r="AN19" s="69">
        <f t="shared" ca="1" si="11"/>
        <v>5623314.0952380951</v>
      </c>
      <c r="AO19" s="69">
        <f t="shared" ca="1" si="12"/>
        <v>0</v>
      </c>
      <c r="AP19" s="69">
        <f t="shared" ca="1" si="13"/>
        <v>5623314.0952380951</v>
      </c>
      <c r="AQ19" s="69">
        <f t="shared" ca="1" si="14"/>
        <v>5623314.0952380951</v>
      </c>
      <c r="AR19" s="69">
        <f t="shared" ca="1" si="15"/>
        <v>5623300</v>
      </c>
      <c r="AS19" s="72"/>
      <c r="AT19" s="73" t="s">
        <v>8</v>
      </c>
      <c r="AU19" s="61" t="s">
        <v>19</v>
      </c>
      <c r="AV19" s="69">
        <f t="shared" si="25"/>
        <v>5729876</v>
      </c>
      <c r="AW19" s="69">
        <f t="shared" ca="1" si="26"/>
        <v>95238.095238095237</v>
      </c>
      <c r="AX19" s="69">
        <f t="shared" ca="1" si="27"/>
        <v>250000</v>
      </c>
      <c r="AY19" s="69">
        <v>0</v>
      </c>
      <c r="AZ19" s="70">
        <f t="shared" si="28"/>
        <v>13751.702399999998</v>
      </c>
      <c r="BA19" s="69">
        <f t="shared" si="29"/>
        <v>17189.628000000001</v>
      </c>
      <c r="BB19" s="69">
        <f t="shared" si="30"/>
        <v>229195.04</v>
      </c>
      <c r="BC19" s="69">
        <f t="shared" ca="1" si="31"/>
        <v>6335250.4656380946</v>
      </c>
      <c r="BD19" s="74">
        <f ca="1">IF(AU19="C",VLOOKUP(BC19,TER!$J$4:$L$50,3,TRUE),IF(AU19="B",VLOOKUP(BC19,TER!$F$4:$H$50,3,TRUE),IF(AU19="A",VLOOKUP(BC19,TER!$B$4:$D$50,3,TRUE),"ERROR")))</f>
        <v>0</v>
      </c>
      <c r="BE19" s="69">
        <f t="shared" ca="1" si="32"/>
        <v>0</v>
      </c>
      <c r="BF19" s="113"/>
      <c r="BG19" s="113"/>
    </row>
    <row r="20" spans="1:59" ht="15.75" customHeight="1" outlineLevel="1">
      <c r="A20" s="113"/>
      <c r="B20" s="224">
        <v>14</v>
      </c>
      <c r="C20" s="68" t="s">
        <v>321</v>
      </c>
      <c r="D20" s="66" t="s">
        <v>322</v>
      </c>
      <c r="E20" s="67" t="s">
        <v>57</v>
      </c>
      <c r="F20" s="68" t="s">
        <v>1150</v>
      </c>
      <c r="G20" s="67" t="s">
        <v>31</v>
      </c>
      <c r="H20" s="66" t="s">
        <v>32</v>
      </c>
      <c r="I20" s="69">
        <f t="shared" si="24"/>
        <v>5729876</v>
      </c>
      <c r="J20" s="70">
        <v>316368</v>
      </c>
      <c r="K20" s="70">
        <v>203800</v>
      </c>
      <c r="L20" s="70">
        <v>200000</v>
      </c>
      <c r="M20" s="69">
        <f t="shared" ca="1" si="1"/>
        <v>9523.8095238095229</v>
      </c>
      <c r="N20" s="125">
        <f ca="1">IFERROR(__xludf.DUMMYFUNCTION("VLOOKUP(C20,IMPORTRANGE(""https://docs.google.com/spreadsheets/d/1ZLN5T8y7NSBIP1rvSj6TTUR_vTQbRwUKSt8zZJ_EfE4/edit?gid=461094331#gid=461094331"",""SCHEDULE_SDT_JAN26""),35,0)"),21)</f>
        <v>21</v>
      </c>
      <c r="O20" s="125">
        <f ca="1">IFERROR(__xludf.DUMMYFUNCTION("VLOOKUP(C20,IMPORTRANGE(""https://docs.google.com/spreadsheets/d/1ZLN5T8y7NSBIP1rvSj6TTUR_vTQbRwUKSt8zZJ_EfE4/edit?gid=461094331#gid=461094331"",""SCHEDULE_SDT_JAN26""),34,0)"),21)</f>
        <v>21</v>
      </c>
      <c r="P20" s="61">
        <f t="shared" ca="1" si="2"/>
        <v>199999.99999999997</v>
      </c>
      <c r="Q20" s="71"/>
      <c r="R20" s="69">
        <f t="shared" si="3"/>
        <v>6450044</v>
      </c>
      <c r="S20" s="69">
        <f t="shared" si="4"/>
        <v>6450044</v>
      </c>
      <c r="T20" s="61">
        <f t="shared" si="5"/>
        <v>0</v>
      </c>
      <c r="U20" s="90">
        <v>250000</v>
      </c>
      <c r="V20" s="61">
        <f ca="1">IFERROR(__xludf.DUMMYFUNCTION("VLOOKUP(C20,IMPORTRANGE(""https://docs.google.com/spreadsheets/d/1ZLN5T8y7NSBIP1rvSj6TTUR_vTQbRwUKSt8zZJ_EfE4/edit?gid=461094331#gid=461094331"",""SCHEDULE_SDT_JAN26""),36,0)"),2)</f>
        <v>2</v>
      </c>
      <c r="W20" s="69">
        <f t="shared" ca="1" si="6"/>
        <v>500000</v>
      </c>
      <c r="X20" s="69">
        <v>0</v>
      </c>
      <c r="Y20" s="69">
        <f t="shared" ca="1" si="7"/>
        <v>6950044</v>
      </c>
      <c r="Z20" s="61">
        <f ca="1">IFERROR(__xludf.DUMMYFUNCTION("VLOOKUP(C20,IMPORTRANGE(""https://docs.google.com/spreadsheets/d/1ZLN5T8y7NSBIP1rvSj6TTUR_vTQbRwUKSt8zZJ_EfE4/edit?gid=461094331#gid=461094331"",""SCHEDULE_SDT_JAN26""),38,0)+VLOOKUP(C20,IMPORTRANGE(""https://docs.google.com/spreadsheets/d/1ZLN5T8y7NSBIP1"&amp;"rvSj6TTUR_vTQbRwUKSt8zZJ_EfE4/edit?gid=461094331#gid=461094331"",""SCHEDULE_SDT_JAN26""),39,0)"),0)</f>
        <v>0</v>
      </c>
      <c r="AA20" s="61">
        <f ca="1">IFERROR(__xludf.DUMMYFUNCTION("VLOOKUP(C20,IMPORTRANGE(""https://docs.google.com/spreadsheets/d/1ZLN5T8y7NSBIP1rvSj6TTUR_vTQbRwUKSt8zZJ_EfE4/edit?gid=461094331#gid=461094331"",""SCHEDULE_SDT_JAN26""),40,0)"),0)</f>
        <v>0</v>
      </c>
      <c r="AB20" s="61">
        <f ca="1">IFERROR(__xludf.DUMMYFUNCTION("VLOOKUP(C20,IMPORTRANGE(""https://docs.google.com/spreadsheets/d/1ZLN5T8y7NSBIP1rvSj6TTUR_vTQbRwUKSt8zZJ_EfE4/edit?gid=461094331#gid=461094331"",""SCHEDULE_SDT_JAN26""),41,0)"),0)</f>
        <v>0</v>
      </c>
      <c r="AC20" s="61">
        <f ca="1">IFERROR(__xludf.DUMMYFUNCTION("VLOOKUP(C20,IMPORTRANGE(""https://docs.google.com/spreadsheets/d/1ZLN5T8y7NSBIP1rvSj6TTUR_vTQbRwUKSt8zZJ_EfE4/edit?gid=461094331#gid=461094331"",""SCHEDULE_SDT_JAN26""),42,0)"),0)</f>
        <v>0</v>
      </c>
      <c r="AD20" s="61">
        <f ca="1">IFERROR(__xludf.DUMMYFUNCTION("VLOOKUP(C20,IMPORTRANGE(""https://docs.google.com/spreadsheets/d/1ZLN5T8y7NSBIP1rvSj6TTUR_vTQbRwUKSt8zZJ_EfE4/edit?gid=461094331#gid=461094331"",""SCHEDULE_SDT_JAN26""),43,0)"),0)</f>
        <v>0</v>
      </c>
      <c r="AE20" s="69">
        <f t="shared" ca="1" si="8"/>
        <v>0</v>
      </c>
      <c r="AF20" s="19">
        <v>468468</v>
      </c>
      <c r="AG20" s="19">
        <v>253500</v>
      </c>
      <c r="AH20" s="69">
        <v>0</v>
      </c>
      <c r="AI20" s="69">
        <v>0</v>
      </c>
      <c r="AJ20" s="69">
        <v>0</v>
      </c>
      <c r="AK20" s="69">
        <f t="shared" si="9"/>
        <v>0</v>
      </c>
      <c r="AL20" s="69">
        <v>0</v>
      </c>
      <c r="AM20" s="69">
        <f t="shared" ca="1" si="10"/>
        <v>721968</v>
      </c>
      <c r="AN20" s="69">
        <f t="shared" ca="1" si="11"/>
        <v>6228076</v>
      </c>
      <c r="AO20" s="69">
        <f t="shared" ca="1" si="12"/>
        <v>66900.123703999998</v>
      </c>
      <c r="AP20" s="69">
        <f t="shared" ca="1" si="13"/>
        <v>6161175.8762959996</v>
      </c>
      <c r="AQ20" s="69">
        <f t="shared" ca="1" si="14"/>
        <v>6161175.8762959996</v>
      </c>
      <c r="AR20" s="69">
        <f t="shared" ca="1" si="15"/>
        <v>6161200</v>
      </c>
      <c r="AS20" s="72"/>
      <c r="AT20" s="73" t="s">
        <v>9</v>
      </c>
      <c r="AU20" s="61" t="s">
        <v>10</v>
      </c>
      <c r="AV20" s="69">
        <f t="shared" si="25"/>
        <v>5729876</v>
      </c>
      <c r="AW20" s="69">
        <f t="shared" ca="1" si="26"/>
        <v>199999.99999999997</v>
      </c>
      <c r="AX20" s="69">
        <f t="shared" ca="1" si="27"/>
        <v>500000</v>
      </c>
      <c r="AY20" s="69">
        <v>0</v>
      </c>
      <c r="AZ20" s="70">
        <f t="shared" si="28"/>
        <v>13751.702399999998</v>
      </c>
      <c r="BA20" s="69">
        <f t="shared" si="29"/>
        <v>17189.628000000001</v>
      </c>
      <c r="BB20" s="69">
        <f t="shared" si="30"/>
        <v>229195.04</v>
      </c>
      <c r="BC20" s="69">
        <f t="shared" ca="1" si="31"/>
        <v>6690012.3703999994</v>
      </c>
      <c r="BD20" s="74">
        <f ca="1">IF(AU20="C",VLOOKUP(BC20,TER!$J$4:$L$50,3,TRUE),IF(AU20="B",VLOOKUP(BC20,TER!$F$4:$H$50,3,TRUE),IF(AU20="A",VLOOKUP(BC20,TER!$B$4:$D$50,3,TRUE),"ERROR")))</f>
        <v>0.01</v>
      </c>
      <c r="BE20" s="69">
        <f t="shared" ca="1" si="32"/>
        <v>66900.123703999998</v>
      </c>
      <c r="BF20" s="113"/>
      <c r="BG20" s="113"/>
    </row>
    <row r="21" spans="1:59" ht="15.75" customHeight="1" outlineLevel="1">
      <c r="A21" s="113"/>
      <c r="B21" s="224">
        <v>15</v>
      </c>
      <c r="C21" s="68" t="s">
        <v>323</v>
      </c>
      <c r="D21" s="66" t="s">
        <v>324</v>
      </c>
      <c r="E21" s="67" t="s">
        <v>57</v>
      </c>
      <c r="F21" s="68" t="s">
        <v>1151</v>
      </c>
      <c r="G21" s="67" t="s">
        <v>31</v>
      </c>
      <c r="H21" s="66" t="s">
        <v>32</v>
      </c>
      <c r="I21" s="69">
        <f t="shared" si="24"/>
        <v>5729876</v>
      </c>
      <c r="J21" s="70">
        <v>316368</v>
      </c>
      <c r="K21" s="70">
        <v>203800</v>
      </c>
      <c r="L21" s="70">
        <v>200000</v>
      </c>
      <c r="M21" s="69">
        <f t="shared" ca="1" si="1"/>
        <v>10000</v>
      </c>
      <c r="N21" s="125">
        <f ca="1">IFERROR(__xludf.DUMMYFUNCTION("VLOOKUP(C21,IMPORTRANGE(""https://docs.google.com/spreadsheets/d/1ZLN5T8y7NSBIP1rvSj6TTUR_vTQbRwUKSt8zZJ_EfE4/edit?gid=461094331#gid=461094331"",""SCHEDULE_SDT_JAN26""),35,0)"),19)</f>
        <v>19</v>
      </c>
      <c r="O21" s="125">
        <f ca="1">IFERROR(__xludf.DUMMYFUNCTION("VLOOKUP(C21,IMPORTRANGE(""https://docs.google.com/spreadsheets/d/1ZLN5T8y7NSBIP1rvSj6TTUR_vTQbRwUKSt8zZJ_EfE4/edit?gid=461094331#gid=461094331"",""SCHEDULE_SDT_JAN26""),34,0)"),20)</f>
        <v>20</v>
      </c>
      <c r="P21" s="61">
        <f t="shared" ca="1" si="2"/>
        <v>190000</v>
      </c>
      <c r="Q21" s="71"/>
      <c r="R21" s="69">
        <f t="shared" si="3"/>
        <v>6450044</v>
      </c>
      <c r="S21" s="69">
        <f t="shared" si="4"/>
        <v>6450044</v>
      </c>
      <c r="T21" s="61">
        <f t="shared" si="5"/>
        <v>0</v>
      </c>
      <c r="U21" s="70">
        <v>250000</v>
      </c>
      <c r="V21" s="61">
        <f ca="1">IFERROR(__xludf.DUMMYFUNCTION("VLOOKUP(C21,IMPORTRANGE(""https://docs.google.com/spreadsheets/d/1ZLN5T8y7NSBIP1rvSj6TTUR_vTQbRwUKSt8zZJ_EfE4/edit?gid=461094331#gid=461094331"",""SCHEDULE_SDT_JAN26""),36,0)"),2)</f>
        <v>2</v>
      </c>
      <c r="W21" s="69">
        <f t="shared" ca="1" si="6"/>
        <v>500000</v>
      </c>
      <c r="X21" s="69">
        <v>0</v>
      </c>
      <c r="Y21" s="69">
        <f t="shared" ca="1" si="7"/>
        <v>6940044</v>
      </c>
      <c r="Z21" s="61">
        <f ca="1">IFERROR(__xludf.DUMMYFUNCTION("VLOOKUP(C21,IMPORTRANGE(""https://docs.google.com/spreadsheets/d/1ZLN5T8y7NSBIP1rvSj6TTUR_vTQbRwUKSt8zZJ_EfE4/edit?gid=461094331#gid=461094331"",""SCHEDULE_SDT_JAN26""),38,0)+VLOOKUP(C21,IMPORTRANGE(""https://docs.google.com/spreadsheets/d/1ZLN5T8y7NSBIP1"&amp;"rvSj6TTUR_vTQbRwUKSt8zZJ_EfE4/edit?gid=461094331#gid=461094331"",""SCHEDULE_SDT_JAN26""),39,0)"),0)</f>
        <v>0</v>
      </c>
      <c r="AA21" s="61">
        <f ca="1">IFERROR(__xludf.DUMMYFUNCTION("VLOOKUP(C21,IMPORTRANGE(""https://docs.google.com/spreadsheets/d/1ZLN5T8y7NSBIP1rvSj6TTUR_vTQbRwUKSt8zZJ_EfE4/edit?gid=461094331#gid=461094331"",""SCHEDULE_SDT_JAN26""),40,0)"),1)</f>
        <v>1</v>
      </c>
      <c r="AB21" s="61">
        <f ca="1">IFERROR(__xludf.DUMMYFUNCTION("VLOOKUP(C21,IMPORTRANGE(""https://docs.google.com/spreadsheets/d/1ZLN5T8y7NSBIP1rvSj6TTUR_vTQbRwUKSt8zZJ_EfE4/edit?gid=461094331#gid=461094331"",""SCHEDULE_SDT_JAN26""),41,0)"),0)</f>
        <v>0</v>
      </c>
      <c r="AC21" s="61">
        <f ca="1">IFERROR(__xludf.DUMMYFUNCTION("VLOOKUP(C21,IMPORTRANGE(""https://docs.google.com/spreadsheets/d/1ZLN5T8y7NSBIP1rvSj6TTUR_vTQbRwUKSt8zZJ_EfE4/edit?gid=461094331#gid=461094331"",""SCHEDULE_SDT_JAN26""),42,0)"),0)</f>
        <v>0</v>
      </c>
      <c r="AD21" s="61">
        <f ca="1">IFERROR(__xludf.DUMMYFUNCTION("VLOOKUP(C21,IMPORTRANGE(""https://docs.google.com/spreadsheets/d/1ZLN5T8y7NSBIP1rvSj6TTUR_vTQbRwUKSt8zZJ_EfE4/edit?gid=461094331#gid=461094331"",""SCHEDULE_SDT_JAN26""),43,0)"),0)</f>
        <v>0</v>
      </c>
      <c r="AE21" s="69">
        <f t="shared" ca="1" si="8"/>
        <v>250000</v>
      </c>
      <c r="AF21" s="19">
        <v>468468</v>
      </c>
      <c r="AG21" s="19">
        <v>253500</v>
      </c>
      <c r="AH21" s="69">
        <v>0</v>
      </c>
      <c r="AI21" s="69">
        <v>0</v>
      </c>
      <c r="AJ21" s="69">
        <v>0</v>
      </c>
      <c r="AK21" s="69">
        <f t="shared" si="9"/>
        <v>0</v>
      </c>
      <c r="AL21" s="69">
        <v>0</v>
      </c>
      <c r="AM21" s="69">
        <f t="shared" ca="1" si="10"/>
        <v>971968</v>
      </c>
      <c r="AN21" s="69">
        <f t="shared" ca="1" si="11"/>
        <v>5968076</v>
      </c>
      <c r="AO21" s="69">
        <f t="shared" ca="1" si="12"/>
        <v>66800.123703999998</v>
      </c>
      <c r="AP21" s="69">
        <f t="shared" ca="1" si="13"/>
        <v>5901275.8762959996</v>
      </c>
      <c r="AQ21" s="69">
        <f t="shared" ca="1" si="14"/>
        <v>5901275.8762959996</v>
      </c>
      <c r="AR21" s="69">
        <f t="shared" ca="1" si="15"/>
        <v>5901300</v>
      </c>
      <c r="AS21" s="72"/>
      <c r="AT21" s="73" t="s">
        <v>13</v>
      </c>
      <c r="AU21" s="61" t="s">
        <v>10</v>
      </c>
      <c r="AV21" s="69">
        <f t="shared" si="25"/>
        <v>5729876</v>
      </c>
      <c r="AW21" s="69">
        <f t="shared" ca="1" si="26"/>
        <v>190000</v>
      </c>
      <c r="AX21" s="69">
        <f t="shared" ca="1" si="27"/>
        <v>500000</v>
      </c>
      <c r="AY21" s="69">
        <v>0</v>
      </c>
      <c r="AZ21" s="70">
        <f t="shared" si="28"/>
        <v>13751.702399999998</v>
      </c>
      <c r="BA21" s="69">
        <f t="shared" si="29"/>
        <v>17189.628000000001</v>
      </c>
      <c r="BB21" s="69">
        <f t="shared" si="30"/>
        <v>229195.04</v>
      </c>
      <c r="BC21" s="69">
        <f t="shared" ca="1" si="31"/>
        <v>6680012.3703999994</v>
      </c>
      <c r="BD21" s="74">
        <f ca="1">IF(AU21="C",VLOOKUP(BC21,TER!$J$4:$L$50,3,TRUE),IF(AU21="B",VLOOKUP(BC21,TER!$F$4:$H$50,3,TRUE),IF(AU21="A",VLOOKUP(BC21,TER!$B$4:$D$50,3,TRUE),"ERROR")))</f>
        <v>0.01</v>
      </c>
      <c r="BE21" s="69">
        <f t="shared" ca="1" si="32"/>
        <v>66800.123703999998</v>
      </c>
      <c r="BF21" s="113"/>
      <c r="BG21" s="113"/>
    </row>
    <row r="22" spans="1:59" ht="15.75" customHeight="1" outlineLevel="1">
      <c r="A22" s="113"/>
      <c r="B22" s="224">
        <v>16</v>
      </c>
      <c r="C22" s="68" t="s">
        <v>325</v>
      </c>
      <c r="D22" s="66" t="s">
        <v>1027</v>
      </c>
      <c r="E22" s="67" t="s">
        <v>57</v>
      </c>
      <c r="F22" s="68" t="s">
        <v>1152</v>
      </c>
      <c r="G22" s="67" t="s">
        <v>31</v>
      </c>
      <c r="H22" s="66" t="s">
        <v>32</v>
      </c>
      <c r="I22" s="69">
        <f t="shared" si="24"/>
        <v>5729876</v>
      </c>
      <c r="J22" s="70">
        <v>316368</v>
      </c>
      <c r="K22" s="70">
        <v>203800</v>
      </c>
      <c r="L22" s="70">
        <v>200000</v>
      </c>
      <c r="M22" s="69">
        <f t="shared" ca="1" si="1"/>
        <v>10000</v>
      </c>
      <c r="N22" s="125">
        <f ca="1">IFERROR(__xludf.DUMMYFUNCTION("VLOOKUP(C22,IMPORTRANGE(""https://docs.google.com/spreadsheets/d/1ZLN5T8y7NSBIP1rvSj6TTUR_vTQbRwUKSt8zZJ_EfE4/edit?gid=461094331#gid=461094331"",""SCHEDULE_SDT_JAN26""),35,0)"),3)</f>
        <v>3</v>
      </c>
      <c r="O22" s="125">
        <f ca="1">IFERROR(__xludf.DUMMYFUNCTION("VLOOKUP(C22,IMPORTRANGE(""https://docs.google.com/spreadsheets/d/1ZLN5T8y7NSBIP1rvSj6TTUR_vTQbRwUKSt8zZJ_EfE4/edit?gid=461094331#gid=461094331"",""SCHEDULE_SDT_JAN26""),34,0)"),20)</f>
        <v>20</v>
      </c>
      <c r="P22" s="61">
        <f t="shared" ca="1" si="2"/>
        <v>30000</v>
      </c>
      <c r="Q22" s="71"/>
      <c r="R22" s="69">
        <f t="shared" si="3"/>
        <v>6450044</v>
      </c>
      <c r="S22" s="69">
        <f t="shared" si="4"/>
        <v>6450044</v>
      </c>
      <c r="T22" s="61">
        <f t="shared" si="5"/>
        <v>0</v>
      </c>
      <c r="U22" s="70">
        <v>250000</v>
      </c>
      <c r="V22" s="61">
        <f ca="1">IFERROR(__xludf.DUMMYFUNCTION("VLOOKUP(C22,IMPORTRANGE(""https://docs.google.com/spreadsheets/d/1ZLN5T8y7NSBIP1rvSj6TTUR_vTQbRwUKSt8zZJ_EfE4/edit?gid=461094331#gid=461094331"",""SCHEDULE_SDT_JAN26""),36,0)"),1)</f>
        <v>1</v>
      </c>
      <c r="W22" s="69">
        <f t="shared" ca="1" si="6"/>
        <v>250000</v>
      </c>
      <c r="X22" s="69">
        <v>0</v>
      </c>
      <c r="Y22" s="69">
        <f t="shared" ca="1" si="7"/>
        <v>6530044</v>
      </c>
      <c r="Z22" s="61">
        <f ca="1">IFERROR(__xludf.DUMMYFUNCTION("VLOOKUP(C22,IMPORTRANGE(""https://docs.google.com/spreadsheets/d/1ZLN5T8y7NSBIP1rvSj6TTUR_vTQbRwUKSt8zZJ_EfE4/edit?gid=461094331#gid=461094331"",""SCHEDULE_SDT_JAN26""),38,0)+VLOOKUP(C22,IMPORTRANGE(""https://docs.google.com/spreadsheets/d/1ZLN5T8y7NSBIP1"&amp;"rvSj6TTUR_vTQbRwUKSt8zZJ_EfE4/edit?gid=461094331#gid=461094331"",""SCHEDULE_SDT_JAN26""),39,0)"),0)</f>
        <v>0</v>
      </c>
      <c r="AA22" s="61">
        <f ca="1">IFERROR(__xludf.DUMMYFUNCTION("VLOOKUP(C22,IMPORTRANGE(""https://docs.google.com/spreadsheets/d/1ZLN5T8y7NSBIP1rvSj6TTUR_vTQbRwUKSt8zZJ_EfE4/edit?gid=461094331#gid=461094331"",""SCHEDULE_SDT_JAN26""),40,0)"),0)</f>
        <v>0</v>
      </c>
      <c r="AB22" s="61">
        <f ca="1">IFERROR(__xludf.DUMMYFUNCTION("VLOOKUP(C22,IMPORTRANGE(""https://docs.google.com/spreadsheets/d/1ZLN5T8y7NSBIP1rvSj6TTUR_vTQbRwUKSt8zZJ_EfE4/edit?gid=461094331#gid=461094331"",""SCHEDULE_SDT_JAN26""),41,0)"),0)</f>
        <v>0</v>
      </c>
      <c r="AC22" s="61">
        <f ca="1">IFERROR(__xludf.DUMMYFUNCTION("VLOOKUP(C22,IMPORTRANGE(""https://docs.google.com/spreadsheets/d/1ZLN5T8y7NSBIP1rvSj6TTUR_vTQbRwUKSt8zZJ_EfE4/edit?gid=461094331#gid=461094331"",""SCHEDULE_SDT_JAN26""),42,0)"),0)</f>
        <v>0</v>
      </c>
      <c r="AD22" s="61">
        <f ca="1">IFERROR(__xludf.DUMMYFUNCTION("VLOOKUP(C22,IMPORTRANGE(""https://docs.google.com/spreadsheets/d/1ZLN5T8y7NSBIP1rvSj6TTUR_vTQbRwUKSt8zZJ_EfE4/edit?gid=461094331#gid=461094331"",""SCHEDULE_SDT_JAN26""),43,0)"),0)</f>
        <v>0</v>
      </c>
      <c r="AE22" s="69">
        <f t="shared" ca="1" si="8"/>
        <v>0</v>
      </c>
      <c r="AF22" s="19">
        <v>468468</v>
      </c>
      <c r="AG22" s="19">
        <v>253500</v>
      </c>
      <c r="AH22" s="69">
        <v>0</v>
      </c>
      <c r="AI22" s="69">
        <v>0</v>
      </c>
      <c r="AJ22" s="69">
        <v>0</v>
      </c>
      <c r="AK22" s="69">
        <f t="shared" si="9"/>
        <v>0</v>
      </c>
      <c r="AL22" s="69">
        <v>0</v>
      </c>
      <c r="AM22" s="69">
        <f t="shared" ca="1" si="10"/>
        <v>721968</v>
      </c>
      <c r="AN22" s="69">
        <f t="shared" ca="1" si="11"/>
        <v>5808076</v>
      </c>
      <c r="AO22" s="69">
        <f t="shared" ca="1" si="12"/>
        <v>47025.092777999991</v>
      </c>
      <c r="AP22" s="69">
        <f t="shared" ca="1" si="13"/>
        <v>5761050.907222</v>
      </c>
      <c r="AQ22" s="69">
        <f t="shared" ca="1" si="14"/>
        <v>5761050.907222</v>
      </c>
      <c r="AR22" s="69">
        <f t="shared" ca="1" si="15"/>
        <v>5761100</v>
      </c>
      <c r="AS22" s="72"/>
      <c r="AT22" s="73" t="s">
        <v>9</v>
      </c>
      <c r="AU22" s="61" t="s">
        <v>10</v>
      </c>
      <c r="AV22" s="69">
        <f t="shared" si="25"/>
        <v>5729876</v>
      </c>
      <c r="AW22" s="69">
        <f t="shared" ca="1" si="26"/>
        <v>30000</v>
      </c>
      <c r="AX22" s="69">
        <f t="shared" ca="1" si="27"/>
        <v>250000</v>
      </c>
      <c r="AY22" s="69">
        <v>0</v>
      </c>
      <c r="AZ22" s="70">
        <f t="shared" si="28"/>
        <v>13751.702399999998</v>
      </c>
      <c r="BA22" s="69">
        <f t="shared" si="29"/>
        <v>17189.628000000001</v>
      </c>
      <c r="BB22" s="69">
        <f t="shared" si="30"/>
        <v>229195.04</v>
      </c>
      <c r="BC22" s="69">
        <f t="shared" ca="1" si="31"/>
        <v>6270012.3703999994</v>
      </c>
      <c r="BD22" s="74">
        <f ca="1">IF(AU22="C",VLOOKUP(BC22,TER!$J$4:$L$50,3,TRUE),IF(AU22="B",VLOOKUP(BC22,TER!$F$4:$H$50,3,TRUE),IF(AU22="A",VLOOKUP(BC22,TER!$B$4:$D$50,3,TRUE),"ERROR")))</f>
        <v>7.4999999999999997E-3</v>
      </c>
      <c r="BE22" s="69">
        <f t="shared" ca="1" si="32"/>
        <v>47025.092777999991</v>
      </c>
      <c r="BF22" s="113"/>
      <c r="BG22" s="113"/>
    </row>
    <row r="23" spans="1:59" ht="15.75" customHeight="1" outlineLevel="1">
      <c r="A23" s="113"/>
      <c r="B23" s="373" t="s">
        <v>1351</v>
      </c>
      <c r="C23" s="389" t="s">
        <v>1352</v>
      </c>
      <c r="D23" s="390" t="s">
        <v>1027</v>
      </c>
      <c r="E23" s="376" t="s">
        <v>57</v>
      </c>
      <c r="F23" s="377" t="s">
        <v>1152</v>
      </c>
      <c r="G23" s="391" t="s">
        <v>1353</v>
      </c>
      <c r="H23" s="392" t="s">
        <v>602</v>
      </c>
      <c r="I23" s="380"/>
      <c r="J23" s="385"/>
      <c r="K23" s="385"/>
      <c r="L23" s="381">
        <v>2000000</v>
      </c>
      <c r="M23" s="380">
        <f t="shared" si="1"/>
        <v>95238.095238095237</v>
      </c>
      <c r="N23" s="382">
        <f ca="1">IFERROR(__xludf.DUMMYFUNCTION("VLOOKUP(C23,IMPORTRANGE(""https://docs.google.com/spreadsheets/d/1ZLN5T8y7NSBIP1rvSj6TTUR_vTQbRwUKSt8zZJ_EfE4/edit?gid=461094331#gid=461094331"",""SCHEDULE_SDT_JAN26""),35,0)"),17)</f>
        <v>17</v>
      </c>
      <c r="O23" s="382">
        <v>21</v>
      </c>
      <c r="P23" s="383">
        <f t="shared" ca="1" si="2"/>
        <v>1619047.6190476189</v>
      </c>
      <c r="Q23" s="384"/>
      <c r="R23" s="380">
        <f t="shared" si="3"/>
        <v>2000000</v>
      </c>
      <c r="S23" s="380">
        <f t="shared" si="4"/>
        <v>2000000</v>
      </c>
      <c r="T23" s="383">
        <f t="shared" si="5"/>
        <v>0</v>
      </c>
      <c r="U23" s="385">
        <v>250000</v>
      </c>
      <c r="V23" s="383">
        <f ca="1">IFERROR(__xludf.DUMMYFUNCTION("VLOOKUP(C23,IMPORTRANGE(""https://docs.google.com/spreadsheets/d/1ZLN5T8y7NSBIP1rvSj6TTUR_vTQbRwUKSt8zZJ_EfE4/edit?gid=461094331#gid=461094331"",""SCHEDULE_SDT_JAN26""),36,0)"),2)</f>
        <v>2</v>
      </c>
      <c r="W23" s="380">
        <f t="shared" ca="1" si="6"/>
        <v>500000</v>
      </c>
      <c r="X23" s="380">
        <v>0</v>
      </c>
      <c r="Y23" s="380">
        <f t="shared" ca="1" si="7"/>
        <v>2119047.6190476189</v>
      </c>
      <c r="Z23" s="383">
        <f ca="1">IFERROR(__xludf.DUMMYFUNCTION("VLOOKUP(C23,IMPORTRANGE(""https://docs.google.com/spreadsheets/d/1ZLN5T8y7NSBIP1rvSj6TTUR_vTQbRwUKSt8zZJ_EfE4/edit?gid=461094331#gid=461094331"",""SCHEDULE_SDT_JAN26""),38,0)+VLOOKUP(C23,IMPORTRANGE(""https://docs.google.com/spreadsheets/d/1ZLN5T8y7NSBIP1"&amp;"rvSj6TTUR_vTQbRwUKSt8zZJ_EfE4/edit?gid=461094331#gid=461094331"",""SCHEDULE_SDT_JAN26""),39,0)"),0)</f>
        <v>0</v>
      </c>
      <c r="AA23" s="383">
        <f ca="1">IFERROR(__xludf.DUMMYFUNCTION("VLOOKUP(C23,IMPORTRANGE(""https://docs.google.com/spreadsheets/d/1ZLN5T8y7NSBIP1rvSj6TTUR_vTQbRwUKSt8zZJ_EfE4/edit?gid=461094331#gid=461094331"",""SCHEDULE_SDT_JAN26""),40,0)"),0)</f>
        <v>0</v>
      </c>
      <c r="AB23" s="383">
        <f ca="1">IFERROR(__xludf.DUMMYFUNCTION("VLOOKUP(C23,IMPORTRANGE(""https://docs.google.com/spreadsheets/d/1ZLN5T8y7NSBIP1rvSj6TTUR_vTQbRwUKSt8zZJ_EfE4/edit?gid=461094331#gid=461094331"",""SCHEDULE_SDT_JAN26""),41,0)"),0)</f>
        <v>0</v>
      </c>
      <c r="AC23" s="383">
        <f ca="1">IFERROR(__xludf.DUMMYFUNCTION("VLOOKUP(C23,IMPORTRANGE(""https://docs.google.com/spreadsheets/d/1ZLN5T8y7NSBIP1rvSj6TTUR_vTQbRwUKSt8zZJ_EfE4/edit?gid=461094331#gid=461094331"",""SCHEDULE_SDT_JAN26""),42,0)"),0)</f>
        <v>0</v>
      </c>
      <c r="AD23" s="383">
        <f ca="1">IFERROR(__xludf.DUMMYFUNCTION("VLOOKUP(C23,IMPORTRANGE(""https://docs.google.com/spreadsheets/d/1ZLN5T8y7NSBIP1rvSj6TTUR_vTQbRwUKSt8zZJ_EfE4/edit?gid=461094331#gid=461094331"",""SCHEDULE_SDT_JAN26""),43,0)"),0)</f>
        <v>0</v>
      </c>
      <c r="AE23" s="380">
        <f t="shared" ca="1" si="8"/>
        <v>0</v>
      </c>
      <c r="AF23" s="393"/>
      <c r="AG23" s="393"/>
      <c r="AH23" s="380">
        <v>0</v>
      </c>
      <c r="AI23" s="380">
        <v>0</v>
      </c>
      <c r="AJ23" s="380">
        <v>0</v>
      </c>
      <c r="AK23" s="380">
        <f t="shared" si="9"/>
        <v>0</v>
      </c>
      <c r="AL23" s="380">
        <v>0</v>
      </c>
      <c r="AM23" s="380">
        <f t="shared" ca="1" si="10"/>
        <v>0</v>
      </c>
      <c r="AN23" s="380">
        <f t="shared" ca="1" si="11"/>
        <v>2119047.6190476189</v>
      </c>
      <c r="AO23" s="380">
        <f t="shared" si="12"/>
        <v>0</v>
      </c>
      <c r="AP23" s="380">
        <f t="shared" ca="1" si="13"/>
        <v>2119047.6190476189</v>
      </c>
      <c r="AQ23" s="380">
        <f t="shared" ca="1" si="14"/>
        <v>2119047.6190476189</v>
      </c>
      <c r="AR23" s="380">
        <f t="shared" ca="1" si="15"/>
        <v>2119000</v>
      </c>
      <c r="AS23" s="387"/>
      <c r="AT23" s="388"/>
      <c r="AU23" s="383"/>
      <c r="AV23" s="380"/>
      <c r="AW23" s="380"/>
      <c r="AX23" s="380"/>
      <c r="AY23" s="380"/>
      <c r="AZ23" s="385"/>
      <c r="BA23" s="380"/>
      <c r="BB23" s="380"/>
      <c r="BC23" s="380"/>
      <c r="BD23" s="376"/>
      <c r="BE23" s="380"/>
      <c r="BF23" s="113"/>
      <c r="BG23" s="113"/>
    </row>
    <row r="24" spans="1:59" ht="15.75" customHeight="1" outlineLevel="1">
      <c r="A24" s="113"/>
      <c r="B24" s="224">
        <v>17</v>
      </c>
      <c r="C24" s="68" t="s">
        <v>326</v>
      </c>
      <c r="D24" s="66" t="s">
        <v>327</v>
      </c>
      <c r="E24" s="67" t="s">
        <v>57</v>
      </c>
      <c r="F24" s="68" t="s">
        <v>1153</v>
      </c>
      <c r="G24" s="67" t="s">
        <v>31</v>
      </c>
      <c r="H24" s="66" t="s">
        <v>32</v>
      </c>
      <c r="I24" s="69">
        <f t="shared" ref="I24:I37" si="33">IF(H24="FULL - EXISTING",5729876,5729876/O24*N24)</f>
        <v>5729876</v>
      </c>
      <c r="J24" s="70">
        <v>316368</v>
      </c>
      <c r="K24" s="70">
        <v>203800</v>
      </c>
      <c r="L24" s="70">
        <v>1000000</v>
      </c>
      <c r="M24" s="69">
        <f t="shared" ca="1" si="1"/>
        <v>47619.047619047618</v>
      </c>
      <c r="N24" s="125">
        <f ca="1">IFERROR(__xludf.DUMMYFUNCTION("VLOOKUP(C24,IMPORTRANGE(""https://docs.google.com/spreadsheets/d/1ZLN5T8y7NSBIP1rvSj6TTUR_vTQbRwUKSt8zZJ_EfE4/edit?gid=461094331#gid=461094331"",""SCHEDULE_SDT_JAN26""),35,0)"),21)</f>
        <v>21</v>
      </c>
      <c r="O24" s="125">
        <f ca="1">IFERROR(__xludf.DUMMYFUNCTION("VLOOKUP(C24,IMPORTRANGE(""https://docs.google.com/spreadsheets/d/1ZLN5T8y7NSBIP1rvSj6TTUR_vTQbRwUKSt8zZJ_EfE4/edit?gid=461094331#gid=461094331"",""SCHEDULE_SDT_JAN26""),34,0)"),21)</f>
        <v>21</v>
      </c>
      <c r="P24" s="61">
        <f t="shared" ca="1" si="2"/>
        <v>1000000</v>
      </c>
      <c r="Q24" s="71"/>
      <c r="R24" s="69">
        <f t="shared" si="3"/>
        <v>7250044</v>
      </c>
      <c r="S24" s="69">
        <f t="shared" si="4"/>
        <v>7250044</v>
      </c>
      <c r="T24" s="61">
        <f t="shared" si="5"/>
        <v>0</v>
      </c>
      <c r="U24" s="70">
        <v>250000</v>
      </c>
      <c r="V24" s="61">
        <f ca="1">IFERROR(__xludf.DUMMYFUNCTION("VLOOKUP(C24,IMPORTRANGE(""https://docs.google.com/spreadsheets/d/1ZLN5T8y7NSBIP1rvSj6TTUR_vTQbRwUKSt8zZJ_EfE4/edit?gid=461094331#gid=461094331"",""SCHEDULE_SDT_JAN26""),36,0)"),1)</f>
        <v>1</v>
      </c>
      <c r="W24" s="69">
        <f t="shared" ca="1" si="6"/>
        <v>250000</v>
      </c>
      <c r="X24" s="69">
        <v>0</v>
      </c>
      <c r="Y24" s="69">
        <f t="shared" ca="1" si="7"/>
        <v>7500044</v>
      </c>
      <c r="Z24" s="61">
        <f ca="1">IFERROR(__xludf.DUMMYFUNCTION("VLOOKUP(C24,IMPORTRANGE(""https://docs.google.com/spreadsheets/d/1ZLN5T8y7NSBIP1rvSj6TTUR_vTQbRwUKSt8zZJ_EfE4/edit?gid=461094331#gid=461094331"",""SCHEDULE_SDT_JAN26""),38,0)+VLOOKUP(C24,IMPORTRANGE(""https://docs.google.com/spreadsheets/d/1ZLN5T8y7NSBIP1"&amp;"rvSj6TTUR_vTQbRwUKSt8zZJ_EfE4/edit?gid=461094331#gid=461094331"",""SCHEDULE_SDT_JAN26""),39,0)"),0)</f>
        <v>0</v>
      </c>
      <c r="AA24" s="61">
        <f ca="1">IFERROR(__xludf.DUMMYFUNCTION("VLOOKUP(C24,IMPORTRANGE(""https://docs.google.com/spreadsheets/d/1ZLN5T8y7NSBIP1rvSj6TTUR_vTQbRwUKSt8zZJ_EfE4/edit?gid=461094331#gid=461094331"",""SCHEDULE_SDT_JAN26""),40,0)"),0)</f>
        <v>0</v>
      </c>
      <c r="AB24" s="61">
        <f ca="1">IFERROR(__xludf.DUMMYFUNCTION("VLOOKUP(C24,IMPORTRANGE(""https://docs.google.com/spreadsheets/d/1ZLN5T8y7NSBIP1rvSj6TTUR_vTQbRwUKSt8zZJ_EfE4/edit?gid=461094331#gid=461094331"",""SCHEDULE_SDT_JAN26""),41,0)"),0)</f>
        <v>0</v>
      </c>
      <c r="AC24" s="61">
        <f ca="1">IFERROR(__xludf.DUMMYFUNCTION("VLOOKUP(C24,IMPORTRANGE(""https://docs.google.com/spreadsheets/d/1ZLN5T8y7NSBIP1rvSj6TTUR_vTQbRwUKSt8zZJ_EfE4/edit?gid=461094331#gid=461094331"",""SCHEDULE_SDT_JAN26""),42,0)"),0)</f>
        <v>0</v>
      </c>
      <c r="AD24" s="61">
        <f ca="1">IFERROR(__xludf.DUMMYFUNCTION("VLOOKUP(C24,IMPORTRANGE(""https://docs.google.com/spreadsheets/d/1ZLN5T8y7NSBIP1rvSj6TTUR_vTQbRwUKSt8zZJ_EfE4/edit?gid=461094331#gid=461094331"",""SCHEDULE_SDT_JAN26""),43,0)"),0)</f>
        <v>0</v>
      </c>
      <c r="AE24" s="69">
        <f t="shared" ca="1" si="8"/>
        <v>0</v>
      </c>
      <c r="AF24" s="19">
        <v>468468</v>
      </c>
      <c r="AG24" s="19">
        <v>253500</v>
      </c>
      <c r="AH24" s="69">
        <v>0</v>
      </c>
      <c r="AI24" s="69">
        <v>0</v>
      </c>
      <c r="AJ24" s="69">
        <v>0</v>
      </c>
      <c r="AK24" s="69">
        <f t="shared" si="9"/>
        <v>0</v>
      </c>
      <c r="AL24" s="69">
        <v>0</v>
      </c>
      <c r="AM24" s="69">
        <f t="shared" ca="1" si="10"/>
        <v>721968</v>
      </c>
      <c r="AN24" s="69">
        <f t="shared" ca="1" si="11"/>
        <v>6778076</v>
      </c>
      <c r="AO24" s="69">
        <f t="shared" ca="1" si="12"/>
        <v>90500.154630000005</v>
      </c>
      <c r="AP24" s="69">
        <f t="shared" ca="1" si="13"/>
        <v>6687575.8453700002</v>
      </c>
      <c r="AQ24" s="69">
        <f t="shared" ca="1" si="14"/>
        <v>6687575.8453700002</v>
      </c>
      <c r="AR24" s="69">
        <f t="shared" ca="1" si="15"/>
        <v>6687600</v>
      </c>
      <c r="AS24" s="72"/>
      <c r="AT24" s="73" t="s">
        <v>9</v>
      </c>
      <c r="AU24" s="61" t="s">
        <v>10</v>
      </c>
      <c r="AV24" s="69">
        <f t="shared" ref="AV24:AV81" si="34">I24</f>
        <v>5729876</v>
      </c>
      <c r="AW24" s="69">
        <f t="shared" ref="AW24:AW81" ca="1" si="35">P24</f>
        <v>1000000</v>
      </c>
      <c r="AX24" s="69">
        <f t="shared" ref="AX24:AX81" ca="1" si="36">W24</f>
        <v>250000</v>
      </c>
      <c r="AY24" s="69">
        <v>0</v>
      </c>
      <c r="AZ24" s="70">
        <f t="shared" ref="AZ24:AZ81" si="37">IF(J24=0,0,AV24*0.24%)</f>
        <v>13751.702399999998</v>
      </c>
      <c r="BA24" s="69">
        <f t="shared" ref="BA24:BA81" si="38">IF(J24=0,0,AV24*0.3%)</f>
        <v>17189.628000000001</v>
      </c>
      <c r="BB24" s="69">
        <f t="shared" ref="BB24:BB81" si="39">IF(K24=0,0,AV24*4%)</f>
        <v>229195.04</v>
      </c>
      <c r="BC24" s="69">
        <f t="shared" ref="BC24:BC81" ca="1" si="40">SUM(AV24:BB24)</f>
        <v>7240012.3703999994</v>
      </c>
      <c r="BD24" s="74">
        <f ca="1">IF(AU24="C",VLOOKUP(BC24,TER!$J$4:$L$50,3,TRUE),IF(AU24="B",VLOOKUP(BC24,TER!$F$4:$H$50,3,TRUE),IF(AU24="A",VLOOKUP(BC24,TER!$B$4:$D$50,3,TRUE),"ERROR")))</f>
        <v>1.2500000000000001E-2</v>
      </c>
      <c r="BE24" s="69">
        <f t="shared" ref="BE24:BE81" ca="1" si="41">BC24*BD24</f>
        <v>90500.154630000005</v>
      </c>
      <c r="BF24" s="113"/>
      <c r="BG24" s="113"/>
    </row>
    <row r="25" spans="1:59" ht="15.75" customHeight="1" outlineLevel="1">
      <c r="A25" s="113"/>
      <c r="B25" s="224">
        <v>18</v>
      </c>
      <c r="C25" s="234" t="s">
        <v>328</v>
      </c>
      <c r="D25" s="66" t="s">
        <v>329</v>
      </c>
      <c r="E25" s="67" t="s">
        <v>57</v>
      </c>
      <c r="F25" s="68" t="s">
        <v>1154</v>
      </c>
      <c r="G25" s="67" t="s">
        <v>31</v>
      </c>
      <c r="H25" s="66" t="s">
        <v>32</v>
      </c>
      <c r="I25" s="69">
        <f t="shared" si="33"/>
        <v>5729876</v>
      </c>
      <c r="J25" s="70">
        <v>316368</v>
      </c>
      <c r="K25" s="70">
        <v>203800</v>
      </c>
      <c r="L25" s="70">
        <v>1000000</v>
      </c>
      <c r="M25" s="69">
        <f t="shared" ca="1" si="1"/>
        <v>50000</v>
      </c>
      <c r="N25" s="125">
        <f ca="1">IFERROR(__xludf.DUMMYFUNCTION("VLOOKUP(C25,IMPORTRANGE(""https://docs.google.com/spreadsheets/d/1ZLN5T8y7NSBIP1rvSj6TTUR_vTQbRwUKSt8zZJ_EfE4/edit?gid=461094331#gid=461094331"",""SCHEDULE_SDT_JAN26""),35,0)"),20)</f>
        <v>20</v>
      </c>
      <c r="O25" s="125">
        <f ca="1">IFERROR(__xludf.DUMMYFUNCTION("VLOOKUP(C25,IMPORTRANGE(""https://docs.google.com/spreadsheets/d/1ZLN5T8y7NSBIP1rvSj6TTUR_vTQbRwUKSt8zZJ_EfE4/edit?gid=461094331#gid=461094331"",""SCHEDULE_SDT_JAN26""),34,0)"),20)</f>
        <v>20</v>
      </c>
      <c r="P25" s="61">
        <f t="shared" ca="1" si="2"/>
        <v>1000000</v>
      </c>
      <c r="Q25" s="71"/>
      <c r="R25" s="69">
        <f t="shared" si="3"/>
        <v>7250044</v>
      </c>
      <c r="S25" s="69">
        <f t="shared" si="4"/>
        <v>7250044</v>
      </c>
      <c r="T25" s="61">
        <f t="shared" si="5"/>
        <v>0</v>
      </c>
      <c r="U25" s="70">
        <v>250000</v>
      </c>
      <c r="V25" s="61">
        <f ca="1">IFERROR(__xludf.DUMMYFUNCTION("VLOOKUP(C25,IMPORTRANGE(""https://docs.google.com/spreadsheets/d/1ZLN5T8y7NSBIP1rvSj6TTUR_vTQbRwUKSt8zZJ_EfE4/edit?gid=461094331#gid=461094331"",""SCHEDULE_SDT_JAN26""),36,0)"),1)</f>
        <v>1</v>
      </c>
      <c r="W25" s="69">
        <f t="shared" ca="1" si="6"/>
        <v>250000</v>
      </c>
      <c r="X25" s="69">
        <v>0</v>
      </c>
      <c r="Y25" s="69">
        <f t="shared" ca="1" si="7"/>
        <v>7500044</v>
      </c>
      <c r="Z25" s="61">
        <f ca="1">IFERROR(__xludf.DUMMYFUNCTION("VLOOKUP(C25,IMPORTRANGE(""https://docs.google.com/spreadsheets/d/1ZLN5T8y7NSBIP1rvSj6TTUR_vTQbRwUKSt8zZJ_EfE4/edit?gid=461094331#gid=461094331"",""SCHEDULE_SDT_JAN26""),38,0)+VLOOKUP(C25,IMPORTRANGE(""https://docs.google.com/spreadsheets/d/1ZLN5T8y7NSBIP1"&amp;"rvSj6TTUR_vTQbRwUKSt8zZJ_EfE4/edit?gid=461094331#gid=461094331"",""SCHEDULE_SDT_JAN26""),39,0)"),0)</f>
        <v>0</v>
      </c>
      <c r="AA25" s="61">
        <f ca="1">IFERROR(__xludf.DUMMYFUNCTION("VLOOKUP(C25,IMPORTRANGE(""https://docs.google.com/spreadsheets/d/1ZLN5T8y7NSBIP1rvSj6TTUR_vTQbRwUKSt8zZJ_EfE4/edit?gid=461094331#gid=461094331"",""SCHEDULE_SDT_JAN26""),40,0)"),0)</f>
        <v>0</v>
      </c>
      <c r="AB25" s="61">
        <f ca="1">IFERROR(__xludf.DUMMYFUNCTION("VLOOKUP(C25,IMPORTRANGE(""https://docs.google.com/spreadsheets/d/1ZLN5T8y7NSBIP1rvSj6TTUR_vTQbRwUKSt8zZJ_EfE4/edit?gid=461094331#gid=461094331"",""SCHEDULE_SDT_JAN26""),41,0)"),0)</f>
        <v>0</v>
      </c>
      <c r="AC25" s="61">
        <f ca="1">IFERROR(__xludf.DUMMYFUNCTION("VLOOKUP(C25,IMPORTRANGE(""https://docs.google.com/spreadsheets/d/1ZLN5T8y7NSBIP1rvSj6TTUR_vTQbRwUKSt8zZJ_EfE4/edit?gid=461094331#gid=461094331"",""SCHEDULE_SDT_JAN26""),42,0)"),0)</f>
        <v>0</v>
      </c>
      <c r="AD25" s="61">
        <f ca="1">IFERROR(__xludf.DUMMYFUNCTION("VLOOKUP(C25,IMPORTRANGE(""https://docs.google.com/spreadsheets/d/1ZLN5T8y7NSBIP1rvSj6TTUR_vTQbRwUKSt8zZJ_EfE4/edit?gid=461094331#gid=461094331"",""SCHEDULE_SDT_JAN26""),43,0)"),0)</f>
        <v>0</v>
      </c>
      <c r="AE25" s="69">
        <f t="shared" ca="1" si="8"/>
        <v>0</v>
      </c>
      <c r="AF25" s="19">
        <v>468468</v>
      </c>
      <c r="AG25" s="19">
        <v>253500</v>
      </c>
      <c r="AH25" s="69">
        <v>0</v>
      </c>
      <c r="AI25" s="69">
        <v>0</v>
      </c>
      <c r="AJ25" s="69">
        <v>0</v>
      </c>
      <c r="AK25" s="69">
        <f t="shared" si="9"/>
        <v>0</v>
      </c>
      <c r="AL25" s="69">
        <v>0</v>
      </c>
      <c r="AM25" s="69">
        <f t="shared" ca="1" si="10"/>
        <v>721968</v>
      </c>
      <c r="AN25" s="69">
        <f t="shared" ca="1" si="11"/>
        <v>6778076</v>
      </c>
      <c r="AO25" s="69">
        <f t="shared" ca="1" si="12"/>
        <v>54300.092777999991</v>
      </c>
      <c r="AP25" s="69">
        <f t="shared" ca="1" si="13"/>
        <v>6723775.907222</v>
      </c>
      <c r="AQ25" s="69">
        <f t="shared" ca="1" si="14"/>
        <v>6723775.907222</v>
      </c>
      <c r="AR25" s="69">
        <f t="shared" ca="1" si="15"/>
        <v>6723800</v>
      </c>
      <c r="AS25" s="72"/>
      <c r="AT25" s="73" t="s">
        <v>17</v>
      </c>
      <c r="AU25" s="61" t="s">
        <v>15</v>
      </c>
      <c r="AV25" s="69">
        <f t="shared" si="34"/>
        <v>5729876</v>
      </c>
      <c r="AW25" s="69">
        <f t="shared" ca="1" si="35"/>
        <v>1000000</v>
      </c>
      <c r="AX25" s="69">
        <f t="shared" ca="1" si="36"/>
        <v>250000</v>
      </c>
      <c r="AY25" s="69">
        <v>0</v>
      </c>
      <c r="AZ25" s="70">
        <f t="shared" si="37"/>
        <v>13751.702399999998</v>
      </c>
      <c r="BA25" s="69">
        <f t="shared" si="38"/>
        <v>17189.628000000001</v>
      </c>
      <c r="BB25" s="69">
        <f t="shared" si="39"/>
        <v>229195.04</v>
      </c>
      <c r="BC25" s="69">
        <f t="shared" ca="1" si="40"/>
        <v>7240012.3703999994</v>
      </c>
      <c r="BD25" s="74">
        <f ca="1">IF(AU25="C",VLOOKUP(BC25,TER!$J$4:$L$50,3,TRUE),IF(AU25="B",VLOOKUP(BC25,TER!$F$4:$H$50,3,TRUE),IF(AU25="A",VLOOKUP(BC25,TER!$B$4:$D$50,3,TRUE),"ERROR")))</f>
        <v>7.4999999999999997E-3</v>
      </c>
      <c r="BE25" s="69">
        <f t="shared" ca="1" si="41"/>
        <v>54300.092777999991</v>
      </c>
      <c r="BF25" s="113"/>
      <c r="BG25" s="113"/>
    </row>
    <row r="26" spans="1:59" ht="15.75" customHeight="1" outlineLevel="1">
      <c r="A26" s="113"/>
      <c r="B26" s="224">
        <v>19</v>
      </c>
      <c r="C26" s="124" t="s">
        <v>330</v>
      </c>
      <c r="D26" s="66" t="s">
        <v>331</v>
      </c>
      <c r="E26" s="67" t="s">
        <v>57</v>
      </c>
      <c r="F26" s="68" t="s">
        <v>1155</v>
      </c>
      <c r="G26" s="67" t="s">
        <v>31</v>
      </c>
      <c r="H26" s="66" t="s">
        <v>32</v>
      </c>
      <c r="I26" s="69">
        <f t="shared" si="33"/>
        <v>5729876</v>
      </c>
      <c r="J26" s="70">
        <v>316368</v>
      </c>
      <c r="K26" s="70">
        <v>203800</v>
      </c>
      <c r="L26" s="70">
        <v>200000</v>
      </c>
      <c r="M26" s="69">
        <f t="shared" ca="1" si="1"/>
        <v>10000</v>
      </c>
      <c r="N26" s="125">
        <f ca="1">IFERROR(__xludf.DUMMYFUNCTION("VLOOKUP(C26,IMPORTRANGE(""https://docs.google.com/spreadsheets/d/1ZLN5T8y7NSBIP1rvSj6TTUR_vTQbRwUKSt8zZJ_EfE4/edit?gid=461094331#gid=461094331"",""SCHEDULE_SDT_JAN26""),35,0)"),20)</f>
        <v>20</v>
      </c>
      <c r="O26" s="125">
        <f ca="1">IFERROR(__xludf.DUMMYFUNCTION("VLOOKUP(C26,IMPORTRANGE(""https://docs.google.com/spreadsheets/d/1ZLN5T8y7NSBIP1rvSj6TTUR_vTQbRwUKSt8zZJ_EfE4/edit?gid=461094331#gid=461094331"",""SCHEDULE_SDT_JAN26""),34,0)"),20)</f>
        <v>20</v>
      </c>
      <c r="P26" s="61">
        <f t="shared" ca="1" si="2"/>
        <v>200000</v>
      </c>
      <c r="Q26" s="71"/>
      <c r="R26" s="69">
        <f t="shared" si="3"/>
        <v>6450044</v>
      </c>
      <c r="S26" s="69">
        <f t="shared" si="4"/>
        <v>6450044</v>
      </c>
      <c r="T26" s="61">
        <f t="shared" si="5"/>
        <v>0</v>
      </c>
      <c r="U26" s="70">
        <v>250000</v>
      </c>
      <c r="V26" s="61">
        <f ca="1">IFERROR(__xludf.DUMMYFUNCTION("VLOOKUP(C26,IMPORTRANGE(""https://docs.google.com/spreadsheets/d/1ZLN5T8y7NSBIP1rvSj6TTUR_vTQbRwUKSt8zZJ_EfE4/edit?gid=461094331#gid=461094331"",""SCHEDULE_SDT_JAN26""),36,0)"),2)</f>
        <v>2</v>
      </c>
      <c r="W26" s="69">
        <f t="shared" ca="1" si="6"/>
        <v>500000</v>
      </c>
      <c r="X26" s="69">
        <v>0</v>
      </c>
      <c r="Y26" s="69">
        <f t="shared" ca="1" si="7"/>
        <v>6950044</v>
      </c>
      <c r="Z26" s="61">
        <f ca="1">IFERROR(__xludf.DUMMYFUNCTION("VLOOKUP(C26,IMPORTRANGE(""https://docs.google.com/spreadsheets/d/1ZLN5T8y7NSBIP1rvSj6TTUR_vTQbRwUKSt8zZJ_EfE4/edit?gid=461094331#gid=461094331"",""SCHEDULE_SDT_JAN26""),38,0)+VLOOKUP(C26,IMPORTRANGE(""https://docs.google.com/spreadsheets/d/1ZLN5T8y7NSBIP1"&amp;"rvSj6TTUR_vTQbRwUKSt8zZJ_EfE4/edit?gid=461094331#gid=461094331"",""SCHEDULE_SDT_JAN26""),39,0)"),0)</f>
        <v>0</v>
      </c>
      <c r="AA26" s="61">
        <f ca="1">IFERROR(__xludf.DUMMYFUNCTION("VLOOKUP(C26,IMPORTRANGE(""https://docs.google.com/spreadsheets/d/1ZLN5T8y7NSBIP1rvSj6TTUR_vTQbRwUKSt8zZJ_EfE4/edit?gid=461094331#gid=461094331"",""SCHEDULE_SDT_JAN26""),40,0)"),0)</f>
        <v>0</v>
      </c>
      <c r="AB26" s="61">
        <f ca="1">IFERROR(__xludf.DUMMYFUNCTION("VLOOKUP(C26,IMPORTRANGE(""https://docs.google.com/spreadsheets/d/1ZLN5T8y7NSBIP1rvSj6TTUR_vTQbRwUKSt8zZJ_EfE4/edit?gid=461094331#gid=461094331"",""SCHEDULE_SDT_JAN26""),41,0)"),0)</f>
        <v>0</v>
      </c>
      <c r="AC26" s="61">
        <f ca="1">IFERROR(__xludf.DUMMYFUNCTION("VLOOKUP(C26,IMPORTRANGE(""https://docs.google.com/spreadsheets/d/1ZLN5T8y7NSBIP1rvSj6TTUR_vTQbRwUKSt8zZJ_EfE4/edit?gid=461094331#gid=461094331"",""SCHEDULE_SDT_JAN26""),42,0)"),0)</f>
        <v>0</v>
      </c>
      <c r="AD26" s="61">
        <f ca="1">IFERROR(__xludf.DUMMYFUNCTION("VLOOKUP(C26,IMPORTRANGE(""https://docs.google.com/spreadsheets/d/1ZLN5T8y7NSBIP1rvSj6TTUR_vTQbRwUKSt8zZJ_EfE4/edit?gid=461094331#gid=461094331"",""SCHEDULE_SDT_JAN26""),43,0)"),0)</f>
        <v>0</v>
      </c>
      <c r="AE26" s="69">
        <f t="shared" ca="1" si="8"/>
        <v>0</v>
      </c>
      <c r="AF26" s="19">
        <v>468468</v>
      </c>
      <c r="AG26" s="19">
        <v>253500</v>
      </c>
      <c r="AH26" s="69">
        <v>0</v>
      </c>
      <c r="AI26" s="69">
        <v>0</v>
      </c>
      <c r="AJ26" s="69">
        <v>0</v>
      </c>
      <c r="AK26" s="69">
        <f t="shared" si="9"/>
        <v>0</v>
      </c>
      <c r="AL26" s="69">
        <v>0</v>
      </c>
      <c r="AM26" s="69">
        <f t="shared" ca="1" si="10"/>
        <v>721968</v>
      </c>
      <c r="AN26" s="69">
        <f t="shared" ca="1" si="11"/>
        <v>6228076</v>
      </c>
      <c r="AO26" s="69">
        <f t="shared" ca="1" si="12"/>
        <v>66900.123703999998</v>
      </c>
      <c r="AP26" s="69">
        <f t="shared" ca="1" si="13"/>
        <v>6161175.8762959996</v>
      </c>
      <c r="AQ26" s="69">
        <f t="shared" ca="1" si="14"/>
        <v>6161175.8762959996</v>
      </c>
      <c r="AR26" s="69">
        <f t="shared" ca="1" si="15"/>
        <v>6161200</v>
      </c>
      <c r="AS26" s="72"/>
      <c r="AT26" s="73" t="s">
        <v>9</v>
      </c>
      <c r="AU26" s="61" t="s">
        <v>10</v>
      </c>
      <c r="AV26" s="69">
        <f t="shared" si="34"/>
        <v>5729876</v>
      </c>
      <c r="AW26" s="69">
        <f t="shared" ca="1" si="35"/>
        <v>200000</v>
      </c>
      <c r="AX26" s="69">
        <f t="shared" ca="1" si="36"/>
        <v>500000</v>
      </c>
      <c r="AY26" s="69">
        <v>0</v>
      </c>
      <c r="AZ26" s="70">
        <f t="shared" si="37"/>
        <v>13751.702399999998</v>
      </c>
      <c r="BA26" s="69">
        <f t="shared" si="38"/>
        <v>17189.628000000001</v>
      </c>
      <c r="BB26" s="69">
        <f t="shared" si="39"/>
        <v>229195.04</v>
      </c>
      <c r="BC26" s="69">
        <f t="shared" ca="1" si="40"/>
        <v>6690012.3703999994</v>
      </c>
      <c r="BD26" s="74">
        <f ca="1">IF(AU26="C",VLOOKUP(BC26,TER!$J$4:$L$50,3,TRUE),IF(AU26="B",VLOOKUP(BC26,TER!$F$4:$H$50,3,TRUE),IF(AU26="A",VLOOKUP(BC26,TER!$B$4:$D$50,3,TRUE),"ERROR")))</f>
        <v>0.01</v>
      </c>
      <c r="BE26" s="69">
        <f t="shared" ca="1" si="41"/>
        <v>66900.123703999998</v>
      </c>
      <c r="BF26" s="113"/>
      <c r="BG26" s="113"/>
    </row>
    <row r="27" spans="1:59" ht="15.75" customHeight="1" outlineLevel="1">
      <c r="A27" s="113"/>
      <c r="B27" s="224">
        <v>20</v>
      </c>
      <c r="C27" s="124" t="s">
        <v>332</v>
      </c>
      <c r="D27" s="66" t="s">
        <v>333</v>
      </c>
      <c r="E27" s="67" t="s">
        <v>57</v>
      </c>
      <c r="F27" s="68" t="s">
        <v>1156</v>
      </c>
      <c r="G27" s="67" t="s">
        <v>31</v>
      </c>
      <c r="H27" s="92" t="s">
        <v>32</v>
      </c>
      <c r="I27" s="69">
        <f t="shared" si="33"/>
        <v>5729876</v>
      </c>
      <c r="J27" s="70">
        <v>316368</v>
      </c>
      <c r="K27" s="70">
        <v>203800</v>
      </c>
      <c r="L27" s="70">
        <v>1000000</v>
      </c>
      <c r="M27" s="69">
        <f t="shared" ca="1" si="1"/>
        <v>47619.047619047618</v>
      </c>
      <c r="N27" s="125">
        <f ca="1">IFERROR(__xludf.DUMMYFUNCTION("VLOOKUP(C27,IMPORTRANGE(""https://docs.google.com/spreadsheets/d/1ZLN5T8y7NSBIP1rvSj6TTUR_vTQbRwUKSt8zZJ_EfE4/edit?gid=461094331#gid=461094331"",""SCHEDULE_SDT_JAN26""),35,0)"),21)</f>
        <v>21</v>
      </c>
      <c r="O27" s="125">
        <f ca="1">IFERROR(__xludf.DUMMYFUNCTION("VLOOKUP(C27,IMPORTRANGE(""https://docs.google.com/spreadsheets/d/1ZLN5T8y7NSBIP1rvSj6TTUR_vTQbRwUKSt8zZJ_EfE4/edit?gid=461094331#gid=461094331"",""SCHEDULE_SDT_JAN26""),34,0)"),21)</f>
        <v>21</v>
      </c>
      <c r="P27" s="61">
        <f t="shared" ca="1" si="2"/>
        <v>1000000</v>
      </c>
      <c r="Q27" s="71"/>
      <c r="R27" s="69">
        <f t="shared" si="3"/>
        <v>7250044</v>
      </c>
      <c r="S27" s="69">
        <f t="shared" si="4"/>
        <v>7250044</v>
      </c>
      <c r="T27" s="61">
        <f t="shared" si="5"/>
        <v>0</v>
      </c>
      <c r="U27" s="70">
        <v>250000</v>
      </c>
      <c r="V27" s="61">
        <f ca="1">IFERROR(__xludf.DUMMYFUNCTION("VLOOKUP(C27,IMPORTRANGE(""https://docs.google.com/spreadsheets/d/1ZLN5T8y7NSBIP1rvSj6TTUR_vTQbRwUKSt8zZJ_EfE4/edit?gid=461094331#gid=461094331"",""SCHEDULE_SDT_JAN26""),36,0)"),2)</f>
        <v>2</v>
      </c>
      <c r="W27" s="69">
        <f t="shared" ca="1" si="6"/>
        <v>500000</v>
      </c>
      <c r="X27" s="69">
        <v>0</v>
      </c>
      <c r="Y27" s="69">
        <f t="shared" ca="1" si="7"/>
        <v>7750044</v>
      </c>
      <c r="Z27" s="61">
        <f ca="1">IFERROR(__xludf.DUMMYFUNCTION("VLOOKUP(C27,IMPORTRANGE(""https://docs.google.com/spreadsheets/d/1ZLN5T8y7NSBIP1rvSj6TTUR_vTQbRwUKSt8zZJ_EfE4/edit?gid=461094331#gid=461094331"",""SCHEDULE_SDT_JAN26""),38,0)+VLOOKUP(C27,IMPORTRANGE(""https://docs.google.com/spreadsheets/d/1ZLN5T8y7NSBIP1"&amp;"rvSj6TTUR_vTQbRwUKSt8zZJ_EfE4/edit?gid=461094331#gid=461094331"",""SCHEDULE_SDT_JAN26""),39,0)"),0)</f>
        <v>0</v>
      </c>
      <c r="AA27" s="61">
        <f ca="1">IFERROR(__xludf.DUMMYFUNCTION("VLOOKUP(C27,IMPORTRANGE(""https://docs.google.com/spreadsheets/d/1ZLN5T8y7NSBIP1rvSj6TTUR_vTQbRwUKSt8zZJ_EfE4/edit?gid=461094331#gid=461094331"",""SCHEDULE_SDT_JAN26""),40,0)"),0)</f>
        <v>0</v>
      </c>
      <c r="AB27" s="61">
        <f ca="1">IFERROR(__xludf.DUMMYFUNCTION("VLOOKUP(C27,IMPORTRANGE(""https://docs.google.com/spreadsheets/d/1ZLN5T8y7NSBIP1rvSj6TTUR_vTQbRwUKSt8zZJ_EfE4/edit?gid=461094331#gid=461094331"",""SCHEDULE_SDT_JAN26""),41,0)"),0)</f>
        <v>0</v>
      </c>
      <c r="AC27" s="61">
        <f ca="1">IFERROR(__xludf.DUMMYFUNCTION("VLOOKUP(C27,IMPORTRANGE(""https://docs.google.com/spreadsheets/d/1ZLN5T8y7NSBIP1rvSj6TTUR_vTQbRwUKSt8zZJ_EfE4/edit?gid=461094331#gid=461094331"",""SCHEDULE_SDT_JAN26""),42,0)"),0)</f>
        <v>0</v>
      </c>
      <c r="AD27" s="61">
        <f ca="1">IFERROR(__xludf.DUMMYFUNCTION("VLOOKUP(C27,IMPORTRANGE(""https://docs.google.com/spreadsheets/d/1ZLN5T8y7NSBIP1rvSj6TTUR_vTQbRwUKSt8zZJ_EfE4/edit?gid=461094331#gid=461094331"",""SCHEDULE_SDT_JAN26""),43,0)"),0)</f>
        <v>0</v>
      </c>
      <c r="AE27" s="69">
        <f t="shared" ca="1" si="8"/>
        <v>0</v>
      </c>
      <c r="AF27" s="19">
        <v>468468</v>
      </c>
      <c r="AG27" s="19">
        <v>253500</v>
      </c>
      <c r="AH27" s="69">
        <v>0</v>
      </c>
      <c r="AI27" s="69">
        <v>0</v>
      </c>
      <c r="AJ27" s="69">
        <v>0</v>
      </c>
      <c r="AK27" s="69">
        <f t="shared" si="9"/>
        <v>0</v>
      </c>
      <c r="AL27" s="69">
        <v>0</v>
      </c>
      <c r="AM27" s="69">
        <f t="shared" ca="1" si="10"/>
        <v>721968</v>
      </c>
      <c r="AN27" s="69">
        <f t="shared" ca="1" si="11"/>
        <v>7028076</v>
      </c>
      <c r="AO27" s="69">
        <f t="shared" ca="1" si="12"/>
        <v>93625.154630000005</v>
      </c>
      <c r="AP27" s="69">
        <f t="shared" ca="1" si="13"/>
        <v>6934450.8453700002</v>
      </c>
      <c r="AQ27" s="69">
        <f t="shared" ca="1" si="14"/>
        <v>6934450.8453700002</v>
      </c>
      <c r="AR27" s="69">
        <f t="shared" ca="1" si="15"/>
        <v>6934500</v>
      </c>
      <c r="AS27" s="72"/>
      <c r="AT27" s="73" t="s">
        <v>9</v>
      </c>
      <c r="AU27" s="61" t="s">
        <v>10</v>
      </c>
      <c r="AV27" s="69">
        <f t="shared" si="34"/>
        <v>5729876</v>
      </c>
      <c r="AW27" s="69">
        <f t="shared" ca="1" si="35"/>
        <v>1000000</v>
      </c>
      <c r="AX27" s="69">
        <f t="shared" ca="1" si="36"/>
        <v>500000</v>
      </c>
      <c r="AY27" s="69">
        <v>0</v>
      </c>
      <c r="AZ27" s="70">
        <f t="shared" si="37"/>
        <v>13751.702399999998</v>
      </c>
      <c r="BA27" s="69">
        <f t="shared" si="38"/>
        <v>17189.628000000001</v>
      </c>
      <c r="BB27" s="69">
        <f t="shared" si="39"/>
        <v>229195.04</v>
      </c>
      <c r="BC27" s="69">
        <f t="shared" ca="1" si="40"/>
        <v>7490012.3703999994</v>
      </c>
      <c r="BD27" s="74">
        <f ca="1">IF(AU27="C",VLOOKUP(BC27,TER!$J$4:$L$50,3,TRUE),IF(AU27="B",VLOOKUP(BC27,TER!$F$4:$H$50,3,TRUE),IF(AU27="A",VLOOKUP(BC27,TER!$B$4:$D$50,3,TRUE),"ERROR")))</f>
        <v>1.2500000000000001E-2</v>
      </c>
      <c r="BE27" s="69">
        <f t="shared" ca="1" si="41"/>
        <v>93625.154630000005</v>
      </c>
      <c r="BF27" s="113"/>
      <c r="BG27" s="113"/>
    </row>
    <row r="28" spans="1:59" ht="15.75" customHeight="1" outlineLevel="1">
      <c r="A28" s="113"/>
      <c r="B28" s="224">
        <v>21</v>
      </c>
      <c r="C28" s="124" t="s">
        <v>334</v>
      </c>
      <c r="D28" s="66" t="s">
        <v>335</v>
      </c>
      <c r="E28" s="67" t="s">
        <v>57</v>
      </c>
      <c r="F28" s="68" t="s">
        <v>1157</v>
      </c>
      <c r="G28" s="67" t="s">
        <v>31</v>
      </c>
      <c r="H28" s="66" t="s">
        <v>32</v>
      </c>
      <c r="I28" s="69">
        <f t="shared" si="33"/>
        <v>5729876</v>
      </c>
      <c r="J28" s="70">
        <v>316368</v>
      </c>
      <c r="K28" s="70">
        <v>203800</v>
      </c>
      <c r="L28" s="70">
        <v>100000</v>
      </c>
      <c r="M28" s="69">
        <f t="shared" ca="1" si="1"/>
        <v>4761.9047619047615</v>
      </c>
      <c r="N28" s="125">
        <f ca="1">IFERROR(__xludf.DUMMYFUNCTION("VLOOKUP(C28,IMPORTRANGE(""https://docs.google.com/spreadsheets/d/1ZLN5T8y7NSBIP1rvSj6TTUR_vTQbRwUKSt8zZJ_EfE4/edit?gid=461094331#gid=461094331"",""SCHEDULE_SDT_JAN26""),35,0)"),21)</f>
        <v>21</v>
      </c>
      <c r="O28" s="125">
        <f ca="1">IFERROR(__xludf.DUMMYFUNCTION("VLOOKUP(C28,IMPORTRANGE(""https://docs.google.com/spreadsheets/d/1ZLN5T8y7NSBIP1rvSj6TTUR_vTQbRwUKSt8zZJ_EfE4/edit?gid=461094331#gid=461094331"",""SCHEDULE_SDT_JAN26""),34,0)"),21)</f>
        <v>21</v>
      </c>
      <c r="P28" s="61">
        <f t="shared" ca="1" si="2"/>
        <v>99999.999999999985</v>
      </c>
      <c r="Q28" s="71"/>
      <c r="R28" s="69">
        <f t="shared" si="3"/>
        <v>6350044</v>
      </c>
      <c r="S28" s="69">
        <f t="shared" si="4"/>
        <v>6350044</v>
      </c>
      <c r="T28" s="61">
        <f t="shared" si="5"/>
        <v>0</v>
      </c>
      <c r="U28" s="70">
        <v>250000</v>
      </c>
      <c r="V28" s="61">
        <f ca="1">IFERROR(__xludf.DUMMYFUNCTION("VLOOKUP(C28,IMPORTRANGE(""https://docs.google.com/spreadsheets/d/1ZLN5T8y7NSBIP1rvSj6TTUR_vTQbRwUKSt8zZJ_EfE4/edit?gid=461094331#gid=461094331"",""SCHEDULE_SDT_JAN26""),36,0)"),2)</f>
        <v>2</v>
      </c>
      <c r="W28" s="69">
        <f t="shared" ca="1" si="6"/>
        <v>500000</v>
      </c>
      <c r="X28" s="69">
        <v>0</v>
      </c>
      <c r="Y28" s="69">
        <f t="shared" ca="1" si="7"/>
        <v>6850044</v>
      </c>
      <c r="Z28" s="61">
        <f ca="1">IFERROR(__xludf.DUMMYFUNCTION("VLOOKUP(C28,IMPORTRANGE(""https://docs.google.com/spreadsheets/d/1ZLN5T8y7NSBIP1rvSj6TTUR_vTQbRwUKSt8zZJ_EfE4/edit?gid=461094331#gid=461094331"",""SCHEDULE_SDT_JAN26""),38,0)+VLOOKUP(C28,IMPORTRANGE(""https://docs.google.com/spreadsheets/d/1ZLN5T8y7NSBIP1"&amp;"rvSj6TTUR_vTQbRwUKSt8zZJ_EfE4/edit?gid=461094331#gid=461094331"",""SCHEDULE_SDT_JAN26""),39,0)"),0)</f>
        <v>0</v>
      </c>
      <c r="AA28" s="61">
        <f ca="1">IFERROR(__xludf.DUMMYFUNCTION("VLOOKUP(C28,IMPORTRANGE(""https://docs.google.com/spreadsheets/d/1ZLN5T8y7NSBIP1rvSj6TTUR_vTQbRwUKSt8zZJ_EfE4/edit?gid=461094331#gid=461094331"",""SCHEDULE_SDT_JAN26""),40,0)"),0)</f>
        <v>0</v>
      </c>
      <c r="AB28" s="61">
        <f ca="1">IFERROR(__xludf.DUMMYFUNCTION("VLOOKUP(C28,IMPORTRANGE(""https://docs.google.com/spreadsheets/d/1ZLN5T8y7NSBIP1rvSj6TTUR_vTQbRwUKSt8zZJ_EfE4/edit?gid=461094331#gid=461094331"",""SCHEDULE_SDT_JAN26""),41,0)"),0)</f>
        <v>0</v>
      </c>
      <c r="AC28" s="61">
        <f ca="1">IFERROR(__xludf.DUMMYFUNCTION("VLOOKUP(C28,IMPORTRANGE(""https://docs.google.com/spreadsheets/d/1ZLN5T8y7NSBIP1rvSj6TTUR_vTQbRwUKSt8zZJ_EfE4/edit?gid=461094331#gid=461094331"",""SCHEDULE_SDT_JAN26""),42,0)"),0)</f>
        <v>0</v>
      </c>
      <c r="AD28" s="61">
        <f ca="1">IFERROR(__xludf.DUMMYFUNCTION("VLOOKUP(C28,IMPORTRANGE(""https://docs.google.com/spreadsheets/d/1ZLN5T8y7NSBIP1rvSj6TTUR_vTQbRwUKSt8zZJ_EfE4/edit?gid=461094331#gid=461094331"",""SCHEDULE_SDT_JAN26""),43,0)"),0)</f>
        <v>0</v>
      </c>
      <c r="AE28" s="69">
        <f t="shared" ca="1" si="8"/>
        <v>0</v>
      </c>
      <c r="AF28" s="19">
        <v>468468</v>
      </c>
      <c r="AG28" s="19">
        <v>253500</v>
      </c>
      <c r="AH28" s="69">
        <v>0</v>
      </c>
      <c r="AI28" s="69">
        <v>0</v>
      </c>
      <c r="AJ28" s="69">
        <v>0</v>
      </c>
      <c r="AK28" s="69">
        <f t="shared" si="9"/>
        <v>0</v>
      </c>
      <c r="AL28" s="69">
        <v>0</v>
      </c>
      <c r="AM28" s="69">
        <f t="shared" ca="1" si="10"/>
        <v>721968</v>
      </c>
      <c r="AN28" s="69">
        <f t="shared" ca="1" si="11"/>
        <v>6128076</v>
      </c>
      <c r="AO28" s="69">
        <f t="shared" ca="1" si="12"/>
        <v>32950.061851999999</v>
      </c>
      <c r="AP28" s="69">
        <f t="shared" ca="1" si="13"/>
        <v>6095125.9381480003</v>
      </c>
      <c r="AQ28" s="69">
        <f t="shared" ca="1" si="14"/>
        <v>6095125.9381480003</v>
      </c>
      <c r="AR28" s="69">
        <f t="shared" ca="1" si="15"/>
        <v>6095100</v>
      </c>
      <c r="AS28" s="72"/>
      <c r="AT28" s="73" t="s">
        <v>17</v>
      </c>
      <c r="AU28" s="61" t="s">
        <v>15</v>
      </c>
      <c r="AV28" s="69">
        <f t="shared" si="34"/>
        <v>5729876</v>
      </c>
      <c r="AW28" s="69">
        <f t="shared" ca="1" si="35"/>
        <v>99999.999999999985</v>
      </c>
      <c r="AX28" s="69">
        <f t="shared" ca="1" si="36"/>
        <v>500000</v>
      </c>
      <c r="AY28" s="69">
        <v>0</v>
      </c>
      <c r="AZ28" s="70">
        <f t="shared" si="37"/>
        <v>13751.702399999998</v>
      </c>
      <c r="BA28" s="69">
        <f t="shared" si="38"/>
        <v>17189.628000000001</v>
      </c>
      <c r="BB28" s="69">
        <f t="shared" si="39"/>
        <v>229195.04</v>
      </c>
      <c r="BC28" s="69">
        <f t="shared" ca="1" si="40"/>
        <v>6590012.3703999994</v>
      </c>
      <c r="BD28" s="74">
        <f ca="1">IF(AU28="C",VLOOKUP(BC28,TER!$J$4:$L$50,3,TRUE),IF(AU28="B",VLOOKUP(BC28,TER!$F$4:$H$50,3,TRUE),IF(AU28="A",VLOOKUP(BC28,TER!$B$4:$D$50,3,TRUE),"ERROR")))</f>
        <v>5.0000000000000001E-3</v>
      </c>
      <c r="BE28" s="69">
        <f t="shared" ca="1" si="41"/>
        <v>32950.061851999999</v>
      </c>
      <c r="BF28" s="113"/>
      <c r="BG28" s="113"/>
    </row>
    <row r="29" spans="1:59" ht="16.5" customHeight="1" outlineLevel="1">
      <c r="A29" s="113"/>
      <c r="B29" s="224">
        <v>22</v>
      </c>
      <c r="C29" s="274" t="s">
        <v>336</v>
      </c>
      <c r="D29" s="88" t="s">
        <v>337</v>
      </c>
      <c r="E29" s="67" t="s">
        <v>57</v>
      </c>
      <c r="F29" s="68" t="s">
        <v>1158</v>
      </c>
      <c r="G29" s="86" t="s">
        <v>31</v>
      </c>
      <c r="H29" s="88" t="s">
        <v>32</v>
      </c>
      <c r="I29" s="69">
        <f t="shared" si="33"/>
        <v>5729876</v>
      </c>
      <c r="J29" s="90">
        <v>316368</v>
      </c>
      <c r="K29" s="90">
        <v>203800</v>
      </c>
      <c r="L29" s="90">
        <v>1000000</v>
      </c>
      <c r="M29" s="69">
        <f t="shared" ca="1" si="1"/>
        <v>50000</v>
      </c>
      <c r="N29" s="125">
        <f ca="1">IFERROR(__xludf.DUMMYFUNCTION("VLOOKUP(C29,IMPORTRANGE(""https://docs.google.com/spreadsheets/d/1ZLN5T8y7NSBIP1rvSj6TTUR_vTQbRwUKSt8zZJ_EfE4/edit?gid=461094331#gid=461094331"",""SCHEDULE_SDT_JAN26""),35,0)"),20)</f>
        <v>20</v>
      </c>
      <c r="O29" s="125">
        <f ca="1">IFERROR(__xludf.DUMMYFUNCTION("VLOOKUP(C29,IMPORTRANGE(""https://docs.google.com/spreadsheets/d/1ZLN5T8y7NSBIP1rvSj6TTUR_vTQbRwUKSt8zZJ_EfE4/edit?gid=461094331#gid=461094331"",""SCHEDULE_SDT_JAN26""),34,0)"),20)</f>
        <v>20</v>
      </c>
      <c r="P29" s="61">
        <f t="shared" ca="1" si="2"/>
        <v>1000000</v>
      </c>
      <c r="Q29" s="94"/>
      <c r="R29" s="69">
        <f t="shared" si="3"/>
        <v>7250044</v>
      </c>
      <c r="S29" s="69">
        <f t="shared" si="4"/>
        <v>7250044</v>
      </c>
      <c r="T29" s="61">
        <f t="shared" si="5"/>
        <v>0</v>
      </c>
      <c r="U29" s="90">
        <v>250000</v>
      </c>
      <c r="V29" s="61">
        <f ca="1">IFERROR(__xludf.DUMMYFUNCTION("VLOOKUP(C29,IMPORTRANGE(""https://docs.google.com/spreadsheets/d/1ZLN5T8y7NSBIP1rvSj6TTUR_vTQbRwUKSt8zZJ_EfE4/edit?gid=461094331#gid=461094331"",""SCHEDULE_SDT_JAN26""),36,0)"),1)</f>
        <v>1</v>
      </c>
      <c r="W29" s="69">
        <f t="shared" ca="1" si="6"/>
        <v>250000</v>
      </c>
      <c r="X29" s="89">
        <v>0</v>
      </c>
      <c r="Y29" s="69">
        <f t="shared" ca="1" si="7"/>
        <v>7500044</v>
      </c>
      <c r="Z29" s="61">
        <f ca="1">IFERROR(__xludf.DUMMYFUNCTION("VLOOKUP(C29,IMPORTRANGE(""https://docs.google.com/spreadsheets/d/1ZLN5T8y7NSBIP1rvSj6TTUR_vTQbRwUKSt8zZJ_EfE4/edit?gid=461094331#gid=461094331"",""SCHEDULE_SDT_JAN26""),38,0)+VLOOKUP(C29,IMPORTRANGE(""https://docs.google.com/spreadsheets/d/1ZLN5T8y7NSBIP1"&amp;"rvSj6TTUR_vTQbRwUKSt8zZJ_EfE4/edit?gid=461094331#gid=461094331"",""SCHEDULE_SDT_JAN26""),39,0)"),0)</f>
        <v>0</v>
      </c>
      <c r="AA29" s="61">
        <f ca="1">IFERROR(__xludf.DUMMYFUNCTION("VLOOKUP(C29,IMPORTRANGE(""https://docs.google.com/spreadsheets/d/1ZLN5T8y7NSBIP1rvSj6TTUR_vTQbRwUKSt8zZJ_EfE4/edit?gid=461094331#gid=461094331"",""SCHEDULE_SDT_JAN26""),40,0)"),0)</f>
        <v>0</v>
      </c>
      <c r="AB29" s="61">
        <f ca="1">IFERROR(__xludf.DUMMYFUNCTION("VLOOKUP(C29,IMPORTRANGE(""https://docs.google.com/spreadsheets/d/1ZLN5T8y7NSBIP1rvSj6TTUR_vTQbRwUKSt8zZJ_EfE4/edit?gid=461094331#gid=461094331"",""SCHEDULE_SDT_JAN26""),41,0)"),0)</f>
        <v>0</v>
      </c>
      <c r="AC29" s="61">
        <f ca="1">IFERROR(__xludf.DUMMYFUNCTION("VLOOKUP(C29,IMPORTRANGE(""https://docs.google.com/spreadsheets/d/1ZLN5T8y7NSBIP1rvSj6TTUR_vTQbRwUKSt8zZJ_EfE4/edit?gid=461094331#gid=461094331"",""SCHEDULE_SDT_JAN26""),42,0)"),0)</f>
        <v>0</v>
      </c>
      <c r="AD29" s="61">
        <f ca="1">IFERROR(__xludf.DUMMYFUNCTION("VLOOKUP(C29,IMPORTRANGE(""https://docs.google.com/spreadsheets/d/1ZLN5T8y7NSBIP1rvSj6TTUR_vTQbRwUKSt8zZJ_EfE4/edit?gid=461094331#gid=461094331"",""SCHEDULE_SDT_JAN26""),43,0)"),0)</f>
        <v>0</v>
      </c>
      <c r="AE29" s="69">
        <f t="shared" ca="1" si="8"/>
        <v>0</v>
      </c>
      <c r="AF29" s="19">
        <v>468468</v>
      </c>
      <c r="AG29" s="19">
        <v>253500</v>
      </c>
      <c r="AH29" s="69">
        <v>0</v>
      </c>
      <c r="AI29" s="69">
        <v>0</v>
      </c>
      <c r="AJ29" s="69">
        <v>0</v>
      </c>
      <c r="AK29" s="69">
        <f t="shared" si="9"/>
        <v>0</v>
      </c>
      <c r="AL29" s="69">
        <v>0</v>
      </c>
      <c r="AM29" s="69">
        <f t="shared" ca="1" si="10"/>
        <v>721968</v>
      </c>
      <c r="AN29" s="69">
        <f t="shared" ca="1" si="11"/>
        <v>6778076</v>
      </c>
      <c r="AO29" s="69">
        <f t="shared" ca="1" si="12"/>
        <v>54300.092777999991</v>
      </c>
      <c r="AP29" s="69">
        <f t="shared" ca="1" si="13"/>
        <v>6723775.907222</v>
      </c>
      <c r="AQ29" s="69">
        <f t="shared" ca="1" si="14"/>
        <v>6723775.907222</v>
      </c>
      <c r="AR29" s="69">
        <f t="shared" ca="1" si="15"/>
        <v>6723800</v>
      </c>
      <c r="AS29" s="72"/>
      <c r="AT29" s="73" t="s">
        <v>17</v>
      </c>
      <c r="AU29" s="61" t="s">
        <v>15</v>
      </c>
      <c r="AV29" s="69">
        <f t="shared" si="34"/>
        <v>5729876</v>
      </c>
      <c r="AW29" s="69">
        <f t="shared" ca="1" si="35"/>
        <v>1000000</v>
      </c>
      <c r="AX29" s="69">
        <f t="shared" ca="1" si="36"/>
        <v>250000</v>
      </c>
      <c r="AY29" s="69">
        <v>0</v>
      </c>
      <c r="AZ29" s="70">
        <f t="shared" si="37"/>
        <v>13751.702399999998</v>
      </c>
      <c r="BA29" s="69">
        <f t="shared" si="38"/>
        <v>17189.628000000001</v>
      </c>
      <c r="BB29" s="69">
        <f t="shared" si="39"/>
        <v>229195.04</v>
      </c>
      <c r="BC29" s="69">
        <f t="shared" ca="1" si="40"/>
        <v>7240012.3703999994</v>
      </c>
      <c r="BD29" s="74">
        <f ca="1">IF(AU29="C",VLOOKUP(BC29,TER!$J$4:$L$50,3,TRUE),IF(AU29="B",VLOOKUP(BC29,TER!$F$4:$H$50,3,TRUE),IF(AU29="A",VLOOKUP(BC29,TER!$B$4:$D$50,3,TRUE),"ERROR")))</f>
        <v>7.4999999999999997E-3</v>
      </c>
      <c r="BE29" s="69">
        <f t="shared" ca="1" si="41"/>
        <v>54300.092777999991</v>
      </c>
      <c r="BF29" s="113"/>
      <c r="BG29" s="113"/>
    </row>
    <row r="30" spans="1:59" ht="15.75" customHeight="1" outlineLevel="1">
      <c r="A30" s="113"/>
      <c r="B30" s="224">
        <v>23</v>
      </c>
      <c r="C30" s="274" t="s">
        <v>338</v>
      </c>
      <c r="D30" s="88" t="s">
        <v>1029</v>
      </c>
      <c r="E30" s="67" t="s">
        <v>57</v>
      </c>
      <c r="F30" s="68" t="s">
        <v>1159</v>
      </c>
      <c r="G30" s="86" t="s">
        <v>31</v>
      </c>
      <c r="H30" s="88" t="s">
        <v>32</v>
      </c>
      <c r="I30" s="69">
        <f t="shared" si="33"/>
        <v>5729876</v>
      </c>
      <c r="J30" s="90">
        <v>316368</v>
      </c>
      <c r="K30" s="90">
        <v>203800</v>
      </c>
      <c r="L30" s="90">
        <v>200000</v>
      </c>
      <c r="M30" s="69">
        <f t="shared" ca="1" si="1"/>
        <v>9523.8095238095229</v>
      </c>
      <c r="N30" s="125">
        <f ca="1">IFERROR(__xludf.DUMMYFUNCTION("VLOOKUP(C30,IMPORTRANGE(""https://docs.google.com/spreadsheets/d/1ZLN5T8y7NSBIP1rvSj6TTUR_vTQbRwUKSt8zZJ_EfE4/edit?gid=461094331#gid=461094331"",""SCHEDULE_SDT_JAN26""),35,0)"),21)</f>
        <v>21</v>
      </c>
      <c r="O30" s="125">
        <f ca="1">IFERROR(__xludf.DUMMYFUNCTION("VLOOKUP(C30,IMPORTRANGE(""https://docs.google.com/spreadsheets/d/1ZLN5T8y7NSBIP1rvSj6TTUR_vTQbRwUKSt8zZJ_EfE4/edit?gid=461094331#gid=461094331"",""SCHEDULE_SDT_JAN26""),34,0)"),21)</f>
        <v>21</v>
      </c>
      <c r="P30" s="61">
        <f t="shared" ca="1" si="2"/>
        <v>199999.99999999997</v>
      </c>
      <c r="Q30" s="94"/>
      <c r="R30" s="69">
        <f t="shared" si="3"/>
        <v>6450044</v>
      </c>
      <c r="S30" s="69">
        <f t="shared" si="4"/>
        <v>6450044</v>
      </c>
      <c r="T30" s="61">
        <f t="shared" si="5"/>
        <v>0</v>
      </c>
      <c r="U30" s="90">
        <v>250000</v>
      </c>
      <c r="V30" s="61">
        <f ca="1">IFERROR(__xludf.DUMMYFUNCTION("VLOOKUP(C30,IMPORTRANGE(""https://docs.google.com/spreadsheets/d/1ZLN5T8y7NSBIP1rvSj6TTUR_vTQbRwUKSt8zZJ_EfE4/edit?gid=461094331#gid=461094331"",""SCHEDULE_SDT_JAN26""),36,0)"),1)</f>
        <v>1</v>
      </c>
      <c r="W30" s="69">
        <f t="shared" ca="1" si="6"/>
        <v>250000</v>
      </c>
      <c r="X30" s="89">
        <v>0</v>
      </c>
      <c r="Y30" s="69">
        <f t="shared" ca="1" si="7"/>
        <v>6700044</v>
      </c>
      <c r="Z30" s="61">
        <f ca="1">IFERROR(__xludf.DUMMYFUNCTION("VLOOKUP(C30,IMPORTRANGE(""https://docs.google.com/spreadsheets/d/1ZLN5T8y7NSBIP1rvSj6TTUR_vTQbRwUKSt8zZJ_EfE4/edit?gid=461094331#gid=461094331"",""SCHEDULE_SDT_JAN26""),38,0)+VLOOKUP(C30,IMPORTRANGE(""https://docs.google.com/spreadsheets/d/1ZLN5T8y7NSBIP1"&amp;"rvSj6TTUR_vTQbRwUKSt8zZJ_EfE4/edit?gid=461094331#gid=461094331"",""SCHEDULE_SDT_JAN26""),39,0)"),0)</f>
        <v>0</v>
      </c>
      <c r="AA30" s="61">
        <f ca="1">IFERROR(__xludf.DUMMYFUNCTION("VLOOKUP(C30,IMPORTRANGE(""https://docs.google.com/spreadsheets/d/1ZLN5T8y7NSBIP1rvSj6TTUR_vTQbRwUKSt8zZJ_EfE4/edit?gid=461094331#gid=461094331"",""SCHEDULE_SDT_JAN26""),40,0)"),0)</f>
        <v>0</v>
      </c>
      <c r="AB30" s="61">
        <f ca="1">IFERROR(__xludf.DUMMYFUNCTION("VLOOKUP(C30,IMPORTRANGE(""https://docs.google.com/spreadsheets/d/1ZLN5T8y7NSBIP1rvSj6TTUR_vTQbRwUKSt8zZJ_EfE4/edit?gid=461094331#gid=461094331"",""SCHEDULE_SDT_JAN26""),41,0)"),0)</f>
        <v>0</v>
      </c>
      <c r="AC30" s="61">
        <f ca="1">IFERROR(__xludf.DUMMYFUNCTION("VLOOKUP(C30,IMPORTRANGE(""https://docs.google.com/spreadsheets/d/1ZLN5T8y7NSBIP1rvSj6TTUR_vTQbRwUKSt8zZJ_EfE4/edit?gid=461094331#gid=461094331"",""SCHEDULE_SDT_JAN26""),42,0)"),0)</f>
        <v>0</v>
      </c>
      <c r="AD30" s="61">
        <f ca="1">IFERROR(__xludf.DUMMYFUNCTION("VLOOKUP(C30,IMPORTRANGE(""https://docs.google.com/spreadsheets/d/1ZLN5T8y7NSBIP1rvSj6TTUR_vTQbRwUKSt8zZJ_EfE4/edit?gid=461094331#gid=461094331"",""SCHEDULE_SDT_JAN26""),43,0)"),0)</f>
        <v>0</v>
      </c>
      <c r="AE30" s="69">
        <f t="shared" ca="1" si="8"/>
        <v>0</v>
      </c>
      <c r="AF30" s="19">
        <v>468468</v>
      </c>
      <c r="AG30" s="19">
        <v>253500</v>
      </c>
      <c r="AH30" s="69">
        <v>0</v>
      </c>
      <c r="AI30" s="69">
        <v>0</v>
      </c>
      <c r="AJ30" s="69">
        <v>0</v>
      </c>
      <c r="AK30" s="69">
        <f t="shared" si="9"/>
        <v>0</v>
      </c>
      <c r="AL30" s="69">
        <v>0</v>
      </c>
      <c r="AM30" s="69">
        <f t="shared" ca="1" si="10"/>
        <v>721968</v>
      </c>
      <c r="AN30" s="69">
        <f t="shared" ca="1" si="11"/>
        <v>5978076</v>
      </c>
      <c r="AO30" s="69">
        <f t="shared" ca="1" si="12"/>
        <v>0</v>
      </c>
      <c r="AP30" s="69">
        <f t="shared" ca="1" si="13"/>
        <v>5978076</v>
      </c>
      <c r="AQ30" s="69">
        <f t="shared" ca="1" si="14"/>
        <v>5978076</v>
      </c>
      <c r="AR30" s="69">
        <f t="shared" ca="1" si="15"/>
        <v>5978100</v>
      </c>
      <c r="AS30" s="72"/>
      <c r="AT30" s="73" t="s">
        <v>8</v>
      </c>
      <c r="AU30" s="61" t="s">
        <v>19</v>
      </c>
      <c r="AV30" s="69">
        <f t="shared" si="34"/>
        <v>5729876</v>
      </c>
      <c r="AW30" s="69">
        <f t="shared" ca="1" si="35"/>
        <v>199999.99999999997</v>
      </c>
      <c r="AX30" s="69">
        <f t="shared" ca="1" si="36"/>
        <v>250000</v>
      </c>
      <c r="AY30" s="69">
        <v>0</v>
      </c>
      <c r="AZ30" s="70">
        <f t="shared" si="37"/>
        <v>13751.702399999998</v>
      </c>
      <c r="BA30" s="69">
        <f t="shared" si="38"/>
        <v>17189.628000000001</v>
      </c>
      <c r="BB30" s="69">
        <f t="shared" si="39"/>
        <v>229195.04</v>
      </c>
      <c r="BC30" s="69">
        <f t="shared" ca="1" si="40"/>
        <v>6440012.3703999994</v>
      </c>
      <c r="BD30" s="74">
        <f ca="1">IF(AU30="C",VLOOKUP(BC30,TER!$J$4:$L$50,3,TRUE),IF(AU30="B",VLOOKUP(BC30,TER!$F$4:$H$50,3,TRUE),IF(AU30="A",VLOOKUP(BC30,TER!$B$4:$D$50,3,TRUE),"ERROR")))</f>
        <v>0</v>
      </c>
      <c r="BE30" s="69">
        <f t="shared" ca="1" si="41"/>
        <v>0</v>
      </c>
      <c r="BF30" s="113"/>
      <c r="BG30" s="113"/>
    </row>
    <row r="31" spans="1:59" ht="15.75" customHeight="1" outlineLevel="1">
      <c r="A31" s="113"/>
      <c r="B31" s="224">
        <v>24</v>
      </c>
      <c r="C31" s="274" t="s">
        <v>339</v>
      </c>
      <c r="D31" s="88" t="s">
        <v>340</v>
      </c>
      <c r="E31" s="67" t="s">
        <v>57</v>
      </c>
      <c r="F31" s="68" t="s">
        <v>1160</v>
      </c>
      <c r="G31" s="86" t="s">
        <v>31</v>
      </c>
      <c r="H31" s="88" t="s">
        <v>32</v>
      </c>
      <c r="I31" s="69">
        <f t="shared" si="33"/>
        <v>5729876</v>
      </c>
      <c r="J31" s="90">
        <v>316368</v>
      </c>
      <c r="K31" s="90">
        <v>203800</v>
      </c>
      <c r="L31" s="90">
        <v>1000000</v>
      </c>
      <c r="M31" s="69">
        <f t="shared" ca="1" si="1"/>
        <v>50000</v>
      </c>
      <c r="N31" s="125">
        <f ca="1">IFERROR(__xludf.DUMMYFUNCTION("VLOOKUP(C31,IMPORTRANGE(""https://docs.google.com/spreadsheets/d/1ZLN5T8y7NSBIP1rvSj6TTUR_vTQbRwUKSt8zZJ_EfE4/edit?gid=461094331#gid=461094331"",""SCHEDULE_SDT_JAN26""),35,0)"),20)</f>
        <v>20</v>
      </c>
      <c r="O31" s="125">
        <f ca="1">IFERROR(__xludf.DUMMYFUNCTION("VLOOKUP(C31,IMPORTRANGE(""https://docs.google.com/spreadsheets/d/1ZLN5T8y7NSBIP1rvSj6TTUR_vTQbRwUKSt8zZJ_EfE4/edit?gid=461094331#gid=461094331"",""SCHEDULE_SDT_JAN26""),34,0)"),20)</f>
        <v>20</v>
      </c>
      <c r="P31" s="61">
        <f t="shared" ca="1" si="2"/>
        <v>1000000</v>
      </c>
      <c r="Q31" s="94"/>
      <c r="R31" s="69">
        <f t="shared" si="3"/>
        <v>7250044</v>
      </c>
      <c r="S31" s="69">
        <f t="shared" si="4"/>
        <v>7250044</v>
      </c>
      <c r="T31" s="61">
        <f t="shared" si="5"/>
        <v>0</v>
      </c>
      <c r="U31" s="90">
        <v>250000</v>
      </c>
      <c r="V31" s="61">
        <f ca="1">IFERROR(__xludf.DUMMYFUNCTION("VLOOKUP(C31,IMPORTRANGE(""https://docs.google.com/spreadsheets/d/1ZLN5T8y7NSBIP1rvSj6TTUR_vTQbRwUKSt8zZJ_EfE4/edit?gid=461094331#gid=461094331"",""SCHEDULE_SDT_JAN26""),36,0)"),2)</f>
        <v>2</v>
      </c>
      <c r="W31" s="69">
        <f t="shared" ca="1" si="6"/>
        <v>500000</v>
      </c>
      <c r="X31" s="89">
        <v>0</v>
      </c>
      <c r="Y31" s="69">
        <f t="shared" ca="1" si="7"/>
        <v>7750044</v>
      </c>
      <c r="Z31" s="61">
        <f ca="1">IFERROR(__xludf.DUMMYFUNCTION("VLOOKUP(C31,IMPORTRANGE(""https://docs.google.com/spreadsheets/d/1ZLN5T8y7NSBIP1rvSj6TTUR_vTQbRwUKSt8zZJ_EfE4/edit?gid=461094331#gid=461094331"",""SCHEDULE_SDT_JAN26""),38,0)+VLOOKUP(C31,IMPORTRANGE(""https://docs.google.com/spreadsheets/d/1ZLN5T8y7NSBIP1"&amp;"rvSj6TTUR_vTQbRwUKSt8zZJ_EfE4/edit?gid=461094331#gid=461094331"",""SCHEDULE_SDT_JAN26""),39,0)"),0)</f>
        <v>0</v>
      </c>
      <c r="AA31" s="61">
        <f ca="1">IFERROR(__xludf.DUMMYFUNCTION("VLOOKUP(C31,IMPORTRANGE(""https://docs.google.com/spreadsheets/d/1ZLN5T8y7NSBIP1rvSj6TTUR_vTQbRwUKSt8zZJ_EfE4/edit?gid=461094331#gid=461094331"",""SCHEDULE_SDT_JAN26""),40,0)"),0)</f>
        <v>0</v>
      </c>
      <c r="AB31" s="61">
        <f ca="1">IFERROR(__xludf.DUMMYFUNCTION("VLOOKUP(C31,IMPORTRANGE(""https://docs.google.com/spreadsheets/d/1ZLN5T8y7NSBIP1rvSj6TTUR_vTQbRwUKSt8zZJ_EfE4/edit?gid=461094331#gid=461094331"",""SCHEDULE_SDT_JAN26""),41,0)"),0)</f>
        <v>0</v>
      </c>
      <c r="AC31" s="61">
        <f ca="1">IFERROR(__xludf.DUMMYFUNCTION("VLOOKUP(C31,IMPORTRANGE(""https://docs.google.com/spreadsheets/d/1ZLN5T8y7NSBIP1rvSj6TTUR_vTQbRwUKSt8zZJ_EfE4/edit?gid=461094331#gid=461094331"",""SCHEDULE_SDT_JAN26""),42,0)"),0)</f>
        <v>0</v>
      </c>
      <c r="AD31" s="61">
        <f ca="1">IFERROR(__xludf.DUMMYFUNCTION("VLOOKUP(C31,IMPORTRANGE(""https://docs.google.com/spreadsheets/d/1ZLN5T8y7NSBIP1rvSj6TTUR_vTQbRwUKSt8zZJ_EfE4/edit?gid=461094331#gid=461094331"",""SCHEDULE_SDT_JAN26""),43,0)"),0)</f>
        <v>0</v>
      </c>
      <c r="AE31" s="69">
        <f t="shared" ca="1" si="8"/>
        <v>0</v>
      </c>
      <c r="AF31" s="19">
        <v>468468</v>
      </c>
      <c r="AG31" s="19">
        <v>253500</v>
      </c>
      <c r="AH31" s="69">
        <v>0</v>
      </c>
      <c r="AI31" s="69">
        <v>0</v>
      </c>
      <c r="AJ31" s="69">
        <v>0</v>
      </c>
      <c r="AK31" s="69">
        <f t="shared" si="9"/>
        <v>0</v>
      </c>
      <c r="AL31" s="69">
        <v>0</v>
      </c>
      <c r="AM31" s="69">
        <f t="shared" ca="1" si="10"/>
        <v>721968</v>
      </c>
      <c r="AN31" s="69">
        <f t="shared" ca="1" si="11"/>
        <v>7028076</v>
      </c>
      <c r="AO31" s="69">
        <f t="shared" ca="1" si="12"/>
        <v>93625.154630000005</v>
      </c>
      <c r="AP31" s="69">
        <f t="shared" ca="1" si="13"/>
        <v>6934450.8453700002</v>
      </c>
      <c r="AQ31" s="69">
        <f t="shared" ca="1" si="14"/>
        <v>6934450.8453700002</v>
      </c>
      <c r="AR31" s="69">
        <f t="shared" ca="1" si="15"/>
        <v>6934500</v>
      </c>
      <c r="AS31" s="72"/>
      <c r="AT31" s="73" t="s">
        <v>9</v>
      </c>
      <c r="AU31" s="61" t="s">
        <v>10</v>
      </c>
      <c r="AV31" s="69">
        <f t="shared" si="34"/>
        <v>5729876</v>
      </c>
      <c r="AW31" s="69">
        <f t="shared" ca="1" si="35"/>
        <v>1000000</v>
      </c>
      <c r="AX31" s="69">
        <f t="shared" ca="1" si="36"/>
        <v>500000</v>
      </c>
      <c r="AY31" s="69">
        <v>0</v>
      </c>
      <c r="AZ31" s="70">
        <f t="shared" si="37"/>
        <v>13751.702399999998</v>
      </c>
      <c r="BA31" s="69">
        <f t="shared" si="38"/>
        <v>17189.628000000001</v>
      </c>
      <c r="BB31" s="69">
        <f t="shared" si="39"/>
        <v>229195.04</v>
      </c>
      <c r="BC31" s="69">
        <f t="shared" ca="1" si="40"/>
        <v>7490012.3703999994</v>
      </c>
      <c r="BD31" s="74">
        <f ca="1">IF(AU31="C",VLOOKUP(BC31,TER!$J$4:$L$50,3,TRUE),IF(AU31="B",VLOOKUP(BC31,TER!$F$4:$H$50,3,TRUE),IF(AU31="A",VLOOKUP(BC31,TER!$B$4:$D$50,3,TRUE),"ERROR")))</f>
        <v>1.2500000000000001E-2</v>
      </c>
      <c r="BE31" s="69">
        <f t="shared" ca="1" si="41"/>
        <v>93625.154630000005</v>
      </c>
      <c r="BF31" s="113"/>
      <c r="BG31" s="113"/>
    </row>
    <row r="32" spans="1:59" ht="15.75" customHeight="1" outlineLevel="1">
      <c r="A32" s="113"/>
      <c r="B32" s="224">
        <v>25</v>
      </c>
      <c r="C32" s="68" t="s">
        <v>341</v>
      </c>
      <c r="D32" s="66" t="s">
        <v>342</v>
      </c>
      <c r="E32" s="67" t="s">
        <v>57</v>
      </c>
      <c r="F32" s="68" t="s">
        <v>1161</v>
      </c>
      <c r="G32" s="67" t="s">
        <v>31</v>
      </c>
      <c r="H32" s="66" t="s">
        <v>32</v>
      </c>
      <c r="I32" s="69">
        <f t="shared" si="33"/>
        <v>5729876</v>
      </c>
      <c r="J32" s="70">
        <v>316368</v>
      </c>
      <c r="K32" s="70">
        <v>203800</v>
      </c>
      <c r="L32" s="70">
        <v>200000</v>
      </c>
      <c r="M32" s="69">
        <f t="shared" ca="1" si="1"/>
        <v>10000</v>
      </c>
      <c r="N32" s="125">
        <f ca="1">IFERROR(__xludf.DUMMYFUNCTION("VLOOKUP(C32,IMPORTRANGE(""https://docs.google.com/spreadsheets/d/1ZLN5T8y7NSBIP1rvSj6TTUR_vTQbRwUKSt8zZJ_EfE4/edit?gid=461094331#gid=461094331"",""SCHEDULE_SDT_JAN26""),35,0)"),18)</f>
        <v>18</v>
      </c>
      <c r="O32" s="125">
        <f ca="1">IFERROR(__xludf.DUMMYFUNCTION("VLOOKUP(C32,IMPORTRANGE(""https://docs.google.com/spreadsheets/d/1ZLN5T8y7NSBIP1rvSj6TTUR_vTQbRwUKSt8zZJ_EfE4/edit?gid=461094331#gid=461094331"",""SCHEDULE_SDT_JAN26""),34,0)"),20)</f>
        <v>20</v>
      </c>
      <c r="P32" s="61">
        <f t="shared" ca="1" si="2"/>
        <v>180000</v>
      </c>
      <c r="Q32" s="71"/>
      <c r="R32" s="69">
        <f t="shared" si="3"/>
        <v>6450044</v>
      </c>
      <c r="S32" s="69">
        <f t="shared" si="4"/>
        <v>6450044</v>
      </c>
      <c r="T32" s="61">
        <f t="shared" si="5"/>
        <v>0</v>
      </c>
      <c r="U32" s="70">
        <v>250000</v>
      </c>
      <c r="V32" s="61">
        <f ca="1">IFERROR(__xludf.DUMMYFUNCTION("VLOOKUP(C32,IMPORTRANGE(""https://docs.google.com/spreadsheets/d/1ZLN5T8y7NSBIP1rvSj6TTUR_vTQbRwUKSt8zZJ_EfE4/edit?gid=461094331#gid=461094331"",""SCHEDULE_SDT_JAN26""),36,0)"),2)</f>
        <v>2</v>
      </c>
      <c r="W32" s="69">
        <f t="shared" ca="1" si="6"/>
        <v>500000</v>
      </c>
      <c r="X32" s="69">
        <v>0</v>
      </c>
      <c r="Y32" s="69">
        <f t="shared" ca="1" si="7"/>
        <v>6930044</v>
      </c>
      <c r="Z32" s="61">
        <f ca="1">IFERROR(__xludf.DUMMYFUNCTION("VLOOKUP(C32,IMPORTRANGE(""https://docs.google.com/spreadsheets/d/1ZLN5T8y7NSBIP1rvSj6TTUR_vTQbRwUKSt8zZJ_EfE4/edit?gid=461094331#gid=461094331"",""SCHEDULE_SDT_JAN26""),38,0)+VLOOKUP(C32,IMPORTRANGE(""https://docs.google.com/spreadsheets/d/1ZLN5T8y7NSBIP1"&amp;"rvSj6TTUR_vTQbRwUKSt8zZJ_EfE4/edit?gid=461094331#gid=461094331"",""SCHEDULE_SDT_JAN26""),39,0)"),0)</f>
        <v>0</v>
      </c>
      <c r="AA32" s="61">
        <f ca="1">IFERROR(__xludf.DUMMYFUNCTION("VLOOKUP(C32,IMPORTRANGE(""https://docs.google.com/spreadsheets/d/1ZLN5T8y7NSBIP1rvSj6TTUR_vTQbRwUKSt8zZJ_EfE4/edit?gid=461094331#gid=461094331"",""SCHEDULE_SDT_JAN26""),40,0)"),0)</f>
        <v>0</v>
      </c>
      <c r="AB32" s="61">
        <f ca="1">IFERROR(__xludf.DUMMYFUNCTION("VLOOKUP(C32,IMPORTRANGE(""https://docs.google.com/spreadsheets/d/1ZLN5T8y7NSBIP1rvSj6TTUR_vTQbRwUKSt8zZJ_EfE4/edit?gid=461094331#gid=461094331"",""SCHEDULE_SDT_JAN26""),41,0)"),2)</f>
        <v>2</v>
      </c>
      <c r="AC32" s="61">
        <f ca="1">IFERROR(__xludf.DUMMYFUNCTION("VLOOKUP(C32,IMPORTRANGE(""https://docs.google.com/spreadsheets/d/1ZLN5T8y7NSBIP1rvSj6TTUR_vTQbRwUKSt8zZJ_EfE4/edit?gid=461094331#gid=461094331"",""SCHEDULE_SDT_JAN26""),42,0)"),0)</f>
        <v>0</v>
      </c>
      <c r="AD32" s="61">
        <f ca="1">IFERROR(__xludf.DUMMYFUNCTION("VLOOKUP(C32,IMPORTRANGE(""https://docs.google.com/spreadsheets/d/1ZLN5T8y7NSBIP1rvSj6TTUR_vTQbRwUKSt8zZJ_EfE4/edit?gid=461094331#gid=461094331"",""SCHEDULE_SDT_JAN26""),43,0)"),0)</f>
        <v>0</v>
      </c>
      <c r="AE32" s="69">
        <f t="shared" ca="1" si="8"/>
        <v>0</v>
      </c>
      <c r="AF32" s="19">
        <v>468468</v>
      </c>
      <c r="AG32" s="19">
        <v>253500</v>
      </c>
      <c r="AH32" s="69">
        <v>0</v>
      </c>
      <c r="AI32" s="69">
        <v>0</v>
      </c>
      <c r="AJ32" s="69">
        <v>0</v>
      </c>
      <c r="AK32" s="69">
        <f t="shared" si="9"/>
        <v>0</v>
      </c>
      <c r="AL32" s="69">
        <v>0</v>
      </c>
      <c r="AM32" s="69">
        <f t="shared" ca="1" si="10"/>
        <v>721968</v>
      </c>
      <c r="AN32" s="69">
        <f t="shared" ca="1" si="11"/>
        <v>6208076</v>
      </c>
      <c r="AO32" s="69">
        <f t="shared" ca="1" si="12"/>
        <v>33350.061851999999</v>
      </c>
      <c r="AP32" s="69">
        <f t="shared" ca="1" si="13"/>
        <v>6174725.9381480003</v>
      </c>
      <c r="AQ32" s="69">
        <f t="shared" ca="1" si="14"/>
        <v>6174725.9381480003</v>
      </c>
      <c r="AR32" s="69">
        <f t="shared" ca="1" si="15"/>
        <v>6174700</v>
      </c>
      <c r="AS32" s="72"/>
      <c r="AT32" s="73" t="s">
        <v>17</v>
      </c>
      <c r="AU32" s="61" t="s">
        <v>15</v>
      </c>
      <c r="AV32" s="69">
        <f t="shared" si="34"/>
        <v>5729876</v>
      </c>
      <c r="AW32" s="69">
        <f t="shared" ca="1" si="35"/>
        <v>180000</v>
      </c>
      <c r="AX32" s="69">
        <f t="shared" ca="1" si="36"/>
        <v>500000</v>
      </c>
      <c r="AY32" s="69">
        <v>0</v>
      </c>
      <c r="AZ32" s="70">
        <f t="shared" si="37"/>
        <v>13751.702399999998</v>
      </c>
      <c r="BA32" s="69">
        <f t="shared" si="38"/>
        <v>17189.628000000001</v>
      </c>
      <c r="BB32" s="69">
        <f t="shared" si="39"/>
        <v>229195.04</v>
      </c>
      <c r="BC32" s="69">
        <f t="shared" ca="1" si="40"/>
        <v>6670012.3703999994</v>
      </c>
      <c r="BD32" s="74">
        <f ca="1">IF(AU32="C",VLOOKUP(BC32,TER!$J$4:$L$50,3,TRUE),IF(AU32="B",VLOOKUP(BC32,TER!$F$4:$H$50,3,TRUE),IF(AU32="A",VLOOKUP(BC32,TER!$B$4:$D$50,3,TRUE),"ERROR")))</f>
        <v>5.0000000000000001E-3</v>
      </c>
      <c r="BE32" s="69">
        <f t="shared" ca="1" si="41"/>
        <v>33350.061851999999</v>
      </c>
      <c r="BF32" s="113"/>
      <c r="BG32" s="113"/>
    </row>
    <row r="33" spans="1:59" ht="15.75" customHeight="1" outlineLevel="1">
      <c r="A33" s="113"/>
      <c r="B33" s="224">
        <v>26</v>
      </c>
      <c r="C33" s="68" t="s">
        <v>343</v>
      </c>
      <c r="D33" s="66" t="s">
        <v>344</v>
      </c>
      <c r="E33" s="67" t="s">
        <v>57</v>
      </c>
      <c r="F33" s="68" t="s">
        <v>1162</v>
      </c>
      <c r="G33" s="67" t="s">
        <v>31</v>
      </c>
      <c r="H33" s="66" t="s">
        <v>32</v>
      </c>
      <c r="I33" s="69">
        <f t="shared" si="33"/>
        <v>5729876</v>
      </c>
      <c r="J33" s="70">
        <v>316368</v>
      </c>
      <c r="K33" s="70">
        <v>203800</v>
      </c>
      <c r="L33" s="70">
        <v>1000000</v>
      </c>
      <c r="M33" s="69">
        <f t="shared" ca="1" si="1"/>
        <v>50000</v>
      </c>
      <c r="N33" s="125">
        <f ca="1">IFERROR(__xludf.DUMMYFUNCTION("VLOOKUP(C33,IMPORTRANGE(""https://docs.google.com/spreadsheets/d/1ZLN5T8y7NSBIP1rvSj6TTUR_vTQbRwUKSt8zZJ_EfE4/edit?gid=461094331#gid=461094331"",""SCHEDULE_SDT_JAN26""),35,0)"),20)</f>
        <v>20</v>
      </c>
      <c r="O33" s="125">
        <f ca="1">IFERROR(__xludf.DUMMYFUNCTION("VLOOKUP(C33,IMPORTRANGE(""https://docs.google.com/spreadsheets/d/1ZLN5T8y7NSBIP1rvSj6TTUR_vTQbRwUKSt8zZJ_EfE4/edit?gid=461094331#gid=461094331"",""SCHEDULE_SDT_JAN26""),34,0)"),20)</f>
        <v>20</v>
      </c>
      <c r="P33" s="61">
        <f t="shared" ca="1" si="2"/>
        <v>1000000</v>
      </c>
      <c r="Q33" s="71"/>
      <c r="R33" s="69">
        <f t="shared" si="3"/>
        <v>7250044</v>
      </c>
      <c r="S33" s="69">
        <f t="shared" si="4"/>
        <v>7250044</v>
      </c>
      <c r="T33" s="61">
        <f t="shared" si="5"/>
        <v>0</v>
      </c>
      <c r="U33" s="70">
        <v>250000</v>
      </c>
      <c r="V33" s="61">
        <f ca="1">IFERROR(__xludf.DUMMYFUNCTION("VLOOKUP(C33,IMPORTRANGE(""https://docs.google.com/spreadsheets/d/1ZLN5T8y7NSBIP1rvSj6TTUR_vTQbRwUKSt8zZJ_EfE4/edit?gid=461094331#gid=461094331"",""SCHEDULE_SDT_JAN26""),36,0)"),1)</f>
        <v>1</v>
      </c>
      <c r="W33" s="69">
        <f t="shared" ca="1" si="6"/>
        <v>250000</v>
      </c>
      <c r="X33" s="69">
        <v>0</v>
      </c>
      <c r="Y33" s="69">
        <f t="shared" ca="1" si="7"/>
        <v>7500044</v>
      </c>
      <c r="Z33" s="61">
        <f ca="1">IFERROR(__xludf.DUMMYFUNCTION("VLOOKUP(C33,IMPORTRANGE(""https://docs.google.com/spreadsheets/d/1ZLN5T8y7NSBIP1rvSj6TTUR_vTQbRwUKSt8zZJ_EfE4/edit?gid=461094331#gid=461094331"",""SCHEDULE_SDT_JAN26""),38,0)+VLOOKUP(C33,IMPORTRANGE(""https://docs.google.com/spreadsheets/d/1ZLN5T8y7NSBIP1"&amp;"rvSj6TTUR_vTQbRwUKSt8zZJ_EfE4/edit?gid=461094331#gid=461094331"",""SCHEDULE_SDT_JAN26""),39,0)"),0)</f>
        <v>0</v>
      </c>
      <c r="AA33" s="61">
        <f ca="1">IFERROR(__xludf.DUMMYFUNCTION("VLOOKUP(C33,IMPORTRANGE(""https://docs.google.com/spreadsheets/d/1ZLN5T8y7NSBIP1rvSj6TTUR_vTQbRwUKSt8zZJ_EfE4/edit?gid=461094331#gid=461094331"",""SCHEDULE_SDT_JAN26""),40,0)"),0)</f>
        <v>0</v>
      </c>
      <c r="AB33" s="61">
        <f ca="1">IFERROR(__xludf.DUMMYFUNCTION("VLOOKUP(C33,IMPORTRANGE(""https://docs.google.com/spreadsheets/d/1ZLN5T8y7NSBIP1rvSj6TTUR_vTQbRwUKSt8zZJ_EfE4/edit?gid=461094331#gid=461094331"",""SCHEDULE_SDT_JAN26""),41,0)"),0)</f>
        <v>0</v>
      </c>
      <c r="AC33" s="61">
        <f ca="1">IFERROR(__xludf.DUMMYFUNCTION("VLOOKUP(C33,IMPORTRANGE(""https://docs.google.com/spreadsheets/d/1ZLN5T8y7NSBIP1rvSj6TTUR_vTQbRwUKSt8zZJ_EfE4/edit?gid=461094331#gid=461094331"",""SCHEDULE_SDT_JAN26""),42,0)"),0)</f>
        <v>0</v>
      </c>
      <c r="AD33" s="61">
        <f ca="1">IFERROR(__xludf.DUMMYFUNCTION("VLOOKUP(C33,IMPORTRANGE(""https://docs.google.com/spreadsheets/d/1ZLN5T8y7NSBIP1rvSj6TTUR_vTQbRwUKSt8zZJ_EfE4/edit?gid=461094331#gid=461094331"",""SCHEDULE_SDT_JAN26""),43,0)"),0)</f>
        <v>0</v>
      </c>
      <c r="AE33" s="69">
        <f t="shared" ca="1" si="8"/>
        <v>0</v>
      </c>
      <c r="AF33" s="19">
        <v>468468</v>
      </c>
      <c r="AG33" s="19">
        <v>253500</v>
      </c>
      <c r="AH33" s="69">
        <v>0</v>
      </c>
      <c r="AI33" s="69">
        <v>0</v>
      </c>
      <c r="AJ33" s="69">
        <v>0</v>
      </c>
      <c r="AK33" s="69">
        <f t="shared" si="9"/>
        <v>0</v>
      </c>
      <c r="AL33" s="69">
        <v>0</v>
      </c>
      <c r="AM33" s="69">
        <f t="shared" ca="1" si="10"/>
        <v>721968</v>
      </c>
      <c r="AN33" s="69">
        <f t="shared" ca="1" si="11"/>
        <v>6778076</v>
      </c>
      <c r="AO33" s="69">
        <f t="shared" ca="1" si="12"/>
        <v>54300.092777999991</v>
      </c>
      <c r="AP33" s="69">
        <f t="shared" ca="1" si="13"/>
        <v>6723775.907222</v>
      </c>
      <c r="AQ33" s="69">
        <f t="shared" ca="1" si="14"/>
        <v>6723775.907222</v>
      </c>
      <c r="AR33" s="69">
        <f t="shared" ca="1" si="15"/>
        <v>6723800</v>
      </c>
      <c r="AS33" s="72"/>
      <c r="AT33" s="73" t="s">
        <v>17</v>
      </c>
      <c r="AU33" s="61" t="s">
        <v>15</v>
      </c>
      <c r="AV33" s="69">
        <f t="shared" si="34"/>
        <v>5729876</v>
      </c>
      <c r="AW33" s="69">
        <f t="shared" ca="1" si="35"/>
        <v>1000000</v>
      </c>
      <c r="AX33" s="69">
        <f t="shared" ca="1" si="36"/>
        <v>250000</v>
      </c>
      <c r="AY33" s="69">
        <v>0</v>
      </c>
      <c r="AZ33" s="70">
        <f t="shared" si="37"/>
        <v>13751.702399999998</v>
      </c>
      <c r="BA33" s="69">
        <f t="shared" si="38"/>
        <v>17189.628000000001</v>
      </c>
      <c r="BB33" s="69">
        <f t="shared" si="39"/>
        <v>229195.04</v>
      </c>
      <c r="BC33" s="69">
        <f t="shared" ca="1" si="40"/>
        <v>7240012.3703999994</v>
      </c>
      <c r="BD33" s="74">
        <f ca="1">IF(AU33="C",VLOOKUP(BC33,TER!$J$4:$L$50,3,TRUE),IF(AU33="B",VLOOKUP(BC33,TER!$F$4:$H$50,3,TRUE),IF(AU33="A",VLOOKUP(BC33,TER!$B$4:$D$50,3,TRUE),"ERROR")))</f>
        <v>7.4999999999999997E-3</v>
      </c>
      <c r="BE33" s="69">
        <f t="shared" ca="1" si="41"/>
        <v>54300.092777999991</v>
      </c>
      <c r="BF33" s="113"/>
      <c r="BG33" s="113"/>
    </row>
    <row r="34" spans="1:59" ht="15.75" customHeight="1" outlineLevel="1">
      <c r="A34" s="113"/>
      <c r="B34" s="224">
        <v>27</v>
      </c>
      <c r="C34" s="68" t="s">
        <v>345</v>
      </c>
      <c r="D34" s="66" t="s">
        <v>346</v>
      </c>
      <c r="E34" s="67" t="s">
        <v>57</v>
      </c>
      <c r="F34" s="68" t="s">
        <v>1163</v>
      </c>
      <c r="G34" s="67" t="s">
        <v>31</v>
      </c>
      <c r="H34" s="66" t="s">
        <v>32</v>
      </c>
      <c r="I34" s="69">
        <f t="shared" si="33"/>
        <v>5729876</v>
      </c>
      <c r="J34" s="70">
        <v>316368</v>
      </c>
      <c r="K34" s="70">
        <v>203800</v>
      </c>
      <c r="L34" s="70">
        <v>100000</v>
      </c>
      <c r="M34" s="69">
        <f t="shared" ca="1" si="1"/>
        <v>4761.9047619047615</v>
      </c>
      <c r="N34" s="125">
        <f ca="1">IFERROR(__xludf.DUMMYFUNCTION("VLOOKUP(C34,IMPORTRANGE(""https://docs.google.com/spreadsheets/d/1ZLN5T8y7NSBIP1rvSj6TTUR_vTQbRwUKSt8zZJ_EfE4/edit?gid=461094331#gid=461094331"",""SCHEDULE_SDT_JAN26""),35,0)"),21)</f>
        <v>21</v>
      </c>
      <c r="O34" s="125">
        <f ca="1">IFERROR(__xludf.DUMMYFUNCTION("VLOOKUP(C34,IMPORTRANGE(""https://docs.google.com/spreadsheets/d/1ZLN5T8y7NSBIP1rvSj6TTUR_vTQbRwUKSt8zZJ_EfE4/edit?gid=461094331#gid=461094331"",""SCHEDULE_SDT_JAN26""),34,0)"),21)</f>
        <v>21</v>
      </c>
      <c r="P34" s="61">
        <f t="shared" ca="1" si="2"/>
        <v>99999.999999999985</v>
      </c>
      <c r="Q34" s="71"/>
      <c r="R34" s="69">
        <f t="shared" si="3"/>
        <v>6350044</v>
      </c>
      <c r="S34" s="69">
        <f t="shared" si="4"/>
        <v>6350044</v>
      </c>
      <c r="T34" s="61">
        <f t="shared" si="5"/>
        <v>0</v>
      </c>
      <c r="U34" s="70">
        <v>250000</v>
      </c>
      <c r="V34" s="61">
        <f ca="1">IFERROR(__xludf.DUMMYFUNCTION("VLOOKUP(C34,IMPORTRANGE(""https://docs.google.com/spreadsheets/d/1ZLN5T8y7NSBIP1rvSj6TTUR_vTQbRwUKSt8zZJ_EfE4/edit?gid=461094331#gid=461094331"",""SCHEDULE_SDT_JAN26""),36,0)"),1)</f>
        <v>1</v>
      </c>
      <c r="W34" s="69">
        <f t="shared" ca="1" si="6"/>
        <v>250000</v>
      </c>
      <c r="X34" s="89">
        <v>0</v>
      </c>
      <c r="Y34" s="69">
        <f t="shared" ca="1" si="7"/>
        <v>6600044</v>
      </c>
      <c r="Z34" s="61">
        <f ca="1">IFERROR(__xludf.DUMMYFUNCTION("VLOOKUP(C34,IMPORTRANGE(""https://docs.google.com/spreadsheets/d/1ZLN5T8y7NSBIP1rvSj6TTUR_vTQbRwUKSt8zZJ_EfE4/edit?gid=461094331#gid=461094331"",""SCHEDULE_SDT_JAN26""),38,0)+VLOOKUP(C34,IMPORTRANGE(""https://docs.google.com/spreadsheets/d/1ZLN5T8y7NSBIP1"&amp;"rvSj6TTUR_vTQbRwUKSt8zZJ_EfE4/edit?gid=461094331#gid=461094331"",""SCHEDULE_SDT_JAN26""),39,0)"),0)</f>
        <v>0</v>
      </c>
      <c r="AA34" s="61">
        <f ca="1">IFERROR(__xludf.DUMMYFUNCTION("VLOOKUP(C34,IMPORTRANGE(""https://docs.google.com/spreadsheets/d/1ZLN5T8y7NSBIP1rvSj6TTUR_vTQbRwUKSt8zZJ_EfE4/edit?gid=461094331#gid=461094331"",""SCHEDULE_SDT_JAN26""),40,0)"),0)</f>
        <v>0</v>
      </c>
      <c r="AB34" s="61">
        <f ca="1">IFERROR(__xludf.DUMMYFUNCTION("VLOOKUP(C34,IMPORTRANGE(""https://docs.google.com/spreadsheets/d/1ZLN5T8y7NSBIP1rvSj6TTUR_vTQbRwUKSt8zZJ_EfE4/edit?gid=461094331#gid=461094331"",""SCHEDULE_SDT_JAN26""),41,0)"),0)</f>
        <v>0</v>
      </c>
      <c r="AC34" s="61">
        <f ca="1">IFERROR(__xludf.DUMMYFUNCTION("VLOOKUP(C34,IMPORTRANGE(""https://docs.google.com/spreadsheets/d/1ZLN5T8y7NSBIP1rvSj6TTUR_vTQbRwUKSt8zZJ_EfE4/edit?gid=461094331#gid=461094331"",""SCHEDULE_SDT_JAN26""),42,0)"),0)</f>
        <v>0</v>
      </c>
      <c r="AD34" s="61">
        <f ca="1">IFERROR(__xludf.DUMMYFUNCTION("VLOOKUP(C34,IMPORTRANGE(""https://docs.google.com/spreadsheets/d/1ZLN5T8y7NSBIP1rvSj6TTUR_vTQbRwUKSt8zZJ_EfE4/edit?gid=461094331#gid=461094331"",""SCHEDULE_SDT_JAN26""),43,0)"),0)</f>
        <v>0</v>
      </c>
      <c r="AE34" s="69">
        <f t="shared" ca="1" si="8"/>
        <v>0</v>
      </c>
      <c r="AF34" s="19">
        <v>468468</v>
      </c>
      <c r="AG34" s="19">
        <v>253500</v>
      </c>
      <c r="AH34" s="69">
        <v>0</v>
      </c>
      <c r="AI34" s="69">
        <v>0</v>
      </c>
      <c r="AJ34" s="69">
        <v>0</v>
      </c>
      <c r="AK34" s="69">
        <f t="shared" si="9"/>
        <v>0</v>
      </c>
      <c r="AL34" s="69">
        <v>0</v>
      </c>
      <c r="AM34" s="69">
        <f t="shared" ca="1" si="10"/>
        <v>721968</v>
      </c>
      <c r="AN34" s="69">
        <f t="shared" ca="1" si="11"/>
        <v>5878076</v>
      </c>
      <c r="AO34" s="69">
        <f t="shared" ca="1" si="12"/>
        <v>63400.123703999998</v>
      </c>
      <c r="AP34" s="69">
        <f t="shared" ca="1" si="13"/>
        <v>5814675.8762959996</v>
      </c>
      <c r="AQ34" s="69">
        <f t="shared" ca="1" si="14"/>
        <v>5814675.8762959996</v>
      </c>
      <c r="AR34" s="69">
        <f t="shared" ca="1" si="15"/>
        <v>5814700</v>
      </c>
      <c r="AS34" s="72"/>
      <c r="AT34" s="73" t="s">
        <v>13</v>
      </c>
      <c r="AU34" s="61" t="s">
        <v>10</v>
      </c>
      <c r="AV34" s="69">
        <f t="shared" si="34"/>
        <v>5729876</v>
      </c>
      <c r="AW34" s="69">
        <f t="shared" ca="1" si="35"/>
        <v>99999.999999999985</v>
      </c>
      <c r="AX34" s="69">
        <f t="shared" ca="1" si="36"/>
        <v>250000</v>
      </c>
      <c r="AY34" s="69">
        <v>0</v>
      </c>
      <c r="AZ34" s="70">
        <f t="shared" si="37"/>
        <v>13751.702399999998</v>
      </c>
      <c r="BA34" s="69">
        <f t="shared" si="38"/>
        <v>17189.628000000001</v>
      </c>
      <c r="BB34" s="69">
        <f t="shared" si="39"/>
        <v>229195.04</v>
      </c>
      <c r="BC34" s="69">
        <f t="shared" ca="1" si="40"/>
        <v>6340012.3703999994</v>
      </c>
      <c r="BD34" s="74">
        <f ca="1">IF(AU34="C",VLOOKUP(BC34,TER!$J$4:$L$50,3,TRUE),IF(AU34="B",VLOOKUP(BC34,TER!$F$4:$H$50,3,TRUE),IF(AU34="A",VLOOKUP(BC34,TER!$B$4:$D$50,3,TRUE),"ERROR")))</f>
        <v>0.01</v>
      </c>
      <c r="BE34" s="69">
        <f t="shared" ca="1" si="41"/>
        <v>63400.123703999998</v>
      </c>
      <c r="BF34" s="113"/>
      <c r="BG34" s="113"/>
    </row>
    <row r="35" spans="1:59" ht="15.75" customHeight="1" outlineLevel="1">
      <c r="A35" s="113"/>
      <c r="B35" s="224">
        <v>28</v>
      </c>
      <c r="C35" s="68" t="s">
        <v>347</v>
      </c>
      <c r="D35" s="66" t="s">
        <v>348</v>
      </c>
      <c r="E35" s="67" t="s">
        <v>57</v>
      </c>
      <c r="F35" s="68" t="s">
        <v>1164</v>
      </c>
      <c r="G35" s="67" t="s">
        <v>31</v>
      </c>
      <c r="H35" s="66" t="s">
        <v>32</v>
      </c>
      <c r="I35" s="69">
        <f t="shared" si="33"/>
        <v>5729876</v>
      </c>
      <c r="J35" s="70">
        <v>316368</v>
      </c>
      <c r="K35" s="70">
        <v>203800</v>
      </c>
      <c r="L35" s="70">
        <v>1000000</v>
      </c>
      <c r="M35" s="69">
        <f t="shared" ca="1" si="1"/>
        <v>47619.047619047618</v>
      </c>
      <c r="N35" s="125">
        <f ca="1">IFERROR(__xludf.DUMMYFUNCTION("VLOOKUP(C35,IMPORTRANGE(""https://docs.google.com/spreadsheets/d/1ZLN5T8y7NSBIP1rvSj6TTUR_vTQbRwUKSt8zZJ_EfE4/edit?gid=461094331#gid=461094331"",""SCHEDULE_SDT_JAN26""),35,0)"),21)</f>
        <v>21</v>
      </c>
      <c r="O35" s="125">
        <f ca="1">IFERROR(__xludf.DUMMYFUNCTION("VLOOKUP(C35,IMPORTRANGE(""https://docs.google.com/spreadsheets/d/1ZLN5T8y7NSBIP1rvSj6TTUR_vTQbRwUKSt8zZJ_EfE4/edit?gid=461094331#gid=461094331"",""SCHEDULE_SDT_JAN26""),34,0)"),21)</f>
        <v>21</v>
      </c>
      <c r="P35" s="61">
        <f t="shared" ca="1" si="2"/>
        <v>1000000</v>
      </c>
      <c r="Q35" s="71"/>
      <c r="R35" s="69">
        <f t="shared" si="3"/>
        <v>7250044</v>
      </c>
      <c r="S35" s="69">
        <f t="shared" si="4"/>
        <v>7250044</v>
      </c>
      <c r="T35" s="61">
        <f t="shared" si="5"/>
        <v>0</v>
      </c>
      <c r="U35" s="70">
        <v>250000</v>
      </c>
      <c r="V35" s="61">
        <f ca="1">IFERROR(__xludf.DUMMYFUNCTION("VLOOKUP(C35,IMPORTRANGE(""https://docs.google.com/spreadsheets/d/1ZLN5T8y7NSBIP1rvSj6TTUR_vTQbRwUKSt8zZJ_EfE4/edit?gid=461094331#gid=461094331"",""SCHEDULE_SDT_JAN26""),36,0)"),2)</f>
        <v>2</v>
      </c>
      <c r="W35" s="69">
        <f t="shared" ca="1" si="6"/>
        <v>500000</v>
      </c>
      <c r="X35" s="89">
        <v>0</v>
      </c>
      <c r="Y35" s="69">
        <f t="shared" ca="1" si="7"/>
        <v>7750044</v>
      </c>
      <c r="Z35" s="61">
        <f ca="1">IFERROR(__xludf.DUMMYFUNCTION("VLOOKUP(C35,IMPORTRANGE(""https://docs.google.com/spreadsheets/d/1ZLN5T8y7NSBIP1rvSj6TTUR_vTQbRwUKSt8zZJ_EfE4/edit?gid=461094331#gid=461094331"",""SCHEDULE_SDT_JAN26""),38,0)+VLOOKUP(C35,IMPORTRANGE(""https://docs.google.com/spreadsheets/d/1ZLN5T8y7NSBIP1"&amp;"rvSj6TTUR_vTQbRwUKSt8zZJ_EfE4/edit?gid=461094331#gid=461094331"",""SCHEDULE_SDT_JAN26""),39,0)"),0)</f>
        <v>0</v>
      </c>
      <c r="AA35" s="61">
        <f ca="1">IFERROR(__xludf.DUMMYFUNCTION("VLOOKUP(C35,IMPORTRANGE(""https://docs.google.com/spreadsheets/d/1ZLN5T8y7NSBIP1rvSj6TTUR_vTQbRwUKSt8zZJ_EfE4/edit?gid=461094331#gid=461094331"",""SCHEDULE_SDT_JAN26""),40,0)"),0)</f>
        <v>0</v>
      </c>
      <c r="AB35" s="61">
        <f ca="1">IFERROR(__xludf.DUMMYFUNCTION("VLOOKUP(C35,IMPORTRANGE(""https://docs.google.com/spreadsheets/d/1ZLN5T8y7NSBIP1rvSj6TTUR_vTQbRwUKSt8zZJ_EfE4/edit?gid=461094331#gid=461094331"",""SCHEDULE_SDT_JAN26""),41,0)"),0)</f>
        <v>0</v>
      </c>
      <c r="AC35" s="61">
        <f ca="1">IFERROR(__xludf.DUMMYFUNCTION("VLOOKUP(C35,IMPORTRANGE(""https://docs.google.com/spreadsheets/d/1ZLN5T8y7NSBIP1rvSj6TTUR_vTQbRwUKSt8zZJ_EfE4/edit?gid=461094331#gid=461094331"",""SCHEDULE_SDT_JAN26""),42,0)"),0)</f>
        <v>0</v>
      </c>
      <c r="AD35" s="61">
        <f ca="1">IFERROR(__xludf.DUMMYFUNCTION("VLOOKUP(C35,IMPORTRANGE(""https://docs.google.com/spreadsheets/d/1ZLN5T8y7NSBIP1rvSj6TTUR_vTQbRwUKSt8zZJ_EfE4/edit?gid=461094331#gid=461094331"",""SCHEDULE_SDT_JAN26""),43,0)"),0)</f>
        <v>0</v>
      </c>
      <c r="AE35" s="69">
        <f t="shared" ca="1" si="8"/>
        <v>0</v>
      </c>
      <c r="AF35" s="19">
        <v>468468</v>
      </c>
      <c r="AG35" s="19">
        <v>253500</v>
      </c>
      <c r="AH35" s="69">
        <v>0</v>
      </c>
      <c r="AI35" s="69">
        <v>0</v>
      </c>
      <c r="AJ35" s="69">
        <v>0</v>
      </c>
      <c r="AK35" s="69">
        <f t="shared" si="9"/>
        <v>0</v>
      </c>
      <c r="AL35" s="69">
        <v>0</v>
      </c>
      <c r="AM35" s="69">
        <f t="shared" ca="1" si="10"/>
        <v>721968</v>
      </c>
      <c r="AN35" s="69">
        <f t="shared" ca="1" si="11"/>
        <v>7028076</v>
      </c>
      <c r="AO35" s="69">
        <f t="shared" ca="1" si="12"/>
        <v>93625.154630000005</v>
      </c>
      <c r="AP35" s="69">
        <f t="shared" ca="1" si="13"/>
        <v>6934450.8453700002</v>
      </c>
      <c r="AQ35" s="69">
        <f t="shared" ca="1" si="14"/>
        <v>6934450.8453700002</v>
      </c>
      <c r="AR35" s="69">
        <f t="shared" ca="1" si="15"/>
        <v>6934500</v>
      </c>
      <c r="AS35" s="72"/>
      <c r="AT35" s="73" t="s">
        <v>9</v>
      </c>
      <c r="AU35" s="61" t="s">
        <v>10</v>
      </c>
      <c r="AV35" s="69">
        <f t="shared" si="34"/>
        <v>5729876</v>
      </c>
      <c r="AW35" s="69">
        <f t="shared" ca="1" si="35"/>
        <v>1000000</v>
      </c>
      <c r="AX35" s="69">
        <f t="shared" ca="1" si="36"/>
        <v>500000</v>
      </c>
      <c r="AY35" s="69">
        <v>0</v>
      </c>
      <c r="AZ35" s="70">
        <f t="shared" si="37"/>
        <v>13751.702399999998</v>
      </c>
      <c r="BA35" s="69">
        <f t="shared" si="38"/>
        <v>17189.628000000001</v>
      </c>
      <c r="BB35" s="69">
        <f t="shared" si="39"/>
        <v>229195.04</v>
      </c>
      <c r="BC35" s="69">
        <f t="shared" ca="1" si="40"/>
        <v>7490012.3703999994</v>
      </c>
      <c r="BD35" s="74">
        <f ca="1">IF(AU35="C",VLOOKUP(BC35,TER!$J$4:$L$50,3,TRUE),IF(AU35="B",VLOOKUP(BC35,TER!$F$4:$H$50,3,TRUE),IF(AU35="A",VLOOKUP(BC35,TER!$B$4:$D$50,3,TRUE),"ERROR")))</f>
        <v>1.2500000000000001E-2</v>
      </c>
      <c r="BE35" s="69">
        <f t="shared" ca="1" si="41"/>
        <v>93625.154630000005</v>
      </c>
      <c r="BF35" s="113"/>
      <c r="BG35" s="113"/>
    </row>
    <row r="36" spans="1:59" ht="15.75" customHeight="1" outlineLevel="1">
      <c r="A36" s="113"/>
      <c r="B36" s="224">
        <v>29</v>
      </c>
      <c r="C36" s="68" t="s">
        <v>349</v>
      </c>
      <c r="D36" s="66" t="s">
        <v>350</v>
      </c>
      <c r="E36" s="67" t="s">
        <v>57</v>
      </c>
      <c r="F36" s="68" t="s">
        <v>1165</v>
      </c>
      <c r="G36" s="67" t="s">
        <v>31</v>
      </c>
      <c r="H36" s="66" t="s">
        <v>32</v>
      </c>
      <c r="I36" s="69">
        <f t="shared" si="33"/>
        <v>5729876</v>
      </c>
      <c r="J36" s="70">
        <v>316368</v>
      </c>
      <c r="K36" s="70">
        <v>203800</v>
      </c>
      <c r="L36" s="70">
        <v>200000</v>
      </c>
      <c r="M36" s="69">
        <f t="shared" ca="1" si="1"/>
        <v>9523.8095238095229</v>
      </c>
      <c r="N36" s="125">
        <f ca="1">IFERROR(__xludf.DUMMYFUNCTION("VLOOKUP(C36,IMPORTRANGE(""https://docs.google.com/spreadsheets/d/1ZLN5T8y7NSBIP1rvSj6TTUR_vTQbRwUKSt8zZJ_EfE4/edit?gid=461094331#gid=461094331"",""SCHEDULE_SDT_JAN26""),35,0)"),21)</f>
        <v>21</v>
      </c>
      <c r="O36" s="125">
        <f ca="1">IFERROR(__xludf.DUMMYFUNCTION("VLOOKUP(C36,IMPORTRANGE(""https://docs.google.com/spreadsheets/d/1ZLN5T8y7NSBIP1rvSj6TTUR_vTQbRwUKSt8zZJ_EfE4/edit?gid=461094331#gid=461094331"",""SCHEDULE_SDT_JAN26""),34,0)"),21)</f>
        <v>21</v>
      </c>
      <c r="P36" s="61">
        <f t="shared" ca="1" si="2"/>
        <v>199999.99999999997</v>
      </c>
      <c r="Q36" s="71"/>
      <c r="R36" s="69">
        <f t="shared" si="3"/>
        <v>6450044</v>
      </c>
      <c r="S36" s="69">
        <f t="shared" si="4"/>
        <v>6450044</v>
      </c>
      <c r="T36" s="61">
        <f t="shared" si="5"/>
        <v>0</v>
      </c>
      <c r="U36" s="70">
        <v>250000</v>
      </c>
      <c r="V36" s="61">
        <f ca="1">IFERROR(__xludf.DUMMYFUNCTION("VLOOKUP(C36,IMPORTRANGE(""https://docs.google.com/spreadsheets/d/1ZLN5T8y7NSBIP1rvSj6TTUR_vTQbRwUKSt8zZJ_EfE4/edit?gid=461094331#gid=461094331"",""SCHEDULE_SDT_JAN26""),36,0)"),2)</f>
        <v>2</v>
      </c>
      <c r="W36" s="69">
        <f t="shared" ca="1" si="6"/>
        <v>500000</v>
      </c>
      <c r="X36" s="89">
        <v>0</v>
      </c>
      <c r="Y36" s="69">
        <f t="shared" ca="1" si="7"/>
        <v>6950044</v>
      </c>
      <c r="Z36" s="61">
        <f ca="1">IFERROR(__xludf.DUMMYFUNCTION("VLOOKUP(C36,IMPORTRANGE(""https://docs.google.com/spreadsheets/d/1ZLN5T8y7NSBIP1rvSj6TTUR_vTQbRwUKSt8zZJ_EfE4/edit?gid=461094331#gid=461094331"",""SCHEDULE_SDT_JAN26""),38,0)+VLOOKUP(C36,IMPORTRANGE(""https://docs.google.com/spreadsheets/d/1ZLN5T8y7NSBIP1"&amp;"rvSj6TTUR_vTQbRwUKSt8zZJ_EfE4/edit?gid=461094331#gid=461094331"",""SCHEDULE_SDT_JAN26""),39,0)"),0)</f>
        <v>0</v>
      </c>
      <c r="AA36" s="61">
        <f ca="1">IFERROR(__xludf.DUMMYFUNCTION("VLOOKUP(C36,IMPORTRANGE(""https://docs.google.com/spreadsheets/d/1ZLN5T8y7NSBIP1rvSj6TTUR_vTQbRwUKSt8zZJ_EfE4/edit?gid=461094331#gid=461094331"",""SCHEDULE_SDT_JAN26""),40,0)"),0)</f>
        <v>0</v>
      </c>
      <c r="AB36" s="61">
        <f ca="1">IFERROR(__xludf.DUMMYFUNCTION("VLOOKUP(C36,IMPORTRANGE(""https://docs.google.com/spreadsheets/d/1ZLN5T8y7NSBIP1rvSj6TTUR_vTQbRwUKSt8zZJ_EfE4/edit?gid=461094331#gid=461094331"",""SCHEDULE_SDT_JAN26""),41,0)"),0)</f>
        <v>0</v>
      </c>
      <c r="AC36" s="61">
        <f ca="1">IFERROR(__xludf.DUMMYFUNCTION("VLOOKUP(C36,IMPORTRANGE(""https://docs.google.com/spreadsheets/d/1ZLN5T8y7NSBIP1rvSj6TTUR_vTQbRwUKSt8zZJ_EfE4/edit?gid=461094331#gid=461094331"",""SCHEDULE_SDT_JAN26""),42,0)"),0)</f>
        <v>0</v>
      </c>
      <c r="AD36" s="61">
        <f ca="1">IFERROR(__xludf.DUMMYFUNCTION("VLOOKUP(C36,IMPORTRANGE(""https://docs.google.com/spreadsheets/d/1ZLN5T8y7NSBIP1rvSj6TTUR_vTQbRwUKSt8zZJ_EfE4/edit?gid=461094331#gid=461094331"",""SCHEDULE_SDT_JAN26""),43,0)"),0)</f>
        <v>0</v>
      </c>
      <c r="AE36" s="69">
        <f t="shared" ca="1" si="8"/>
        <v>0</v>
      </c>
      <c r="AF36" s="19">
        <v>468468</v>
      </c>
      <c r="AG36" s="19">
        <v>253500</v>
      </c>
      <c r="AH36" s="69">
        <v>0</v>
      </c>
      <c r="AI36" s="69">
        <v>0</v>
      </c>
      <c r="AJ36" s="69">
        <v>0</v>
      </c>
      <c r="AK36" s="69">
        <f t="shared" si="9"/>
        <v>0</v>
      </c>
      <c r="AL36" s="69">
        <v>0</v>
      </c>
      <c r="AM36" s="69">
        <f t="shared" ca="1" si="10"/>
        <v>721968</v>
      </c>
      <c r="AN36" s="69">
        <f t="shared" ca="1" si="11"/>
        <v>6228076</v>
      </c>
      <c r="AO36" s="69">
        <f t="shared" ca="1" si="12"/>
        <v>66900.123703999998</v>
      </c>
      <c r="AP36" s="69">
        <f t="shared" ca="1" si="13"/>
        <v>6161175.8762959996</v>
      </c>
      <c r="AQ36" s="69">
        <f t="shared" ca="1" si="14"/>
        <v>6161175.8762959996</v>
      </c>
      <c r="AR36" s="69">
        <f t="shared" ca="1" si="15"/>
        <v>6161200</v>
      </c>
      <c r="AS36" s="72"/>
      <c r="AT36" s="73" t="s">
        <v>9</v>
      </c>
      <c r="AU36" s="61" t="s">
        <v>10</v>
      </c>
      <c r="AV36" s="69">
        <f t="shared" si="34"/>
        <v>5729876</v>
      </c>
      <c r="AW36" s="69">
        <f t="shared" ca="1" si="35"/>
        <v>199999.99999999997</v>
      </c>
      <c r="AX36" s="69">
        <f t="shared" ca="1" si="36"/>
        <v>500000</v>
      </c>
      <c r="AY36" s="69">
        <v>0</v>
      </c>
      <c r="AZ36" s="70">
        <f t="shared" si="37"/>
        <v>13751.702399999998</v>
      </c>
      <c r="BA36" s="69">
        <f t="shared" si="38"/>
        <v>17189.628000000001</v>
      </c>
      <c r="BB36" s="69">
        <f t="shared" si="39"/>
        <v>229195.04</v>
      </c>
      <c r="BC36" s="69">
        <f t="shared" ca="1" si="40"/>
        <v>6690012.3703999994</v>
      </c>
      <c r="BD36" s="74">
        <f ca="1">IF(AU36="C",VLOOKUP(BC36,TER!$J$4:$L$50,3,TRUE),IF(AU36="B",VLOOKUP(BC36,TER!$F$4:$H$50,3,TRUE),IF(AU36="A",VLOOKUP(BC36,TER!$B$4:$D$50,3,TRUE),"ERROR")))</f>
        <v>0.01</v>
      </c>
      <c r="BE36" s="69">
        <f t="shared" ca="1" si="41"/>
        <v>66900.123703999998</v>
      </c>
      <c r="BF36" s="113"/>
      <c r="BG36" s="113"/>
    </row>
    <row r="37" spans="1:59" ht="15.75" customHeight="1" outlineLevel="1">
      <c r="A37" s="113"/>
      <c r="B37" s="224">
        <v>30</v>
      </c>
      <c r="C37" s="234" t="s">
        <v>351</v>
      </c>
      <c r="D37" s="85" t="s">
        <v>352</v>
      </c>
      <c r="E37" s="67" t="s">
        <v>57</v>
      </c>
      <c r="F37" s="68" t="s">
        <v>1166</v>
      </c>
      <c r="G37" s="86" t="s">
        <v>1118</v>
      </c>
      <c r="H37" s="88" t="s">
        <v>32</v>
      </c>
      <c r="I37" s="69">
        <f t="shared" si="33"/>
        <v>5729876</v>
      </c>
      <c r="J37" s="90">
        <v>316368</v>
      </c>
      <c r="K37" s="90">
        <v>203800</v>
      </c>
      <c r="L37" s="90">
        <v>2000000</v>
      </c>
      <c r="M37" s="69">
        <f t="shared" ca="1" si="1"/>
        <v>95238.095238095237</v>
      </c>
      <c r="N37" s="125">
        <f ca="1">IFERROR(__xludf.DUMMYFUNCTION("VLOOKUP(C37,IMPORTRANGE(""https://docs.google.com/spreadsheets/d/1ZLN5T8y7NSBIP1rvSj6TTUR_vTQbRwUKSt8zZJ_EfE4/edit?gid=461094331#gid=461094331"",""SCHEDULE_SDT_JAN26""),35,0)"),13)</f>
        <v>13</v>
      </c>
      <c r="O37" s="125">
        <f ca="1">IFERROR(__xludf.DUMMYFUNCTION("VLOOKUP(C37,IMPORTRANGE(""https://docs.google.com/spreadsheets/d/1ZLN5T8y7NSBIP1rvSj6TTUR_vTQbRwUKSt8zZJ_EfE4/edit?gid=461094331#gid=461094331"",""SCHEDULE_SDT_JAN26""),34,0)"),21)</f>
        <v>21</v>
      </c>
      <c r="P37" s="61">
        <f t="shared" ca="1" si="2"/>
        <v>1238095.2380952381</v>
      </c>
      <c r="Q37" s="71"/>
      <c r="R37" s="69">
        <f t="shared" si="3"/>
        <v>8250044</v>
      </c>
      <c r="S37" s="69">
        <f t="shared" si="4"/>
        <v>8250044</v>
      </c>
      <c r="T37" s="61">
        <f t="shared" si="5"/>
        <v>0</v>
      </c>
      <c r="U37" s="70">
        <v>250000</v>
      </c>
      <c r="V37" s="61">
        <f ca="1">IFERROR(__xludf.DUMMYFUNCTION("VLOOKUP(C37,IMPORTRANGE(""https://docs.google.com/spreadsheets/d/1ZLN5T8y7NSBIP1rvSj6TTUR_vTQbRwUKSt8zZJ_EfE4/edit?gid=461094331#gid=461094331"",""SCHEDULE_SDT_JAN26""),36,0)"),0)</f>
        <v>0</v>
      </c>
      <c r="W37" s="69">
        <f t="shared" ca="1" si="6"/>
        <v>0</v>
      </c>
      <c r="X37" s="89">
        <v>0</v>
      </c>
      <c r="Y37" s="69">
        <f t="shared" ca="1" si="7"/>
        <v>7488139.2380952379</v>
      </c>
      <c r="Z37" s="61">
        <f ca="1">IFERROR(__xludf.DUMMYFUNCTION("VLOOKUP(C37,IMPORTRANGE(""https://docs.google.com/spreadsheets/d/1ZLN5T8y7NSBIP1rvSj6TTUR_vTQbRwUKSt8zZJ_EfE4/edit?gid=461094331#gid=461094331"",""SCHEDULE_SDT_JAN26""),38,0)+VLOOKUP(C37,IMPORTRANGE(""https://docs.google.com/spreadsheets/d/1ZLN5T8y7NSBIP1"&amp;"rvSj6TTUR_vTQbRwUKSt8zZJ_EfE4/edit?gid=461094331#gid=461094331"",""SCHEDULE_SDT_JAN26""),39,0)"),0)</f>
        <v>0</v>
      </c>
      <c r="AA37" s="61">
        <f ca="1">IFERROR(__xludf.DUMMYFUNCTION("VLOOKUP(C37,IMPORTRANGE(""https://docs.google.com/spreadsheets/d/1ZLN5T8y7NSBIP1rvSj6TTUR_vTQbRwUKSt8zZJ_EfE4/edit?gid=461094331#gid=461094331"",""SCHEDULE_SDT_JAN26""),40,0)"),0)</f>
        <v>0</v>
      </c>
      <c r="AB37" s="61">
        <f ca="1">IFERROR(__xludf.DUMMYFUNCTION("VLOOKUP(C37,IMPORTRANGE(""https://docs.google.com/spreadsheets/d/1ZLN5T8y7NSBIP1rvSj6TTUR_vTQbRwUKSt8zZJ_EfE4/edit?gid=461094331#gid=461094331"",""SCHEDULE_SDT_JAN26""),41,0)"),6)</f>
        <v>6</v>
      </c>
      <c r="AC37" s="61">
        <f ca="1">IFERROR(__xludf.DUMMYFUNCTION("VLOOKUP(C37,IMPORTRANGE(""https://docs.google.com/spreadsheets/d/1ZLN5T8y7NSBIP1rvSj6TTUR_vTQbRwUKSt8zZJ_EfE4/edit?gid=461094331#gid=461094331"",""SCHEDULE_SDT_JAN26""),42,0)"),0)</f>
        <v>0</v>
      </c>
      <c r="AD37" s="61">
        <f ca="1">IFERROR(__xludf.DUMMYFUNCTION("VLOOKUP(C37,IMPORTRANGE(""https://docs.google.com/spreadsheets/d/1ZLN5T8y7NSBIP1rvSj6TTUR_vTQbRwUKSt8zZJ_EfE4/edit?gid=461094331#gid=461094331"",""SCHEDULE_SDT_JAN26""),43,0)"),0)</f>
        <v>0</v>
      </c>
      <c r="AE37" s="69">
        <f t="shared" ca="1" si="8"/>
        <v>0</v>
      </c>
      <c r="AF37" s="19">
        <v>468468</v>
      </c>
      <c r="AG37" s="19">
        <v>253500</v>
      </c>
      <c r="AH37" s="69">
        <v>0</v>
      </c>
      <c r="AI37" s="69">
        <v>0</v>
      </c>
      <c r="AJ37" s="69">
        <v>0</v>
      </c>
      <c r="AK37" s="69">
        <f t="shared" si="9"/>
        <v>0</v>
      </c>
      <c r="AL37" s="69">
        <v>0</v>
      </c>
      <c r="AM37" s="69">
        <f t="shared" ca="1" si="10"/>
        <v>721968</v>
      </c>
      <c r="AN37" s="69">
        <f t="shared" ca="1" si="11"/>
        <v>6766171.2380952379</v>
      </c>
      <c r="AO37" s="69">
        <f t="shared" ca="1" si="12"/>
        <v>90351.345106190478</v>
      </c>
      <c r="AP37" s="69">
        <f t="shared" ca="1" si="13"/>
        <v>6675819.8929890478</v>
      </c>
      <c r="AQ37" s="69">
        <f t="shared" ca="1" si="14"/>
        <v>6675819.8929890478</v>
      </c>
      <c r="AR37" s="69">
        <f t="shared" ca="1" si="15"/>
        <v>6675800</v>
      </c>
      <c r="AS37" s="72"/>
      <c r="AT37" s="73" t="s">
        <v>9</v>
      </c>
      <c r="AU37" s="61" t="s">
        <v>10</v>
      </c>
      <c r="AV37" s="69">
        <f t="shared" si="34"/>
        <v>5729876</v>
      </c>
      <c r="AW37" s="69">
        <f t="shared" ca="1" si="35"/>
        <v>1238095.2380952381</v>
      </c>
      <c r="AX37" s="69">
        <f t="shared" ca="1" si="36"/>
        <v>0</v>
      </c>
      <c r="AY37" s="69">
        <v>0</v>
      </c>
      <c r="AZ37" s="70">
        <f t="shared" si="37"/>
        <v>13751.702399999998</v>
      </c>
      <c r="BA37" s="69">
        <f t="shared" si="38"/>
        <v>17189.628000000001</v>
      </c>
      <c r="BB37" s="69">
        <f t="shared" si="39"/>
        <v>229195.04</v>
      </c>
      <c r="BC37" s="69">
        <f t="shared" ca="1" si="40"/>
        <v>7228107.6084952373</v>
      </c>
      <c r="BD37" s="74">
        <f ca="1">IF(AU37="C",VLOOKUP(BC37,TER!$J$4:$L$50,3,TRUE),IF(AU37="B",VLOOKUP(BC37,TER!$F$4:$H$50,3,TRUE),IF(AU37="A",VLOOKUP(BC37,TER!$B$4:$D$50,3,TRUE),"ERROR")))</f>
        <v>1.2500000000000001E-2</v>
      </c>
      <c r="BE37" s="69">
        <f t="shared" ca="1" si="41"/>
        <v>90351.345106190478</v>
      </c>
      <c r="BF37" s="113"/>
      <c r="BG37" s="113"/>
    </row>
    <row r="38" spans="1:59" ht="15.75" customHeight="1" outlineLevel="1">
      <c r="A38" s="113"/>
      <c r="B38" s="373" t="s">
        <v>1333</v>
      </c>
      <c r="C38" s="394" t="s">
        <v>1334</v>
      </c>
      <c r="D38" s="375" t="s">
        <v>352</v>
      </c>
      <c r="E38" s="376" t="s">
        <v>57</v>
      </c>
      <c r="F38" s="377" t="s">
        <v>1335</v>
      </c>
      <c r="G38" s="378" t="s">
        <v>300</v>
      </c>
      <c r="H38" s="379" t="s">
        <v>602</v>
      </c>
      <c r="I38" s="380"/>
      <c r="J38" s="381"/>
      <c r="K38" s="381"/>
      <c r="L38" s="381">
        <v>2750000</v>
      </c>
      <c r="M38" s="380">
        <f t="shared" si="1"/>
        <v>137500</v>
      </c>
      <c r="N38" s="382">
        <f ca="1">IFERROR(__xludf.DUMMYFUNCTION("VLOOKUP(C38,IMPORTRANGE(""https://docs.google.com/spreadsheets/d/1ZLN5T8y7NSBIP1rvSj6TTUR_vTQbRwUKSt8zZJ_EfE4/edit?gid=461094331#gid=461094331"",""SCHEDULE_SDT_JAN26""),35,0)"),1)</f>
        <v>1</v>
      </c>
      <c r="O38" s="382">
        <v>20</v>
      </c>
      <c r="P38" s="383">
        <f t="shared" ca="1" si="2"/>
        <v>137500</v>
      </c>
      <c r="Q38" s="384"/>
      <c r="R38" s="380">
        <f t="shared" si="3"/>
        <v>2750000</v>
      </c>
      <c r="S38" s="380">
        <f t="shared" si="4"/>
        <v>2750000</v>
      </c>
      <c r="T38" s="383">
        <f t="shared" si="5"/>
        <v>0</v>
      </c>
      <c r="U38" s="385">
        <v>250000</v>
      </c>
      <c r="V38" s="383">
        <f ca="1">IFERROR(__xludf.DUMMYFUNCTION("VLOOKUP(C38,IMPORTRANGE(""https://docs.google.com/spreadsheets/d/1ZLN5T8y7NSBIP1rvSj6TTUR_vTQbRwUKSt8zZJ_EfE4/edit?gid=461094331#gid=461094331"",""SCHEDULE_SDT_JAN26""),36,0)"),0)</f>
        <v>0</v>
      </c>
      <c r="W38" s="380">
        <f t="shared" ca="1" si="6"/>
        <v>0</v>
      </c>
      <c r="X38" s="395">
        <v>0</v>
      </c>
      <c r="Y38" s="380">
        <f t="shared" ca="1" si="7"/>
        <v>137500</v>
      </c>
      <c r="Z38" s="383">
        <f ca="1">IFERROR(__xludf.DUMMYFUNCTION("VLOOKUP(C38,IMPORTRANGE(""https://docs.google.com/spreadsheets/d/1ZLN5T8y7NSBIP1rvSj6TTUR_vTQbRwUKSt8zZJ_EfE4/edit?gid=461094331#gid=461094331"",""SCHEDULE_SDT_JAN26""),38,0)+VLOOKUP(C38,IMPORTRANGE(""https://docs.google.com/spreadsheets/d/1ZLN5T8y7NSBIP1"&amp;"rvSj6TTUR_vTQbRwUKSt8zZJ_EfE4/edit?gid=461094331#gid=461094331"",""SCHEDULE_SDT_JAN26""),39,0)"),0)</f>
        <v>0</v>
      </c>
      <c r="AA38" s="383">
        <f ca="1">IFERROR(__xludf.DUMMYFUNCTION("VLOOKUP(C38,IMPORTRANGE(""https://docs.google.com/spreadsheets/d/1ZLN5T8y7NSBIP1rvSj6TTUR_vTQbRwUKSt8zZJ_EfE4/edit?gid=461094331#gid=461094331"",""SCHEDULE_SDT_JAN26""),40,0)"),0)</f>
        <v>0</v>
      </c>
      <c r="AB38" s="383">
        <f ca="1">IFERROR(__xludf.DUMMYFUNCTION("VLOOKUP(C38,IMPORTRANGE(""https://docs.google.com/spreadsheets/d/1ZLN5T8y7NSBIP1rvSj6TTUR_vTQbRwUKSt8zZJ_EfE4/edit?gid=461094331#gid=461094331"",""SCHEDULE_SDT_JAN26""),41,0)"),0)</f>
        <v>0</v>
      </c>
      <c r="AC38" s="383">
        <f ca="1">IFERROR(__xludf.DUMMYFUNCTION("VLOOKUP(C38,IMPORTRANGE(""https://docs.google.com/spreadsheets/d/1ZLN5T8y7NSBIP1rvSj6TTUR_vTQbRwUKSt8zZJ_EfE4/edit?gid=461094331#gid=461094331"",""SCHEDULE_SDT_JAN26""),42,0)"),0)</f>
        <v>0</v>
      </c>
      <c r="AD38" s="383">
        <f ca="1">IFERROR(__xludf.DUMMYFUNCTION("VLOOKUP(C38,IMPORTRANGE(""https://docs.google.com/spreadsheets/d/1ZLN5T8y7NSBIP1rvSj6TTUR_vTQbRwUKSt8zZJ_EfE4/edit?gid=461094331#gid=461094331"",""SCHEDULE_SDT_JAN26""),43,0)"),0)</f>
        <v>0</v>
      </c>
      <c r="AE38" s="380">
        <f t="shared" ca="1" si="8"/>
        <v>0</v>
      </c>
      <c r="AF38" s="386"/>
      <c r="AG38" s="386"/>
      <c r="AH38" s="380">
        <v>0</v>
      </c>
      <c r="AI38" s="380">
        <v>0</v>
      </c>
      <c r="AJ38" s="380">
        <v>0</v>
      </c>
      <c r="AK38" s="380">
        <f t="shared" si="9"/>
        <v>0</v>
      </c>
      <c r="AL38" s="380">
        <v>0</v>
      </c>
      <c r="AM38" s="380">
        <f t="shared" ca="1" si="10"/>
        <v>0</v>
      </c>
      <c r="AN38" s="380">
        <f t="shared" ca="1" si="11"/>
        <v>137500</v>
      </c>
      <c r="AO38" s="380">
        <f t="shared" ca="1" si="12"/>
        <v>0</v>
      </c>
      <c r="AP38" s="380">
        <f t="shared" ca="1" si="13"/>
        <v>137500</v>
      </c>
      <c r="AQ38" s="380">
        <f t="shared" ca="1" si="14"/>
        <v>137500</v>
      </c>
      <c r="AR38" s="380">
        <f t="shared" ca="1" si="15"/>
        <v>137500</v>
      </c>
      <c r="AS38" s="387"/>
      <c r="AT38" s="388" t="s">
        <v>12</v>
      </c>
      <c r="AU38" s="383" t="s">
        <v>10</v>
      </c>
      <c r="AV38" s="380">
        <f t="shared" si="34"/>
        <v>0</v>
      </c>
      <c r="AW38" s="380">
        <f t="shared" ca="1" si="35"/>
        <v>137500</v>
      </c>
      <c r="AX38" s="380">
        <f t="shared" ca="1" si="36"/>
        <v>0</v>
      </c>
      <c r="AY38" s="380">
        <v>0</v>
      </c>
      <c r="AZ38" s="385">
        <f t="shared" si="37"/>
        <v>0</v>
      </c>
      <c r="BA38" s="380">
        <f t="shared" si="38"/>
        <v>0</v>
      </c>
      <c r="BB38" s="380">
        <f t="shared" si="39"/>
        <v>0</v>
      </c>
      <c r="BC38" s="380">
        <f t="shared" ca="1" si="40"/>
        <v>137500</v>
      </c>
      <c r="BD38" s="396">
        <f ca="1">IF(AU38="C",VLOOKUP(BC38,TER!$J$4:$L$50,3,TRUE),IF(AU38="B",VLOOKUP(BC38,TER!$F$4:$H$50,3,TRUE),IF(AU38="A",VLOOKUP(BC38,TER!$B$4:$D$50,3,TRUE),"ERROR")))</f>
        <v>0</v>
      </c>
      <c r="BE38" s="380">
        <f t="shared" ca="1" si="41"/>
        <v>0</v>
      </c>
      <c r="BF38" s="113"/>
      <c r="BG38" s="113"/>
    </row>
    <row r="39" spans="1:59" ht="15.75" customHeight="1" outlineLevel="1">
      <c r="A39" s="113"/>
      <c r="B39" s="224">
        <v>31</v>
      </c>
      <c r="C39" s="67" t="s">
        <v>353</v>
      </c>
      <c r="D39" s="88" t="s">
        <v>354</v>
      </c>
      <c r="E39" s="67" t="s">
        <v>57</v>
      </c>
      <c r="F39" s="68" t="s">
        <v>1167</v>
      </c>
      <c r="G39" s="86" t="s">
        <v>31</v>
      </c>
      <c r="H39" s="88" t="s">
        <v>32</v>
      </c>
      <c r="I39" s="69">
        <f t="shared" ref="I39:I44" si="42">IF(H39="FULL - EXISTING",5729876,5729876/O39*N39)</f>
        <v>5729876</v>
      </c>
      <c r="J39" s="90">
        <v>316368</v>
      </c>
      <c r="K39" s="90">
        <v>203800</v>
      </c>
      <c r="L39" s="90">
        <v>1000000</v>
      </c>
      <c r="M39" s="69">
        <f t="shared" ca="1" si="1"/>
        <v>50000</v>
      </c>
      <c r="N39" s="125">
        <f ca="1">IFERROR(__xludf.DUMMYFUNCTION("VLOOKUP(C39,IMPORTRANGE(""https://docs.google.com/spreadsheets/d/1ZLN5T8y7NSBIP1rvSj6TTUR_vTQbRwUKSt8zZJ_EfE4/edit?gid=461094331#gid=461094331"",""SCHEDULE_SDT_JAN26""),35,0)"),20)</f>
        <v>20</v>
      </c>
      <c r="O39" s="125">
        <f ca="1">IFERROR(__xludf.DUMMYFUNCTION("VLOOKUP(C39,IMPORTRANGE(""https://docs.google.com/spreadsheets/d/1ZLN5T8y7NSBIP1rvSj6TTUR_vTQbRwUKSt8zZJ_EfE4/edit?gid=461094331#gid=461094331"",""SCHEDULE_SDT_JAN26""),34,0)"),20)</f>
        <v>20</v>
      </c>
      <c r="P39" s="61">
        <f t="shared" ca="1" si="2"/>
        <v>1000000</v>
      </c>
      <c r="Q39" s="71"/>
      <c r="R39" s="69">
        <f t="shared" si="3"/>
        <v>7250044</v>
      </c>
      <c r="S39" s="69">
        <f t="shared" si="4"/>
        <v>7250044</v>
      </c>
      <c r="T39" s="61">
        <f t="shared" si="5"/>
        <v>0</v>
      </c>
      <c r="U39" s="70">
        <v>250000</v>
      </c>
      <c r="V39" s="61">
        <f ca="1">IFERROR(__xludf.DUMMYFUNCTION("VLOOKUP(C39,IMPORTRANGE(""https://docs.google.com/spreadsheets/d/1ZLN5T8y7NSBIP1rvSj6TTUR_vTQbRwUKSt8zZJ_EfE4/edit?gid=461094331#gid=461094331"",""SCHEDULE_SDT_JAN26""),36,0)"),0)</f>
        <v>0</v>
      </c>
      <c r="W39" s="69">
        <f t="shared" ca="1" si="6"/>
        <v>0</v>
      </c>
      <c r="X39" s="89">
        <v>0</v>
      </c>
      <c r="Y39" s="69">
        <f t="shared" ca="1" si="7"/>
        <v>7250044</v>
      </c>
      <c r="Z39" s="61">
        <f ca="1">IFERROR(__xludf.DUMMYFUNCTION("VLOOKUP(C39,IMPORTRANGE(""https://docs.google.com/spreadsheets/d/1ZLN5T8y7NSBIP1rvSj6TTUR_vTQbRwUKSt8zZJ_EfE4/edit?gid=461094331#gid=461094331"",""SCHEDULE_SDT_JAN26""),38,0)+VLOOKUP(C39,IMPORTRANGE(""https://docs.google.com/spreadsheets/d/1ZLN5T8y7NSBIP1"&amp;"rvSj6TTUR_vTQbRwUKSt8zZJ_EfE4/edit?gid=461094331#gid=461094331"",""SCHEDULE_SDT_JAN26""),39,0)"),0)</f>
        <v>0</v>
      </c>
      <c r="AA39" s="61">
        <f ca="1">IFERROR(__xludf.DUMMYFUNCTION("VLOOKUP(C39,IMPORTRANGE(""https://docs.google.com/spreadsheets/d/1ZLN5T8y7NSBIP1rvSj6TTUR_vTQbRwUKSt8zZJ_EfE4/edit?gid=461094331#gid=461094331"",""SCHEDULE_SDT_JAN26""),40,0)"),0)</f>
        <v>0</v>
      </c>
      <c r="AB39" s="61">
        <f ca="1">IFERROR(__xludf.DUMMYFUNCTION("VLOOKUP(C39,IMPORTRANGE(""https://docs.google.com/spreadsheets/d/1ZLN5T8y7NSBIP1rvSj6TTUR_vTQbRwUKSt8zZJ_EfE4/edit?gid=461094331#gid=461094331"",""SCHEDULE_SDT_JAN26""),41,0)"),0)</f>
        <v>0</v>
      </c>
      <c r="AC39" s="61">
        <f ca="1">IFERROR(__xludf.DUMMYFUNCTION("VLOOKUP(C39,IMPORTRANGE(""https://docs.google.com/spreadsheets/d/1ZLN5T8y7NSBIP1rvSj6TTUR_vTQbRwUKSt8zZJ_EfE4/edit?gid=461094331#gid=461094331"",""SCHEDULE_SDT_JAN26""),42,0)"),0)</f>
        <v>0</v>
      </c>
      <c r="AD39" s="61">
        <f ca="1">IFERROR(__xludf.DUMMYFUNCTION("VLOOKUP(C39,IMPORTRANGE(""https://docs.google.com/spreadsheets/d/1ZLN5T8y7NSBIP1rvSj6TTUR_vTQbRwUKSt8zZJ_EfE4/edit?gid=461094331#gid=461094331"",""SCHEDULE_SDT_JAN26""),43,0)"),0)</f>
        <v>0</v>
      </c>
      <c r="AE39" s="69">
        <f t="shared" ca="1" si="8"/>
        <v>0</v>
      </c>
      <c r="AF39" s="19">
        <v>468468</v>
      </c>
      <c r="AG39" s="19">
        <v>253500</v>
      </c>
      <c r="AH39" s="69">
        <v>0</v>
      </c>
      <c r="AI39" s="69">
        <v>0</v>
      </c>
      <c r="AJ39" s="69">
        <v>0</v>
      </c>
      <c r="AK39" s="69">
        <f t="shared" si="9"/>
        <v>0</v>
      </c>
      <c r="AL39" s="69">
        <v>0</v>
      </c>
      <c r="AM39" s="69">
        <f t="shared" ca="1" si="10"/>
        <v>721968</v>
      </c>
      <c r="AN39" s="69">
        <f t="shared" ca="1" si="11"/>
        <v>6528076</v>
      </c>
      <c r="AO39" s="69">
        <f t="shared" ca="1" si="12"/>
        <v>87375.154630000005</v>
      </c>
      <c r="AP39" s="69">
        <f t="shared" ca="1" si="13"/>
        <v>6440700.8453700002</v>
      </c>
      <c r="AQ39" s="69">
        <f t="shared" ca="1" si="14"/>
        <v>6440700.8453700002</v>
      </c>
      <c r="AR39" s="69">
        <f t="shared" ca="1" si="15"/>
        <v>6440700</v>
      </c>
      <c r="AS39" s="72"/>
      <c r="AT39" s="73" t="s">
        <v>9</v>
      </c>
      <c r="AU39" s="61" t="s">
        <v>10</v>
      </c>
      <c r="AV39" s="69">
        <f t="shared" si="34"/>
        <v>5729876</v>
      </c>
      <c r="AW39" s="69">
        <f t="shared" ca="1" si="35"/>
        <v>1000000</v>
      </c>
      <c r="AX39" s="69">
        <f t="shared" ca="1" si="36"/>
        <v>0</v>
      </c>
      <c r="AY39" s="69">
        <v>0</v>
      </c>
      <c r="AZ39" s="70">
        <f t="shared" si="37"/>
        <v>13751.702399999998</v>
      </c>
      <c r="BA39" s="69">
        <f t="shared" si="38"/>
        <v>17189.628000000001</v>
      </c>
      <c r="BB39" s="69">
        <f t="shared" si="39"/>
        <v>229195.04</v>
      </c>
      <c r="BC39" s="69">
        <f t="shared" ca="1" si="40"/>
        <v>6990012.3703999994</v>
      </c>
      <c r="BD39" s="74">
        <f ca="1">IF(AU39="C",VLOOKUP(BC39,TER!$J$4:$L$50,3,TRUE),IF(AU39="B",VLOOKUP(BC39,TER!$F$4:$H$50,3,TRUE),IF(AU39="A",VLOOKUP(BC39,TER!$B$4:$D$50,3,TRUE),"ERROR")))</f>
        <v>1.2500000000000001E-2</v>
      </c>
      <c r="BE39" s="69">
        <f t="shared" ca="1" si="41"/>
        <v>87375.154630000005</v>
      </c>
      <c r="BF39" s="113"/>
      <c r="BG39" s="113"/>
    </row>
    <row r="40" spans="1:59" ht="15.75" customHeight="1" outlineLevel="1">
      <c r="A40" s="113"/>
      <c r="B40" s="224">
        <v>32</v>
      </c>
      <c r="C40" s="68" t="s">
        <v>355</v>
      </c>
      <c r="D40" s="66" t="s">
        <v>356</v>
      </c>
      <c r="E40" s="67" t="s">
        <v>57</v>
      </c>
      <c r="F40" s="68" t="s">
        <v>1168</v>
      </c>
      <c r="G40" s="67" t="s">
        <v>31</v>
      </c>
      <c r="H40" s="66" t="s">
        <v>32</v>
      </c>
      <c r="I40" s="69">
        <f t="shared" si="42"/>
        <v>5729876</v>
      </c>
      <c r="J40" s="70">
        <v>316368</v>
      </c>
      <c r="K40" s="70">
        <v>203800</v>
      </c>
      <c r="L40" s="70">
        <v>200000</v>
      </c>
      <c r="M40" s="69">
        <f t="shared" ca="1" si="1"/>
        <v>10000</v>
      </c>
      <c r="N40" s="125">
        <f ca="1">IFERROR(__xludf.DUMMYFUNCTION("VLOOKUP(C40,IMPORTRANGE(""https://docs.google.com/spreadsheets/d/1ZLN5T8y7NSBIP1rvSj6TTUR_vTQbRwUKSt8zZJ_EfE4/edit?gid=461094331#gid=461094331"",""SCHEDULE_SDT_JAN26""),35,0)"),20)</f>
        <v>20</v>
      </c>
      <c r="O40" s="125">
        <f ca="1">IFERROR(__xludf.DUMMYFUNCTION("VLOOKUP(C40,IMPORTRANGE(""https://docs.google.com/spreadsheets/d/1ZLN5T8y7NSBIP1rvSj6TTUR_vTQbRwUKSt8zZJ_EfE4/edit?gid=461094331#gid=461094331"",""SCHEDULE_SDT_JAN26""),34,0)"),20)</f>
        <v>20</v>
      </c>
      <c r="P40" s="61">
        <f t="shared" ca="1" si="2"/>
        <v>200000</v>
      </c>
      <c r="Q40" s="71"/>
      <c r="R40" s="69">
        <f t="shared" si="3"/>
        <v>6450044</v>
      </c>
      <c r="S40" s="69">
        <f t="shared" si="4"/>
        <v>6450044</v>
      </c>
      <c r="T40" s="61">
        <f t="shared" si="5"/>
        <v>0</v>
      </c>
      <c r="U40" s="70">
        <v>250000</v>
      </c>
      <c r="V40" s="61">
        <f ca="1">IFERROR(__xludf.DUMMYFUNCTION("VLOOKUP(C40,IMPORTRANGE(""https://docs.google.com/spreadsheets/d/1ZLN5T8y7NSBIP1rvSj6TTUR_vTQbRwUKSt8zZJ_EfE4/edit?gid=461094331#gid=461094331"",""SCHEDULE_SDT_JAN26""),36,0)"),2)</f>
        <v>2</v>
      </c>
      <c r="W40" s="69">
        <f t="shared" ca="1" si="6"/>
        <v>500000</v>
      </c>
      <c r="X40" s="89">
        <v>0</v>
      </c>
      <c r="Y40" s="69">
        <f t="shared" ca="1" si="7"/>
        <v>6950044</v>
      </c>
      <c r="Z40" s="61">
        <f ca="1">IFERROR(__xludf.DUMMYFUNCTION("VLOOKUP(C40,IMPORTRANGE(""https://docs.google.com/spreadsheets/d/1ZLN5T8y7NSBIP1rvSj6TTUR_vTQbRwUKSt8zZJ_EfE4/edit?gid=461094331#gid=461094331"",""SCHEDULE_SDT_JAN26""),38,0)+VLOOKUP(C40,IMPORTRANGE(""https://docs.google.com/spreadsheets/d/1ZLN5T8y7NSBIP1"&amp;"rvSj6TTUR_vTQbRwUKSt8zZJ_EfE4/edit?gid=461094331#gid=461094331"",""SCHEDULE_SDT_JAN26""),39,0)"),0)</f>
        <v>0</v>
      </c>
      <c r="AA40" s="61">
        <f ca="1">IFERROR(__xludf.DUMMYFUNCTION("VLOOKUP(C40,IMPORTRANGE(""https://docs.google.com/spreadsheets/d/1ZLN5T8y7NSBIP1rvSj6TTUR_vTQbRwUKSt8zZJ_EfE4/edit?gid=461094331#gid=461094331"",""SCHEDULE_SDT_JAN26""),40,0)"),0)</f>
        <v>0</v>
      </c>
      <c r="AB40" s="61">
        <f ca="1">IFERROR(__xludf.DUMMYFUNCTION("VLOOKUP(C40,IMPORTRANGE(""https://docs.google.com/spreadsheets/d/1ZLN5T8y7NSBIP1rvSj6TTUR_vTQbRwUKSt8zZJ_EfE4/edit?gid=461094331#gid=461094331"",""SCHEDULE_SDT_JAN26""),41,0)"),0)</f>
        <v>0</v>
      </c>
      <c r="AC40" s="61">
        <f ca="1">IFERROR(__xludf.DUMMYFUNCTION("VLOOKUP(C40,IMPORTRANGE(""https://docs.google.com/spreadsheets/d/1ZLN5T8y7NSBIP1rvSj6TTUR_vTQbRwUKSt8zZJ_EfE4/edit?gid=461094331#gid=461094331"",""SCHEDULE_SDT_JAN26""),42,0)"),0)</f>
        <v>0</v>
      </c>
      <c r="AD40" s="61">
        <f ca="1">IFERROR(__xludf.DUMMYFUNCTION("VLOOKUP(C40,IMPORTRANGE(""https://docs.google.com/spreadsheets/d/1ZLN5T8y7NSBIP1rvSj6TTUR_vTQbRwUKSt8zZJ_EfE4/edit?gid=461094331#gid=461094331"",""SCHEDULE_SDT_JAN26""),43,0)"),0)</f>
        <v>0</v>
      </c>
      <c r="AE40" s="69">
        <f t="shared" ca="1" si="8"/>
        <v>0</v>
      </c>
      <c r="AF40" s="19">
        <v>468468</v>
      </c>
      <c r="AG40" s="19">
        <v>253500</v>
      </c>
      <c r="AH40" s="69">
        <v>0</v>
      </c>
      <c r="AI40" s="69">
        <v>0</v>
      </c>
      <c r="AJ40" s="69">
        <v>0</v>
      </c>
      <c r="AK40" s="69">
        <f t="shared" si="9"/>
        <v>0</v>
      </c>
      <c r="AL40" s="69">
        <v>0</v>
      </c>
      <c r="AM40" s="69">
        <f t="shared" ca="1" si="10"/>
        <v>721968</v>
      </c>
      <c r="AN40" s="69">
        <f t="shared" ca="1" si="11"/>
        <v>6228076</v>
      </c>
      <c r="AO40" s="69">
        <f t="shared" ca="1" si="12"/>
        <v>33450.061851999999</v>
      </c>
      <c r="AP40" s="69">
        <f t="shared" ca="1" si="13"/>
        <v>6194625.9381480003</v>
      </c>
      <c r="AQ40" s="69">
        <f t="shared" ca="1" si="14"/>
        <v>6194625.9381480003</v>
      </c>
      <c r="AR40" s="69">
        <f t="shared" ca="1" si="15"/>
        <v>6194600</v>
      </c>
      <c r="AS40" s="72"/>
      <c r="AT40" s="73" t="s">
        <v>18</v>
      </c>
      <c r="AU40" s="61" t="s">
        <v>15</v>
      </c>
      <c r="AV40" s="69">
        <f t="shared" si="34"/>
        <v>5729876</v>
      </c>
      <c r="AW40" s="69">
        <f t="shared" ca="1" si="35"/>
        <v>200000</v>
      </c>
      <c r="AX40" s="69">
        <f t="shared" ca="1" si="36"/>
        <v>500000</v>
      </c>
      <c r="AY40" s="69">
        <v>0</v>
      </c>
      <c r="AZ40" s="70">
        <f t="shared" si="37"/>
        <v>13751.702399999998</v>
      </c>
      <c r="BA40" s="69">
        <f t="shared" si="38"/>
        <v>17189.628000000001</v>
      </c>
      <c r="BB40" s="69">
        <f t="shared" si="39"/>
        <v>229195.04</v>
      </c>
      <c r="BC40" s="69">
        <f t="shared" ca="1" si="40"/>
        <v>6690012.3703999994</v>
      </c>
      <c r="BD40" s="74">
        <f ca="1">IF(AU40="C",VLOOKUP(BC40,TER!$J$4:$L$50,3,TRUE),IF(AU40="B",VLOOKUP(BC40,TER!$F$4:$H$50,3,TRUE),IF(AU40="A",VLOOKUP(BC40,TER!$B$4:$D$50,3,TRUE),"ERROR")))</f>
        <v>5.0000000000000001E-3</v>
      </c>
      <c r="BE40" s="69">
        <f t="shared" ca="1" si="41"/>
        <v>33450.061851999999</v>
      </c>
      <c r="BF40" s="113"/>
      <c r="BG40" s="113"/>
    </row>
    <row r="41" spans="1:59" ht="15.75" customHeight="1" outlineLevel="1">
      <c r="A41" s="113"/>
      <c r="B41" s="224">
        <v>33</v>
      </c>
      <c r="C41" s="275" t="s">
        <v>357</v>
      </c>
      <c r="D41" s="66" t="s">
        <v>358</v>
      </c>
      <c r="E41" s="67" t="s">
        <v>57</v>
      </c>
      <c r="F41" s="68" t="s">
        <v>1169</v>
      </c>
      <c r="G41" s="67" t="s">
        <v>31</v>
      </c>
      <c r="H41" s="66" t="s">
        <v>32</v>
      </c>
      <c r="I41" s="69">
        <f t="shared" si="42"/>
        <v>5729876</v>
      </c>
      <c r="J41" s="70">
        <v>316368</v>
      </c>
      <c r="K41" s="70">
        <v>203800</v>
      </c>
      <c r="L41" s="70">
        <v>1000000</v>
      </c>
      <c r="M41" s="69">
        <f t="shared" ca="1" si="1"/>
        <v>47619.047619047618</v>
      </c>
      <c r="N41" s="125">
        <f ca="1">IFERROR(__xludf.DUMMYFUNCTION("VLOOKUP(C41,IMPORTRANGE(""https://docs.google.com/spreadsheets/d/1ZLN5T8y7NSBIP1rvSj6TTUR_vTQbRwUKSt8zZJ_EfE4/edit?gid=461094331#gid=461094331"",""SCHEDULE_SDT_JAN26""),35,0)"),21)</f>
        <v>21</v>
      </c>
      <c r="O41" s="125">
        <f ca="1">IFERROR(__xludf.DUMMYFUNCTION("VLOOKUP(C41,IMPORTRANGE(""https://docs.google.com/spreadsheets/d/1ZLN5T8y7NSBIP1rvSj6TTUR_vTQbRwUKSt8zZJ_EfE4/edit?gid=461094331#gid=461094331"",""SCHEDULE_SDT_JAN26""),34,0)"),21)</f>
        <v>21</v>
      </c>
      <c r="P41" s="61">
        <f t="shared" ca="1" si="2"/>
        <v>1000000</v>
      </c>
      <c r="Q41" s="71"/>
      <c r="R41" s="69">
        <f t="shared" si="3"/>
        <v>7250044</v>
      </c>
      <c r="S41" s="69">
        <f t="shared" si="4"/>
        <v>7250044</v>
      </c>
      <c r="T41" s="61">
        <f t="shared" si="5"/>
        <v>0</v>
      </c>
      <c r="U41" s="70">
        <v>250000</v>
      </c>
      <c r="V41" s="61">
        <f ca="1">IFERROR(__xludf.DUMMYFUNCTION("VLOOKUP(C41,IMPORTRANGE(""https://docs.google.com/spreadsheets/d/1ZLN5T8y7NSBIP1rvSj6TTUR_vTQbRwUKSt8zZJ_EfE4/edit?gid=461094331#gid=461094331"",""SCHEDULE_SDT_JAN26""),36,0)"),1)</f>
        <v>1</v>
      </c>
      <c r="W41" s="69">
        <f t="shared" ca="1" si="6"/>
        <v>250000</v>
      </c>
      <c r="X41" s="89">
        <v>0</v>
      </c>
      <c r="Y41" s="69">
        <f t="shared" ca="1" si="7"/>
        <v>7500044</v>
      </c>
      <c r="Z41" s="61">
        <f ca="1">IFERROR(__xludf.DUMMYFUNCTION("VLOOKUP(C41,IMPORTRANGE(""https://docs.google.com/spreadsheets/d/1ZLN5T8y7NSBIP1rvSj6TTUR_vTQbRwUKSt8zZJ_EfE4/edit?gid=461094331#gid=461094331"",""SCHEDULE_SDT_JAN26""),38,0)+VLOOKUP(C41,IMPORTRANGE(""https://docs.google.com/spreadsheets/d/1ZLN5T8y7NSBIP1"&amp;"rvSj6TTUR_vTQbRwUKSt8zZJ_EfE4/edit?gid=461094331#gid=461094331"",""SCHEDULE_SDT_JAN26""),39,0)"),0)</f>
        <v>0</v>
      </c>
      <c r="AA41" s="61">
        <f ca="1">IFERROR(__xludf.DUMMYFUNCTION("VLOOKUP(C41,IMPORTRANGE(""https://docs.google.com/spreadsheets/d/1ZLN5T8y7NSBIP1rvSj6TTUR_vTQbRwUKSt8zZJ_EfE4/edit?gid=461094331#gid=461094331"",""SCHEDULE_SDT_JAN26""),40,0)"),0)</f>
        <v>0</v>
      </c>
      <c r="AB41" s="61">
        <f ca="1">IFERROR(__xludf.DUMMYFUNCTION("VLOOKUP(C41,IMPORTRANGE(""https://docs.google.com/spreadsheets/d/1ZLN5T8y7NSBIP1rvSj6TTUR_vTQbRwUKSt8zZJ_EfE4/edit?gid=461094331#gid=461094331"",""SCHEDULE_SDT_JAN26""),41,0)"),0)</f>
        <v>0</v>
      </c>
      <c r="AC41" s="61">
        <f ca="1">IFERROR(__xludf.DUMMYFUNCTION("VLOOKUP(C41,IMPORTRANGE(""https://docs.google.com/spreadsheets/d/1ZLN5T8y7NSBIP1rvSj6TTUR_vTQbRwUKSt8zZJ_EfE4/edit?gid=461094331#gid=461094331"",""SCHEDULE_SDT_JAN26""),42,0)"),0)</f>
        <v>0</v>
      </c>
      <c r="AD41" s="61">
        <f ca="1">IFERROR(__xludf.DUMMYFUNCTION("VLOOKUP(C41,IMPORTRANGE(""https://docs.google.com/spreadsheets/d/1ZLN5T8y7NSBIP1rvSj6TTUR_vTQbRwUKSt8zZJ_EfE4/edit?gid=461094331#gid=461094331"",""SCHEDULE_SDT_JAN26""),43,0)"),0)</f>
        <v>0</v>
      </c>
      <c r="AE41" s="69">
        <f t="shared" ca="1" si="8"/>
        <v>0</v>
      </c>
      <c r="AF41" s="19">
        <v>468468</v>
      </c>
      <c r="AG41" s="19">
        <v>253500</v>
      </c>
      <c r="AH41" s="69">
        <v>0</v>
      </c>
      <c r="AI41" s="69">
        <v>0</v>
      </c>
      <c r="AJ41" s="69">
        <v>0</v>
      </c>
      <c r="AK41" s="69">
        <f t="shared" si="9"/>
        <v>0</v>
      </c>
      <c r="AL41" s="69">
        <v>0</v>
      </c>
      <c r="AM41" s="69">
        <f t="shared" ca="1" si="10"/>
        <v>721968</v>
      </c>
      <c r="AN41" s="69">
        <f t="shared" ca="1" si="11"/>
        <v>6778076</v>
      </c>
      <c r="AO41" s="69">
        <f t="shared" ca="1" si="12"/>
        <v>54300.092777999991</v>
      </c>
      <c r="AP41" s="69">
        <f t="shared" ca="1" si="13"/>
        <v>6723775.907222</v>
      </c>
      <c r="AQ41" s="69">
        <f t="shared" ca="1" si="14"/>
        <v>6723775.907222</v>
      </c>
      <c r="AR41" s="69">
        <f t="shared" ca="1" si="15"/>
        <v>6723800</v>
      </c>
      <c r="AS41" s="72"/>
      <c r="AT41" s="73" t="s">
        <v>18</v>
      </c>
      <c r="AU41" s="61" t="s">
        <v>15</v>
      </c>
      <c r="AV41" s="69">
        <f t="shared" si="34"/>
        <v>5729876</v>
      </c>
      <c r="AW41" s="69">
        <f t="shared" ca="1" si="35"/>
        <v>1000000</v>
      </c>
      <c r="AX41" s="69">
        <f t="shared" ca="1" si="36"/>
        <v>250000</v>
      </c>
      <c r="AY41" s="69">
        <v>0</v>
      </c>
      <c r="AZ41" s="70">
        <f t="shared" si="37"/>
        <v>13751.702399999998</v>
      </c>
      <c r="BA41" s="69">
        <f t="shared" si="38"/>
        <v>17189.628000000001</v>
      </c>
      <c r="BB41" s="69">
        <f t="shared" si="39"/>
        <v>229195.04</v>
      </c>
      <c r="BC41" s="69">
        <f t="shared" ca="1" si="40"/>
        <v>7240012.3703999994</v>
      </c>
      <c r="BD41" s="74">
        <f ca="1">IF(AU41="C",VLOOKUP(BC41,TER!$J$4:$L$50,3,TRUE),IF(AU41="B",VLOOKUP(BC41,TER!$F$4:$H$50,3,TRUE),IF(AU41="A",VLOOKUP(BC41,TER!$B$4:$D$50,3,TRUE),"ERROR")))</f>
        <v>7.4999999999999997E-3</v>
      </c>
      <c r="BE41" s="69">
        <f t="shared" ca="1" si="41"/>
        <v>54300.092777999991</v>
      </c>
      <c r="BF41" s="113"/>
      <c r="BG41" s="113"/>
    </row>
    <row r="42" spans="1:59" ht="15.75" customHeight="1" outlineLevel="1">
      <c r="A42" s="113"/>
      <c r="B42" s="224">
        <v>34</v>
      </c>
      <c r="C42" s="67" t="s">
        <v>359</v>
      </c>
      <c r="D42" s="66" t="s">
        <v>360</v>
      </c>
      <c r="E42" s="67" t="s">
        <v>57</v>
      </c>
      <c r="F42" s="68" t="s">
        <v>1170</v>
      </c>
      <c r="G42" s="67" t="s">
        <v>31</v>
      </c>
      <c r="H42" s="66" t="s">
        <v>32</v>
      </c>
      <c r="I42" s="69">
        <f t="shared" si="42"/>
        <v>5729876</v>
      </c>
      <c r="J42" s="70">
        <v>316368</v>
      </c>
      <c r="K42" s="70">
        <v>203800</v>
      </c>
      <c r="L42" s="70">
        <v>100000</v>
      </c>
      <c r="M42" s="69">
        <f t="shared" ca="1" si="1"/>
        <v>5000</v>
      </c>
      <c r="N42" s="125">
        <f ca="1">IFERROR(__xludf.DUMMYFUNCTION("VLOOKUP(C42,IMPORTRANGE(""https://docs.google.com/spreadsheets/d/1ZLN5T8y7NSBIP1rvSj6TTUR_vTQbRwUKSt8zZJ_EfE4/edit?gid=461094331#gid=461094331"",""SCHEDULE_SDT_JAN26""),35,0)"),20)</f>
        <v>20</v>
      </c>
      <c r="O42" s="125">
        <f ca="1">IFERROR(__xludf.DUMMYFUNCTION("VLOOKUP(C42,IMPORTRANGE(""https://docs.google.com/spreadsheets/d/1ZLN5T8y7NSBIP1rvSj6TTUR_vTQbRwUKSt8zZJ_EfE4/edit?gid=461094331#gid=461094331"",""SCHEDULE_SDT_JAN26""),34,0)"),20)</f>
        <v>20</v>
      </c>
      <c r="P42" s="61">
        <f t="shared" ca="1" si="2"/>
        <v>100000</v>
      </c>
      <c r="Q42" s="71"/>
      <c r="R42" s="69">
        <f t="shared" si="3"/>
        <v>6350044</v>
      </c>
      <c r="S42" s="69">
        <f t="shared" si="4"/>
        <v>6350044</v>
      </c>
      <c r="T42" s="61">
        <f t="shared" si="5"/>
        <v>0</v>
      </c>
      <c r="U42" s="70">
        <v>250000</v>
      </c>
      <c r="V42" s="61">
        <f ca="1">IFERROR(__xludf.DUMMYFUNCTION("VLOOKUP(C42,IMPORTRANGE(""https://docs.google.com/spreadsheets/d/1ZLN5T8y7NSBIP1rvSj6TTUR_vTQbRwUKSt8zZJ_EfE4/edit?gid=461094331#gid=461094331"",""SCHEDULE_SDT_JAN26""),36,0)"),2)</f>
        <v>2</v>
      </c>
      <c r="W42" s="69">
        <f t="shared" ca="1" si="6"/>
        <v>500000</v>
      </c>
      <c r="X42" s="89">
        <v>0</v>
      </c>
      <c r="Y42" s="69">
        <f t="shared" ca="1" si="7"/>
        <v>6850044</v>
      </c>
      <c r="Z42" s="61">
        <f ca="1">IFERROR(__xludf.DUMMYFUNCTION("VLOOKUP(C42,IMPORTRANGE(""https://docs.google.com/spreadsheets/d/1ZLN5T8y7NSBIP1rvSj6TTUR_vTQbRwUKSt8zZJ_EfE4/edit?gid=461094331#gid=461094331"",""SCHEDULE_SDT_JAN26""),38,0)+VLOOKUP(C42,IMPORTRANGE(""https://docs.google.com/spreadsheets/d/1ZLN5T8y7NSBIP1"&amp;"rvSj6TTUR_vTQbRwUKSt8zZJ_EfE4/edit?gid=461094331#gid=461094331"",""SCHEDULE_SDT_JAN26""),39,0)"),0)</f>
        <v>0</v>
      </c>
      <c r="AA42" s="61">
        <f ca="1">IFERROR(__xludf.DUMMYFUNCTION("VLOOKUP(C42,IMPORTRANGE(""https://docs.google.com/spreadsheets/d/1ZLN5T8y7NSBIP1rvSj6TTUR_vTQbRwUKSt8zZJ_EfE4/edit?gid=461094331#gid=461094331"",""SCHEDULE_SDT_JAN26""),40,0)"),0)</f>
        <v>0</v>
      </c>
      <c r="AB42" s="61">
        <f ca="1">IFERROR(__xludf.DUMMYFUNCTION("VLOOKUP(C42,IMPORTRANGE(""https://docs.google.com/spreadsheets/d/1ZLN5T8y7NSBIP1rvSj6TTUR_vTQbRwUKSt8zZJ_EfE4/edit?gid=461094331#gid=461094331"",""SCHEDULE_SDT_JAN26""),41,0)"),0)</f>
        <v>0</v>
      </c>
      <c r="AC42" s="61">
        <f ca="1">IFERROR(__xludf.DUMMYFUNCTION("VLOOKUP(C42,IMPORTRANGE(""https://docs.google.com/spreadsheets/d/1ZLN5T8y7NSBIP1rvSj6TTUR_vTQbRwUKSt8zZJ_EfE4/edit?gid=461094331#gid=461094331"",""SCHEDULE_SDT_JAN26""),42,0)"),0)</f>
        <v>0</v>
      </c>
      <c r="AD42" s="61">
        <f ca="1">IFERROR(__xludf.DUMMYFUNCTION("VLOOKUP(C42,IMPORTRANGE(""https://docs.google.com/spreadsheets/d/1ZLN5T8y7NSBIP1rvSj6TTUR_vTQbRwUKSt8zZJ_EfE4/edit?gid=461094331#gid=461094331"",""SCHEDULE_SDT_JAN26""),43,0)"),0)</f>
        <v>0</v>
      </c>
      <c r="AE42" s="69">
        <f t="shared" ca="1" si="8"/>
        <v>0</v>
      </c>
      <c r="AF42" s="19">
        <v>468468</v>
      </c>
      <c r="AG42" s="19">
        <v>253500</v>
      </c>
      <c r="AH42" s="69">
        <v>0</v>
      </c>
      <c r="AI42" s="69">
        <v>0</v>
      </c>
      <c r="AJ42" s="69">
        <v>0</v>
      </c>
      <c r="AK42" s="69">
        <f t="shared" si="9"/>
        <v>0</v>
      </c>
      <c r="AL42" s="69">
        <v>0</v>
      </c>
      <c r="AM42" s="69">
        <f t="shared" ca="1" si="10"/>
        <v>721968</v>
      </c>
      <c r="AN42" s="69">
        <f t="shared" ca="1" si="11"/>
        <v>6128076</v>
      </c>
      <c r="AO42" s="69">
        <f t="shared" ca="1" si="12"/>
        <v>65900.123703999998</v>
      </c>
      <c r="AP42" s="69">
        <f t="shared" ca="1" si="13"/>
        <v>6062175.8762959996</v>
      </c>
      <c r="AQ42" s="69">
        <f t="shared" ca="1" si="14"/>
        <v>6062175.8762959996</v>
      </c>
      <c r="AR42" s="69">
        <f t="shared" ca="1" si="15"/>
        <v>6062200</v>
      </c>
      <c r="AS42" s="72"/>
      <c r="AT42" s="73" t="s">
        <v>9</v>
      </c>
      <c r="AU42" s="61" t="s">
        <v>10</v>
      </c>
      <c r="AV42" s="69">
        <f t="shared" si="34"/>
        <v>5729876</v>
      </c>
      <c r="AW42" s="69">
        <f t="shared" ca="1" si="35"/>
        <v>100000</v>
      </c>
      <c r="AX42" s="69">
        <f t="shared" ca="1" si="36"/>
        <v>500000</v>
      </c>
      <c r="AY42" s="69">
        <v>0</v>
      </c>
      <c r="AZ42" s="70">
        <f t="shared" si="37"/>
        <v>13751.702399999998</v>
      </c>
      <c r="BA42" s="69">
        <f t="shared" si="38"/>
        <v>17189.628000000001</v>
      </c>
      <c r="BB42" s="69">
        <f t="shared" si="39"/>
        <v>229195.04</v>
      </c>
      <c r="BC42" s="69">
        <f t="shared" ca="1" si="40"/>
        <v>6590012.3703999994</v>
      </c>
      <c r="BD42" s="74">
        <f ca="1">IF(AU42="C",VLOOKUP(BC42,TER!$J$4:$L$50,3,TRUE),IF(AU42="B",VLOOKUP(BC42,TER!$F$4:$H$50,3,TRUE),IF(AU42="A",VLOOKUP(BC42,TER!$B$4:$D$50,3,TRUE),"ERROR")))</f>
        <v>0.01</v>
      </c>
      <c r="BE42" s="69">
        <f t="shared" ca="1" si="41"/>
        <v>65900.123703999998</v>
      </c>
      <c r="BF42" s="113"/>
      <c r="BG42" s="113"/>
    </row>
    <row r="43" spans="1:59" ht="15.75" customHeight="1" outlineLevel="1">
      <c r="A43" s="113"/>
      <c r="B43" s="224">
        <v>35</v>
      </c>
      <c r="C43" s="67" t="s">
        <v>361</v>
      </c>
      <c r="D43" s="66" t="s">
        <v>362</v>
      </c>
      <c r="E43" s="67" t="s">
        <v>57</v>
      </c>
      <c r="F43" s="68" t="s">
        <v>1171</v>
      </c>
      <c r="G43" s="67" t="s">
        <v>31</v>
      </c>
      <c r="H43" s="66" t="s">
        <v>32</v>
      </c>
      <c r="I43" s="69">
        <f t="shared" si="42"/>
        <v>5729876</v>
      </c>
      <c r="J43" s="70">
        <v>316368</v>
      </c>
      <c r="K43" s="70">
        <v>0</v>
      </c>
      <c r="L43" s="70">
        <v>100000</v>
      </c>
      <c r="M43" s="69">
        <f t="shared" ca="1" si="1"/>
        <v>5000</v>
      </c>
      <c r="N43" s="125">
        <f ca="1">IFERROR(__xludf.DUMMYFUNCTION("VLOOKUP(C43,IMPORTRANGE(""https://docs.google.com/spreadsheets/d/1ZLN5T8y7NSBIP1rvSj6TTUR_vTQbRwUKSt8zZJ_EfE4/edit?gid=461094331#gid=461094331"",""SCHEDULE_SDT_JAN26""),35,0)"),20)</f>
        <v>20</v>
      </c>
      <c r="O43" s="125">
        <f ca="1">IFERROR(__xludf.DUMMYFUNCTION("VLOOKUP(C43,IMPORTRANGE(""https://docs.google.com/spreadsheets/d/1ZLN5T8y7NSBIP1rvSj6TTUR_vTQbRwUKSt8zZJ_EfE4/edit?gid=461094331#gid=461094331"",""SCHEDULE_SDT_JAN26""),34,0)"),20)</f>
        <v>20</v>
      </c>
      <c r="P43" s="61">
        <f t="shared" ca="1" si="2"/>
        <v>100000</v>
      </c>
      <c r="Q43" s="71"/>
      <c r="R43" s="69">
        <f t="shared" si="3"/>
        <v>6146244</v>
      </c>
      <c r="S43" s="69">
        <f t="shared" si="4"/>
        <v>6146244</v>
      </c>
      <c r="T43" s="61">
        <f t="shared" si="5"/>
        <v>0</v>
      </c>
      <c r="U43" s="70">
        <v>250000</v>
      </c>
      <c r="V43" s="61">
        <f ca="1">IFERROR(__xludf.DUMMYFUNCTION("VLOOKUP(C43,IMPORTRANGE(""https://docs.google.com/spreadsheets/d/1ZLN5T8y7NSBIP1rvSj6TTUR_vTQbRwUKSt8zZJ_EfE4/edit?gid=461094331#gid=461094331"",""SCHEDULE_SDT_JAN26""),36,0)"),1)</f>
        <v>1</v>
      </c>
      <c r="W43" s="69">
        <f t="shared" ca="1" si="6"/>
        <v>250000</v>
      </c>
      <c r="X43" s="89">
        <v>0</v>
      </c>
      <c r="Y43" s="69">
        <f t="shared" ca="1" si="7"/>
        <v>6396244</v>
      </c>
      <c r="Z43" s="61">
        <f ca="1">IFERROR(__xludf.DUMMYFUNCTION("VLOOKUP(C43,IMPORTRANGE(""https://docs.google.com/spreadsheets/d/1ZLN5T8y7NSBIP1rvSj6TTUR_vTQbRwUKSt8zZJ_EfE4/edit?gid=461094331#gid=461094331"",""SCHEDULE_SDT_JAN26""),38,0)+VLOOKUP(C43,IMPORTRANGE(""https://docs.google.com/spreadsheets/d/1ZLN5T8y7NSBIP1"&amp;"rvSj6TTUR_vTQbRwUKSt8zZJ_EfE4/edit?gid=461094331#gid=461094331"",""SCHEDULE_SDT_JAN26""),39,0)"),0)</f>
        <v>0</v>
      </c>
      <c r="AA43" s="61">
        <f ca="1">IFERROR(__xludf.DUMMYFUNCTION("VLOOKUP(C43,IMPORTRANGE(""https://docs.google.com/spreadsheets/d/1ZLN5T8y7NSBIP1rvSj6TTUR_vTQbRwUKSt8zZJ_EfE4/edit?gid=461094331#gid=461094331"",""SCHEDULE_SDT_JAN26""),40,0)"),0)</f>
        <v>0</v>
      </c>
      <c r="AB43" s="61">
        <f ca="1">IFERROR(__xludf.DUMMYFUNCTION("VLOOKUP(C43,IMPORTRANGE(""https://docs.google.com/spreadsheets/d/1ZLN5T8y7NSBIP1rvSj6TTUR_vTQbRwUKSt8zZJ_EfE4/edit?gid=461094331#gid=461094331"",""SCHEDULE_SDT_JAN26""),41,0)"),0)</f>
        <v>0</v>
      </c>
      <c r="AC43" s="61">
        <f ca="1">IFERROR(__xludf.DUMMYFUNCTION("VLOOKUP(C43,IMPORTRANGE(""https://docs.google.com/spreadsheets/d/1ZLN5T8y7NSBIP1rvSj6TTUR_vTQbRwUKSt8zZJ_EfE4/edit?gid=461094331#gid=461094331"",""SCHEDULE_SDT_JAN26""),42,0)"),0)</f>
        <v>0</v>
      </c>
      <c r="AD43" s="61">
        <f ca="1">IFERROR(__xludf.DUMMYFUNCTION("VLOOKUP(C43,IMPORTRANGE(""https://docs.google.com/spreadsheets/d/1ZLN5T8y7NSBIP1rvSj6TTUR_vTQbRwUKSt8zZJ_EfE4/edit?gid=461094331#gid=461094331"",""SCHEDULE_SDT_JAN26""),43,0)"),0)</f>
        <v>0</v>
      </c>
      <c r="AE43" s="69">
        <f t="shared" ca="1" si="8"/>
        <v>0</v>
      </c>
      <c r="AF43" s="19">
        <v>468468</v>
      </c>
      <c r="AG43" s="20">
        <v>0</v>
      </c>
      <c r="AH43" s="69">
        <v>0</v>
      </c>
      <c r="AI43" s="69">
        <v>0</v>
      </c>
      <c r="AJ43" s="69">
        <v>0</v>
      </c>
      <c r="AK43" s="69">
        <f t="shared" si="9"/>
        <v>0</v>
      </c>
      <c r="AL43" s="69">
        <v>0</v>
      </c>
      <c r="AM43" s="69">
        <f t="shared" ca="1" si="10"/>
        <v>468468</v>
      </c>
      <c r="AN43" s="69">
        <f t="shared" ca="1" si="11"/>
        <v>5927776</v>
      </c>
      <c r="AO43" s="69">
        <f t="shared" ca="1" si="12"/>
        <v>45831.129977999997</v>
      </c>
      <c r="AP43" s="69">
        <f t="shared" ca="1" si="13"/>
        <v>5881944.8700219998</v>
      </c>
      <c r="AQ43" s="69">
        <f t="shared" ca="1" si="14"/>
        <v>5881944.8700219998</v>
      </c>
      <c r="AR43" s="69">
        <f t="shared" ca="1" si="15"/>
        <v>5881900</v>
      </c>
      <c r="AS43" s="72"/>
      <c r="AT43" s="73" t="s">
        <v>9</v>
      </c>
      <c r="AU43" s="61" t="s">
        <v>10</v>
      </c>
      <c r="AV43" s="69">
        <f t="shared" si="34"/>
        <v>5729876</v>
      </c>
      <c r="AW43" s="69">
        <f t="shared" ca="1" si="35"/>
        <v>100000</v>
      </c>
      <c r="AX43" s="69">
        <f t="shared" ca="1" si="36"/>
        <v>250000</v>
      </c>
      <c r="AY43" s="69">
        <v>0</v>
      </c>
      <c r="AZ43" s="70">
        <f t="shared" si="37"/>
        <v>13751.702399999998</v>
      </c>
      <c r="BA43" s="69">
        <f t="shared" si="38"/>
        <v>17189.628000000001</v>
      </c>
      <c r="BB43" s="69">
        <f t="shared" si="39"/>
        <v>0</v>
      </c>
      <c r="BC43" s="69">
        <f t="shared" ca="1" si="40"/>
        <v>6110817.3303999994</v>
      </c>
      <c r="BD43" s="74">
        <f ca="1">IF(AU43="C",VLOOKUP(BC43,TER!$J$4:$L$50,3,TRUE),IF(AU43="B",VLOOKUP(BC43,TER!$F$4:$H$50,3,TRUE),IF(AU43="A",VLOOKUP(BC43,TER!$B$4:$D$50,3,TRUE),"ERROR")))</f>
        <v>7.4999999999999997E-3</v>
      </c>
      <c r="BE43" s="69">
        <f t="shared" ca="1" si="41"/>
        <v>45831.129977999997</v>
      </c>
      <c r="BF43" s="113"/>
      <c r="BG43" s="113"/>
    </row>
    <row r="44" spans="1:59" ht="15.75" customHeight="1" outlineLevel="1">
      <c r="A44" s="113"/>
      <c r="B44" s="224">
        <v>36</v>
      </c>
      <c r="C44" s="275" t="s">
        <v>363</v>
      </c>
      <c r="D44" s="66" t="s">
        <v>364</v>
      </c>
      <c r="E44" s="67" t="s">
        <v>57</v>
      </c>
      <c r="F44" s="68" t="s">
        <v>1172</v>
      </c>
      <c r="G44" s="67" t="s">
        <v>31</v>
      </c>
      <c r="H44" s="66" t="s">
        <v>32</v>
      </c>
      <c r="I44" s="69">
        <f t="shared" si="42"/>
        <v>5729876</v>
      </c>
      <c r="J44" s="70">
        <v>316368</v>
      </c>
      <c r="K44" s="70">
        <v>203800</v>
      </c>
      <c r="L44" s="70">
        <v>200000</v>
      </c>
      <c r="M44" s="69">
        <f t="shared" ca="1" si="1"/>
        <v>9523.8095238095229</v>
      </c>
      <c r="N44" s="125">
        <f ca="1">IFERROR(__xludf.DUMMYFUNCTION("VLOOKUP(C44,IMPORTRANGE(""https://docs.google.com/spreadsheets/d/1ZLN5T8y7NSBIP1rvSj6TTUR_vTQbRwUKSt8zZJ_EfE4/edit?gid=461094331#gid=461094331"",""SCHEDULE_SDT_JAN26""),35,0)"),17)</f>
        <v>17</v>
      </c>
      <c r="O44" s="125">
        <f ca="1">IFERROR(__xludf.DUMMYFUNCTION("VLOOKUP(C44,IMPORTRANGE(""https://docs.google.com/spreadsheets/d/1ZLN5T8y7NSBIP1rvSj6TTUR_vTQbRwUKSt8zZJ_EfE4/edit?gid=461094331#gid=461094331"",""SCHEDULE_SDT_JAN26""),34,0)"),21)</f>
        <v>21</v>
      </c>
      <c r="P44" s="61">
        <f t="shared" ca="1" si="2"/>
        <v>161904.76190476189</v>
      </c>
      <c r="Q44" s="71"/>
      <c r="R44" s="69">
        <f t="shared" si="3"/>
        <v>6450044</v>
      </c>
      <c r="S44" s="69">
        <f t="shared" si="4"/>
        <v>6450044</v>
      </c>
      <c r="T44" s="61">
        <f t="shared" si="5"/>
        <v>0</v>
      </c>
      <c r="U44" s="70">
        <v>250000</v>
      </c>
      <c r="V44" s="61">
        <f ca="1">IFERROR(__xludf.DUMMYFUNCTION("VLOOKUP(C44,IMPORTRANGE(""https://docs.google.com/spreadsheets/d/1ZLN5T8y7NSBIP1rvSj6TTUR_vTQbRwUKSt8zZJ_EfE4/edit?gid=461094331#gid=461094331"",""SCHEDULE_SDT_JAN26""),36,0)"),1)</f>
        <v>1</v>
      </c>
      <c r="W44" s="69">
        <f t="shared" ca="1" si="6"/>
        <v>250000</v>
      </c>
      <c r="X44" s="89">
        <v>0</v>
      </c>
      <c r="Y44" s="69">
        <f t="shared" ca="1" si="7"/>
        <v>6661948.7619047621</v>
      </c>
      <c r="Z44" s="61">
        <f ca="1">IFERROR(__xludf.DUMMYFUNCTION("VLOOKUP(C44,IMPORTRANGE(""https://docs.google.com/spreadsheets/d/1ZLN5T8y7NSBIP1rvSj6TTUR_vTQbRwUKSt8zZJ_EfE4/edit?gid=461094331#gid=461094331"",""SCHEDULE_SDT_JAN26""),38,0)+VLOOKUP(C44,IMPORTRANGE(""https://docs.google.com/spreadsheets/d/1ZLN5T8y7NSBIP1"&amp;"rvSj6TTUR_vTQbRwUKSt8zZJ_EfE4/edit?gid=461094331#gid=461094331"",""SCHEDULE_SDT_JAN26""),39,0)"),0)</f>
        <v>0</v>
      </c>
      <c r="AA44" s="61">
        <f ca="1">IFERROR(__xludf.DUMMYFUNCTION("VLOOKUP(C44,IMPORTRANGE(""https://docs.google.com/spreadsheets/d/1ZLN5T8y7NSBIP1rvSj6TTUR_vTQbRwUKSt8zZJ_EfE4/edit?gid=461094331#gid=461094331"",""SCHEDULE_SDT_JAN26""),40,0)"),0)</f>
        <v>0</v>
      </c>
      <c r="AB44" s="61">
        <f ca="1">IFERROR(__xludf.DUMMYFUNCTION("VLOOKUP(C44,IMPORTRANGE(""https://docs.google.com/spreadsheets/d/1ZLN5T8y7NSBIP1rvSj6TTUR_vTQbRwUKSt8zZJ_EfE4/edit?gid=461094331#gid=461094331"",""SCHEDULE_SDT_JAN26""),41,0)"),0)</f>
        <v>0</v>
      </c>
      <c r="AC44" s="61">
        <f ca="1">IFERROR(__xludf.DUMMYFUNCTION("VLOOKUP(C44,IMPORTRANGE(""https://docs.google.com/spreadsheets/d/1ZLN5T8y7NSBIP1rvSj6TTUR_vTQbRwUKSt8zZJ_EfE4/edit?gid=461094331#gid=461094331"",""SCHEDULE_SDT_JAN26""),42,0)"),0)</f>
        <v>0</v>
      </c>
      <c r="AD44" s="61">
        <f ca="1">IFERROR(__xludf.DUMMYFUNCTION("VLOOKUP(C44,IMPORTRANGE(""https://docs.google.com/spreadsheets/d/1ZLN5T8y7NSBIP1rvSj6TTUR_vTQbRwUKSt8zZJ_EfE4/edit?gid=461094331#gid=461094331"",""SCHEDULE_SDT_JAN26""),43,0)"),0)</f>
        <v>0</v>
      </c>
      <c r="AE44" s="69">
        <f t="shared" ca="1" si="8"/>
        <v>0</v>
      </c>
      <c r="AF44" s="19">
        <v>468468</v>
      </c>
      <c r="AG44" s="19">
        <v>253500</v>
      </c>
      <c r="AH44" s="69">
        <v>0</v>
      </c>
      <c r="AI44" s="69">
        <v>0</v>
      </c>
      <c r="AJ44" s="69">
        <v>0</v>
      </c>
      <c r="AK44" s="69">
        <f t="shared" si="9"/>
        <v>0</v>
      </c>
      <c r="AL44" s="69">
        <v>0</v>
      </c>
      <c r="AM44" s="69">
        <f t="shared" ca="1" si="10"/>
        <v>721968</v>
      </c>
      <c r="AN44" s="69">
        <f t="shared" ca="1" si="11"/>
        <v>5939980.7619047621</v>
      </c>
      <c r="AO44" s="69">
        <f t="shared" ca="1" si="12"/>
        <v>64019.171323047616</v>
      </c>
      <c r="AP44" s="69">
        <f t="shared" ca="1" si="13"/>
        <v>5875961.5905817142</v>
      </c>
      <c r="AQ44" s="69">
        <f t="shared" ca="1" si="14"/>
        <v>5875961.5905817142</v>
      </c>
      <c r="AR44" s="69">
        <f t="shared" ca="1" si="15"/>
        <v>5876000</v>
      </c>
      <c r="AS44" s="72"/>
      <c r="AT44" s="73" t="s">
        <v>9</v>
      </c>
      <c r="AU44" s="61" t="s">
        <v>10</v>
      </c>
      <c r="AV44" s="69">
        <f t="shared" si="34"/>
        <v>5729876</v>
      </c>
      <c r="AW44" s="69">
        <f t="shared" ca="1" si="35"/>
        <v>161904.76190476189</v>
      </c>
      <c r="AX44" s="69">
        <f t="shared" ca="1" si="36"/>
        <v>250000</v>
      </c>
      <c r="AY44" s="69">
        <v>0</v>
      </c>
      <c r="AZ44" s="70">
        <f t="shared" si="37"/>
        <v>13751.702399999998</v>
      </c>
      <c r="BA44" s="69">
        <f t="shared" si="38"/>
        <v>17189.628000000001</v>
      </c>
      <c r="BB44" s="69">
        <f t="shared" si="39"/>
        <v>229195.04</v>
      </c>
      <c r="BC44" s="69">
        <f t="shared" ca="1" si="40"/>
        <v>6401917.1323047616</v>
      </c>
      <c r="BD44" s="74">
        <f ca="1">IF(AU44="C",VLOOKUP(BC44,TER!$J$4:$L$50,3,TRUE),IF(AU44="B",VLOOKUP(BC44,TER!$F$4:$H$50,3,TRUE),IF(AU44="A",VLOOKUP(BC44,TER!$B$4:$D$50,3,TRUE),"ERROR")))</f>
        <v>0.01</v>
      </c>
      <c r="BE44" s="69">
        <f t="shared" ca="1" si="41"/>
        <v>64019.171323047616</v>
      </c>
      <c r="BF44" s="113"/>
      <c r="BG44" s="113"/>
    </row>
    <row r="45" spans="1:59" ht="15.75" customHeight="1" outlineLevel="1">
      <c r="A45" s="113"/>
      <c r="B45" s="373" t="s">
        <v>1354</v>
      </c>
      <c r="C45" s="394" t="s">
        <v>1336</v>
      </c>
      <c r="D45" s="390" t="s">
        <v>364</v>
      </c>
      <c r="E45" s="376" t="s">
        <v>57</v>
      </c>
      <c r="F45" s="377" t="s">
        <v>1337</v>
      </c>
      <c r="G45" s="397" t="s">
        <v>1118</v>
      </c>
      <c r="H45" s="392" t="s">
        <v>602</v>
      </c>
      <c r="I45" s="380"/>
      <c r="J45" s="385"/>
      <c r="K45" s="385"/>
      <c r="L45" s="381">
        <v>2000000</v>
      </c>
      <c r="M45" s="380">
        <f t="shared" si="1"/>
        <v>95238.095238095237</v>
      </c>
      <c r="N45" s="382">
        <f ca="1">IFERROR(__xludf.DUMMYFUNCTION("VLOOKUP(C45,IMPORTRANGE(""https://docs.google.com/spreadsheets/d/1ZLN5T8y7NSBIP1rvSj6TTUR_vTQbRwUKSt8zZJ_EfE4/edit?gid=461094331#gid=461094331"",""SCHEDULE_SDT_JAN26""),35,0)"),4)</f>
        <v>4</v>
      </c>
      <c r="O45" s="382">
        <v>21</v>
      </c>
      <c r="P45" s="383">
        <f t="shared" ca="1" si="2"/>
        <v>380952.38095238095</v>
      </c>
      <c r="Q45" s="384"/>
      <c r="R45" s="380">
        <f t="shared" si="3"/>
        <v>2000000</v>
      </c>
      <c r="S45" s="380">
        <f t="shared" si="4"/>
        <v>2000000</v>
      </c>
      <c r="T45" s="383">
        <f t="shared" si="5"/>
        <v>0</v>
      </c>
      <c r="U45" s="385">
        <v>250000</v>
      </c>
      <c r="V45" s="383">
        <f ca="1">IFERROR(__xludf.DUMMYFUNCTION("VLOOKUP(C45,IMPORTRANGE(""https://docs.google.com/spreadsheets/d/1ZLN5T8y7NSBIP1rvSj6TTUR_vTQbRwUKSt8zZJ_EfE4/edit?gid=461094331#gid=461094331"",""SCHEDULE_SDT_JAN26""),36,0)"),0)</f>
        <v>0</v>
      </c>
      <c r="W45" s="380">
        <f t="shared" ca="1" si="6"/>
        <v>0</v>
      </c>
      <c r="X45" s="395">
        <v>0</v>
      </c>
      <c r="Y45" s="380">
        <f t="shared" ca="1" si="7"/>
        <v>380952.38095238095</v>
      </c>
      <c r="Z45" s="383">
        <f ca="1">IFERROR(__xludf.DUMMYFUNCTION("VLOOKUP(C45,IMPORTRANGE(""https://docs.google.com/spreadsheets/d/1ZLN5T8y7NSBIP1rvSj6TTUR_vTQbRwUKSt8zZJ_EfE4/edit?gid=461094331#gid=461094331"",""SCHEDULE_SDT_JAN26""),38,0)+VLOOKUP(C45,IMPORTRANGE(""https://docs.google.com/spreadsheets/d/1ZLN5T8y7NSBIP1"&amp;"rvSj6TTUR_vTQbRwUKSt8zZJ_EfE4/edit?gid=461094331#gid=461094331"",""SCHEDULE_SDT_JAN26""),39,0)"),0)</f>
        <v>0</v>
      </c>
      <c r="AA45" s="383">
        <f ca="1">IFERROR(__xludf.DUMMYFUNCTION("VLOOKUP(C45,IMPORTRANGE(""https://docs.google.com/spreadsheets/d/1ZLN5T8y7NSBIP1rvSj6TTUR_vTQbRwUKSt8zZJ_EfE4/edit?gid=461094331#gid=461094331"",""SCHEDULE_SDT_JAN26""),40,0)"),0)</f>
        <v>0</v>
      </c>
      <c r="AB45" s="383">
        <f ca="1">IFERROR(__xludf.DUMMYFUNCTION("VLOOKUP(C45,IMPORTRANGE(""https://docs.google.com/spreadsheets/d/1ZLN5T8y7NSBIP1rvSj6TTUR_vTQbRwUKSt8zZJ_EfE4/edit?gid=461094331#gid=461094331"",""SCHEDULE_SDT_JAN26""),41,0)"),0)</f>
        <v>0</v>
      </c>
      <c r="AC45" s="383">
        <f ca="1">IFERROR(__xludf.DUMMYFUNCTION("VLOOKUP(C45,IMPORTRANGE(""https://docs.google.com/spreadsheets/d/1ZLN5T8y7NSBIP1rvSj6TTUR_vTQbRwUKSt8zZJ_EfE4/edit?gid=461094331#gid=461094331"",""SCHEDULE_SDT_JAN26""),42,0)"),0)</f>
        <v>0</v>
      </c>
      <c r="AD45" s="383">
        <f ca="1">IFERROR(__xludf.DUMMYFUNCTION("VLOOKUP(C45,IMPORTRANGE(""https://docs.google.com/spreadsheets/d/1ZLN5T8y7NSBIP1rvSj6TTUR_vTQbRwUKSt8zZJ_EfE4/edit?gid=461094331#gid=461094331"",""SCHEDULE_SDT_JAN26""),43,0)"),0)</f>
        <v>0</v>
      </c>
      <c r="AE45" s="380">
        <f t="shared" ca="1" si="8"/>
        <v>0</v>
      </c>
      <c r="AF45" s="386"/>
      <c r="AG45" s="386"/>
      <c r="AH45" s="380">
        <v>0</v>
      </c>
      <c r="AI45" s="380">
        <v>0</v>
      </c>
      <c r="AJ45" s="380">
        <v>0</v>
      </c>
      <c r="AK45" s="380">
        <f t="shared" si="9"/>
        <v>0</v>
      </c>
      <c r="AL45" s="380">
        <v>0</v>
      </c>
      <c r="AM45" s="380">
        <f t="shared" ca="1" si="10"/>
        <v>0</v>
      </c>
      <c r="AN45" s="380">
        <f t="shared" ca="1" si="11"/>
        <v>380952.38095238095</v>
      </c>
      <c r="AO45" s="380">
        <f t="shared" ca="1" si="12"/>
        <v>0</v>
      </c>
      <c r="AP45" s="380">
        <f t="shared" ca="1" si="13"/>
        <v>380952.38095238095</v>
      </c>
      <c r="AQ45" s="380">
        <f t="shared" ca="1" si="14"/>
        <v>380952.38095238095</v>
      </c>
      <c r="AR45" s="380">
        <f t="shared" ca="1" si="15"/>
        <v>381000</v>
      </c>
      <c r="AS45" s="387"/>
      <c r="AT45" s="388" t="s">
        <v>12</v>
      </c>
      <c r="AU45" s="383" t="s">
        <v>10</v>
      </c>
      <c r="AV45" s="380">
        <f t="shared" si="34"/>
        <v>0</v>
      </c>
      <c r="AW45" s="380">
        <f t="shared" ca="1" si="35"/>
        <v>380952.38095238095</v>
      </c>
      <c r="AX45" s="380">
        <f t="shared" ca="1" si="36"/>
        <v>0</v>
      </c>
      <c r="AY45" s="380">
        <v>0</v>
      </c>
      <c r="AZ45" s="385">
        <f t="shared" si="37"/>
        <v>0</v>
      </c>
      <c r="BA45" s="380">
        <f t="shared" si="38"/>
        <v>0</v>
      </c>
      <c r="BB45" s="380">
        <f t="shared" si="39"/>
        <v>0</v>
      </c>
      <c r="BC45" s="380">
        <f t="shared" ca="1" si="40"/>
        <v>380952.38095238095</v>
      </c>
      <c r="BD45" s="396">
        <f ca="1">IF(AU45="C",VLOOKUP(BC45,TER!$J$4:$L$50,3,TRUE),IF(AU45="B",VLOOKUP(BC45,TER!$F$4:$H$50,3,TRUE),IF(AU45="A",VLOOKUP(BC45,TER!$B$4:$D$50,3,TRUE),"ERROR")))</f>
        <v>0</v>
      </c>
      <c r="BE45" s="380">
        <f t="shared" ca="1" si="41"/>
        <v>0</v>
      </c>
      <c r="BF45" s="113"/>
      <c r="BG45" s="113"/>
    </row>
    <row r="46" spans="1:59" ht="15.75" customHeight="1" outlineLevel="1">
      <c r="A46" s="113"/>
      <c r="B46" s="224">
        <v>37</v>
      </c>
      <c r="C46" s="67" t="s">
        <v>37</v>
      </c>
      <c r="D46" s="66" t="s">
        <v>38</v>
      </c>
      <c r="E46" s="67" t="s">
        <v>57</v>
      </c>
      <c r="F46" s="68" t="s">
        <v>1173</v>
      </c>
      <c r="G46" s="67" t="s">
        <v>31</v>
      </c>
      <c r="H46" s="66" t="s">
        <v>32</v>
      </c>
      <c r="I46" s="69">
        <f t="shared" ref="I46:I81" si="43">IF(H46="FULL - EXISTING",5729876,5729876/O46*N46)</f>
        <v>5729876</v>
      </c>
      <c r="J46" s="70">
        <v>316368</v>
      </c>
      <c r="K46" s="70">
        <v>203800</v>
      </c>
      <c r="L46" s="70">
        <v>200000</v>
      </c>
      <c r="M46" s="69">
        <f t="shared" ca="1" si="1"/>
        <v>10000</v>
      </c>
      <c r="N46" s="125">
        <f ca="1">IFERROR(__xludf.DUMMYFUNCTION("VLOOKUP(C46,IMPORTRANGE(""https://docs.google.com/spreadsheets/d/1ZLN5T8y7NSBIP1rvSj6TTUR_vTQbRwUKSt8zZJ_EfE4/edit?gid=461094331#gid=461094331"",""SCHEDULE_SDT_JAN26""),35,0)"),20)</f>
        <v>20</v>
      </c>
      <c r="O46" s="125">
        <f ca="1">IFERROR(__xludf.DUMMYFUNCTION("VLOOKUP(C46,IMPORTRANGE(""https://docs.google.com/spreadsheets/d/1ZLN5T8y7NSBIP1rvSj6TTUR_vTQbRwUKSt8zZJ_EfE4/edit?gid=461094331#gid=461094331"",""SCHEDULE_SDT_JAN26""),34,0)"),20)</f>
        <v>20</v>
      </c>
      <c r="P46" s="61">
        <f t="shared" ca="1" si="2"/>
        <v>200000</v>
      </c>
      <c r="Q46" s="71"/>
      <c r="R46" s="69">
        <f t="shared" si="3"/>
        <v>6450044</v>
      </c>
      <c r="S46" s="69">
        <f t="shared" si="4"/>
        <v>6450044</v>
      </c>
      <c r="T46" s="61">
        <f t="shared" si="5"/>
        <v>0</v>
      </c>
      <c r="U46" s="70">
        <v>250000</v>
      </c>
      <c r="V46" s="61">
        <f ca="1">IFERROR(__xludf.DUMMYFUNCTION("VLOOKUP(C46,IMPORTRANGE(""https://docs.google.com/spreadsheets/d/1ZLN5T8y7NSBIP1rvSj6TTUR_vTQbRwUKSt8zZJ_EfE4/edit?gid=461094331#gid=461094331"",""SCHEDULE_SDT_JAN26""),36,0)"),1)</f>
        <v>1</v>
      </c>
      <c r="W46" s="69">
        <f t="shared" ca="1" si="6"/>
        <v>250000</v>
      </c>
      <c r="X46" s="89">
        <v>0</v>
      </c>
      <c r="Y46" s="69">
        <f t="shared" ca="1" si="7"/>
        <v>6700044</v>
      </c>
      <c r="Z46" s="61">
        <f ca="1">IFERROR(__xludf.DUMMYFUNCTION("VLOOKUP(C46,IMPORTRANGE(""https://docs.google.com/spreadsheets/d/1ZLN5T8y7NSBIP1rvSj6TTUR_vTQbRwUKSt8zZJ_EfE4/edit?gid=461094331#gid=461094331"",""SCHEDULE_SDT_JAN26""),38,0)+VLOOKUP(C46,IMPORTRANGE(""https://docs.google.com/spreadsheets/d/1ZLN5T8y7NSBIP1"&amp;"rvSj6TTUR_vTQbRwUKSt8zZJ_EfE4/edit?gid=461094331#gid=461094331"",""SCHEDULE_SDT_JAN26""),39,0)"),0)</f>
        <v>0</v>
      </c>
      <c r="AA46" s="61">
        <f ca="1">IFERROR(__xludf.DUMMYFUNCTION("VLOOKUP(C46,IMPORTRANGE(""https://docs.google.com/spreadsheets/d/1ZLN5T8y7NSBIP1rvSj6TTUR_vTQbRwUKSt8zZJ_EfE4/edit?gid=461094331#gid=461094331"",""SCHEDULE_SDT_JAN26""),40,0)"),0)</f>
        <v>0</v>
      </c>
      <c r="AB46" s="61">
        <f ca="1">IFERROR(__xludf.DUMMYFUNCTION("VLOOKUP(C46,IMPORTRANGE(""https://docs.google.com/spreadsheets/d/1ZLN5T8y7NSBIP1rvSj6TTUR_vTQbRwUKSt8zZJ_EfE4/edit?gid=461094331#gid=461094331"",""SCHEDULE_SDT_JAN26""),41,0)"),0)</f>
        <v>0</v>
      </c>
      <c r="AC46" s="61">
        <f ca="1">IFERROR(__xludf.DUMMYFUNCTION("VLOOKUP(C46,IMPORTRANGE(""https://docs.google.com/spreadsheets/d/1ZLN5T8y7NSBIP1rvSj6TTUR_vTQbRwUKSt8zZJ_EfE4/edit?gid=461094331#gid=461094331"",""SCHEDULE_SDT_JAN26""),42,0)"),0)</f>
        <v>0</v>
      </c>
      <c r="AD46" s="61">
        <f ca="1">IFERROR(__xludf.DUMMYFUNCTION("VLOOKUP(C46,IMPORTRANGE(""https://docs.google.com/spreadsheets/d/1ZLN5T8y7NSBIP1rvSj6TTUR_vTQbRwUKSt8zZJ_EfE4/edit?gid=461094331#gid=461094331"",""SCHEDULE_SDT_JAN26""),43,0)"),0)</f>
        <v>0</v>
      </c>
      <c r="AE46" s="69">
        <f t="shared" ca="1" si="8"/>
        <v>0</v>
      </c>
      <c r="AF46" s="19">
        <v>468468</v>
      </c>
      <c r="AG46" s="19">
        <v>253500</v>
      </c>
      <c r="AH46" s="69">
        <v>0</v>
      </c>
      <c r="AI46" s="69">
        <v>0</v>
      </c>
      <c r="AJ46" s="69">
        <v>0</v>
      </c>
      <c r="AK46" s="69">
        <f t="shared" si="9"/>
        <v>0</v>
      </c>
      <c r="AL46" s="69">
        <v>0</v>
      </c>
      <c r="AM46" s="69">
        <f t="shared" ca="1" si="10"/>
        <v>721968</v>
      </c>
      <c r="AN46" s="69">
        <f t="shared" ca="1" si="11"/>
        <v>5978076</v>
      </c>
      <c r="AO46" s="69">
        <f t="shared" ca="1" si="12"/>
        <v>64400.123703999998</v>
      </c>
      <c r="AP46" s="69">
        <f t="shared" ca="1" si="13"/>
        <v>5913675.8762959996</v>
      </c>
      <c r="AQ46" s="69">
        <f t="shared" ca="1" si="14"/>
        <v>5913675.8762959996</v>
      </c>
      <c r="AR46" s="69">
        <f t="shared" ca="1" si="15"/>
        <v>5913700</v>
      </c>
      <c r="AS46" s="72"/>
      <c r="AT46" s="73" t="s">
        <v>9</v>
      </c>
      <c r="AU46" s="61" t="s">
        <v>10</v>
      </c>
      <c r="AV46" s="69">
        <f t="shared" si="34"/>
        <v>5729876</v>
      </c>
      <c r="AW46" s="69">
        <f t="shared" ca="1" si="35"/>
        <v>200000</v>
      </c>
      <c r="AX46" s="69">
        <f t="shared" ca="1" si="36"/>
        <v>250000</v>
      </c>
      <c r="AY46" s="69">
        <v>0</v>
      </c>
      <c r="AZ46" s="70">
        <f t="shared" si="37"/>
        <v>13751.702399999998</v>
      </c>
      <c r="BA46" s="69">
        <f t="shared" si="38"/>
        <v>17189.628000000001</v>
      </c>
      <c r="BB46" s="69">
        <f t="shared" si="39"/>
        <v>229195.04</v>
      </c>
      <c r="BC46" s="69">
        <f t="shared" ca="1" si="40"/>
        <v>6440012.3703999994</v>
      </c>
      <c r="BD46" s="74">
        <f ca="1">IF(AU46="C",VLOOKUP(BC46,TER!$J$4:$L$50,3,TRUE),IF(AU46="B",VLOOKUP(BC46,TER!$F$4:$H$50,3,TRUE),IF(AU46="A",VLOOKUP(BC46,TER!$B$4:$D$50,3,TRUE),"ERROR")))</f>
        <v>0.01</v>
      </c>
      <c r="BE46" s="69">
        <f t="shared" ca="1" si="41"/>
        <v>64400.123703999998</v>
      </c>
      <c r="BF46" s="113"/>
      <c r="BG46" s="113"/>
    </row>
    <row r="47" spans="1:59" ht="15.75" customHeight="1" outlineLevel="1">
      <c r="A47" s="113"/>
      <c r="B47" s="224">
        <v>38</v>
      </c>
      <c r="C47" s="67" t="s">
        <v>365</v>
      </c>
      <c r="D47" s="66" t="s">
        <v>366</v>
      </c>
      <c r="E47" s="67" t="s">
        <v>57</v>
      </c>
      <c r="F47" s="68" t="s">
        <v>1174</v>
      </c>
      <c r="G47" s="67" t="s">
        <v>31</v>
      </c>
      <c r="H47" s="66" t="s">
        <v>32</v>
      </c>
      <c r="I47" s="69">
        <f t="shared" si="43"/>
        <v>5729876</v>
      </c>
      <c r="J47" s="70">
        <v>0</v>
      </c>
      <c r="K47" s="70">
        <v>203800</v>
      </c>
      <c r="L47" s="70">
        <v>200000</v>
      </c>
      <c r="M47" s="69">
        <f t="shared" ca="1" si="1"/>
        <v>9523.8095238095229</v>
      </c>
      <c r="N47" s="125">
        <f ca="1">IFERROR(__xludf.DUMMYFUNCTION("VLOOKUP(C47,IMPORTRANGE(""https://docs.google.com/spreadsheets/d/1ZLN5T8y7NSBIP1rvSj6TTUR_vTQbRwUKSt8zZJ_EfE4/edit?gid=461094331#gid=461094331"",""SCHEDULE_SDT_JAN26""),35,0)"),20)</f>
        <v>20</v>
      </c>
      <c r="O47" s="125">
        <f ca="1">IFERROR(__xludf.DUMMYFUNCTION("VLOOKUP(C47,IMPORTRANGE(""https://docs.google.com/spreadsheets/d/1ZLN5T8y7NSBIP1rvSj6TTUR_vTQbRwUKSt8zZJ_EfE4/edit?gid=461094331#gid=461094331"",""SCHEDULE_SDT_JAN26""),34,0)"),21)</f>
        <v>21</v>
      </c>
      <c r="P47" s="61">
        <f t="shared" ca="1" si="2"/>
        <v>190476.19047619047</v>
      </c>
      <c r="Q47" s="71"/>
      <c r="R47" s="69">
        <f t="shared" si="3"/>
        <v>6133676</v>
      </c>
      <c r="S47" s="69">
        <f t="shared" si="4"/>
        <v>6133676</v>
      </c>
      <c r="T47" s="61">
        <f t="shared" si="5"/>
        <v>0</v>
      </c>
      <c r="U47" s="70">
        <v>250000</v>
      </c>
      <c r="V47" s="61">
        <f ca="1">IFERROR(__xludf.DUMMYFUNCTION("VLOOKUP(C47,IMPORTRANGE(""https://docs.google.com/spreadsheets/d/1ZLN5T8y7NSBIP1rvSj6TTUR_vTQbRwUKSt8zZJ_EfE4/edit?gid=461094331#gid=461094331"",""SCHEDULE_SDT_JAN26""),36,0)"),1)</f>
        <v>1</v>
      </c>
      <c r="W47" s="69">
        <f t="shared" ca="1" si="6"/>
        <v>250000</v>
      </c>
      <c r="X47" s="89">
        <v>0</v>
      </c>
      <c r="Y47" s="69">
        <f t="shared" ca="1" si="7"/>
        <v>6374152.1904761903</v>
      </c>
      <c r="Z47" s="61">
        <f ca="1">IFERROR(__xludf.DUMMYFUNCTION("VLOOKUP(C47,IMPORTRANGE(""https://docs.google.com/spreadsheets/d/1ZLN5T8y7NSBIP1rvSj6TTUR_vTQbRwUKSt8zZJ_EfE4/edit?gid=461094331#gid=461094331"",""SCHEDULE_SDT_JAN26""),38,0)+VLOOKUP(C47,IMPORTRANGE(""https://docs.google.com/spreadsheets/d/1ZLN5T8y7NSBIP1"&amp;"rvSj6TTUR_vTQbRwUKSt8zZJ_EfE4/edit?gid=461094331#gid=461094331"",""SCHEDULE_SDT_JAN26""),39,0)"),0)</f>
        <v>0</v>
      </c>
      <c r="AA47" s="61">
        <f ca="1">IFERROR(__xludf.DUMMYFUNCTION("VLOOKUP(C47,IMPORTRANGE(""https://docs.google.com/spreadsheets/d/1ZLN5T8y7NSBIP1rvSj6TTUR_vTQbRwUKSt8zZJ_EfE4/edit?gid=461094331#gid=461094331"",""SCHEDULE_SDT_JAN26""),40,0)"),1)</f>
        <v>1</v>
      </c>
      <c r="AB47" s="61">
        <f ca="1">IFERROR(__xludf.DUMMYFUNCTION("VLOOKUP(C47,IMPORTRANGE(""https://docs.google.com/spreadsheets/d/1ZLN5T8y7NSBIP1rvSj6TTUR_vTQbRwUKSt8zZJ_EfE4/edit?gid=461094331#gid=461094331"",""SCHEDULE_SDT_JAN26""),41,0)"),0)</f>
        <v>0</v>
      </c>
      <c r="AC47" s="61">
        <f ca="1">IFERROR(__xludf.DUMMYFUNCTION("VLOOKUP(C47,IMPORTRANGE(""https://docs.google.com/spreadsheets/d/1ZLN5T8y7NSBIP1rvSj6TTUR_vTQbRwUKSt8zZJ_EfE4/edit?gid=461094331#gid=461094331"",""SCHEDULE_SDT_JAN26""),42,0)"),0)</f>
        <v>0</v>
      </c>
      <c r="AD47" s="61">
        <f ca="1">IFERROR(__xludf.DUMMYFUNCTION("VLOOKUP(C47,IMPORTRANGE(""https://docs.google.com/spreadsheets/d/1ZLN5T8y7NSBIP1rvSj6TTUR_vTQbRwUKSt8zZJ_EfE4/edit?gid=461094331#gid=461094331"",""SCHEDULE_SDT_JAN26""),43,0)"),0)</f>
        <v>0</v>
      </c>
      <c r="AE47" s="69">
        <f t="shared" ca="1" si="8"/>
        <v>250000</v>
      </c>
      <c r="AF47" s="20">
        <v>0</v>
      </c>
      <c r="AG47" s="19">
        <v>253500</v>
      </c>
      <c r="AH47" s="69">
        <v>0</v>
      </c>
      <c r="AI47" s="69">
        <v>0</v>
      </c>
      <c r="AJ47" s="69">
        <v>0</v>
      </c>
      <c r="AK47" s="69">
        <f t="shared" si="9"/>
        <v>0</v>
      </c>
      <c r="AL47" s="69">
        <v>0</v>
      </c>
      <c r="AM47" s="69">
        <f t="shared" ca="1" si="10"/>
        <v>503500</v>
      </c>
      <c r="AN47" s="69">
        <f t="shared" ca="1" si="11"/>
        <v>5870652.1904761903</v>
      </c>
      <c r="AO47" s="69">
        <f t="shared" ca="1" si="12"/>
        <v>63995.472304761905</v>
      </c>
      <c r="AP47" s="69">
        <f t="shared" ca="1" si="13"/>
        <v>5806656.718171428</v>
      </c>
      <c r="AQ47" s="69">
        <f t="shared" ca="1" si="14"/>
        <v>5806656.718171428</v>
      </c>
      <c r="AR47" s="69">
        <f t="shared" ca="1" si="15"/>
        <v>5806700</v>
      </c>
      <c r="AS47" s="72"/>
      <c r="AT47" s="73" t="s">
        <v>9</v>
      </c>
      <c r="AU47" s="61" t="s">
        <v>10</v>
      </c>
      <c r="AV47" s="69">
        <f t="shared" si="34"/>
        <v>5729876</v>
      </c>
      <c r="AW47" s="69">
        <f t="shared" ca="1" si="35"/>
        <v>190476.19047619047</v>
      </c>
      <c r="AX47" s="69">
        <f t="shared" ca="1" si="36"/>
        <v>250000</v>
      </c>
      <c r="AY47" s="69">
        <v>0</v>
      </c>
      <c r="AZ47" s="70">
        <f t="shared" si="37"/>
        <v>0</v>
      </c>
      <c r="BA47" s="69">
        <f t="shared" si="38"/>
        <v>0</v>
      </c>
      <c r="BB47" s="69">
        <f t="shared" si="39"/>
        <v>229195.04</v>
      </c>
      <c r="BC47" s="69">
        <f t="shared" ca="1" si="40"/>
        <v>6399547.2304761903</v>
      </c>
      <c r="BD47" s="74">
        <f ca="1">IF(AU47="C",VLOOKUP(BC47,TER!$J$4:$L$50,3,TRUE),IF(AU47="B",VLOOKUP(BC47,TER!$F$4:$H$50,3,TRUE),IF(AU47="A",VLOOKUP(BC47,TER!$B$4:$D$50,3,TRUE),"ERROR")))</f>
        <v>0.01</v>
      </c>
      <c r="BE47" s="69">
        <f t="shared" ca="1" si="41"/>
        <v>63995.472304761905</v>
      </c>
      <c r="BF47" s="113"/>
      <c r="BG47" s="113"/>
    </row>
    <row r="48" spans="1:59" ht="15.75" customHeight="1" outlineLevel="1">
      <c r="A48" s="113"/>
      <c r="B48" s="224">
        <v>39</v>
      </c>
      <c r="C48" s="67" t="s">
        <v>367</v>
      </c>
      <c r="D48" s="66" t="s">
        <v>368</v>
      </c>
      <c r="E48" s="67" t="s">
        <v>57</v>
      </c>
      <c r="F48" s="68" t="s">
        <v>1175</v>
      </c>
      <c r="G48" s="67" t="s">
        <v>31</v>
      </c>
      <c r="H48" s="66" t="s">
        <v>32</v>
      </c>
      <c r="I48" s="69">
        <f t="shared" si="43"/>
        <v>5729876</v>
      </c>
      <c r="J48" s="70">
        <v>316368</v>
      </c>
      <c r="K48" s="70">
        <v>203800</v>
      </c>
      <c r="L48" s="70">
        <v>200000</v>
      </c>
      <c r="M48" s="69">
        <f t="shared" ca="1" si="1"/>
        <v>9523.8095238095229</v>
      </c>
      <c r="N48" s="125">
        <f ca="1">IFERROR(__xludf.DUMMYFUNCTION("VLOOKUP(C48,IMPORTRANGE(""https://docs.google.com/spreadsheets/d/1ZLN5T8y7NSBIP1rvSj6TTUR_vTQbRwUKSt8zZJ_EfE4/edit?gid=461094331#gid=461094331"",""SCHEDULE_SDT_JAN26""),35,0)"),21)</f>
        <v>21</v>
      </c>
      <c r="O48" s="125">
        <f ca="1">IFERROR(__xludf.DUMMYFUNCTION("VLOOKUP(C48,IMPORTRANGE(""https://docs.google.com/spreadsheets/d/1ZLN5T8y7NSBIP1rvSj6TTUR_vTQbRwUKSt8zZJ_EfE4/edit?gid=461094331#gid=461094331"",""SCHEDULE_SDT_JAN26""),34,0)"),21)</f>
        <v>21</v>
      </c>
      <c r="P48" s="61">
        <f t="shared" ca="1" si="2"/>
        <v>199999.99999999997</v>
      </c>
      <c r="Q48" s="71"/>
      <c r="R48" s="69">
        <f t="shared" si="3"/>
        <v>6450044</v>
      </c>
      <c r="S48" s="69">
        <f t="shared" si="4"/>
        <v>6450044</v>
      </c>
      <c r="T48" s="61">
        <f t="shared" si="5"/>
        <v>0</v>
      </c>
      <c r="U48" s="70">
        <v>250000</v>
      </c>
      <c r="V48" s="61">
        <f ca="1">IFERROR(__xludf.DUMMYFUNCTION("VLOOKUP(C48,IMPORTRANGE(""https://docs.google.com/spreadsheets/d/1ZLN5T8y7NSBIP1rvSj6TTUR_vTQbRwUKSt8zZJ_EfE4/edit?gid=461094331#gid=461094331"",""SCHEDULE_SDT_JAN26""),36,0)"),1)</f>
        <v>1</v>
      </c>
      <c r="W48" s="69">
        <f t="shared" ca="1" si="6"/>
        <v>250000</v>
      </c>
      <c r="X48" s="89">
        <v>0</v>
      </c>
      <c r="Y48" s="69">
        <f t="shared" ca="1" si="7"/>
        <v>6700044</v>
      </c>
      <c r="Z48" s="61">
        <f ca="1">IFERROR(__xludf.DUMMYFUNCTION("VLOOKUP(C48,IMPORTRANGE(""https://docs.google.com/spreadsheets/d/1ZLN5T8y7NSBIP1rvSj6TTUR_vTQbRwUKSt8zZJ_EfE4/edit?gid=461094331#gid=461094331"",""SCHEDULE_SDT_JAN26""),38,0)+VLOOKUP(C48,IMPORTRANGE(""https://docs.google.com/spreadsheets/d/1ZLN5T8y7NSBIP1"&amp;"rvSj6TTUR_vTQbRwUKSt8zZJ_EfE4/edit?gid=461094331#gid=461094331"",""SCHEDULE_SDT_JAN26""),39,0)"),0)</f>
        <v>0</v>
      </c>
      <c r="AA48" s="61">
        <f ca="1">IFERROR(__xludf.DUMMYFUNCTION("VLOOKUP(C48,IMPORTRANGE(""https://docs.google.com/spreadsheets/d/1ZLN5T8y7NSBIP1rvSj6TTUR_vTQbRwUKSt8zZJ_EfE4/edit?gid=461094331#gid=461094331"",""SCHEDULE_SDT_JAN26""),40,0)"),0)</f>
        <v>0</v>
      </c>
      <c r="AB48" s="61">
        <f ca="1">IFERROR(__xludf.DUMMYFUNCTION("VLOOKUP(C48,IMPORTRANGE(""https://docs.google.com/spreadsheets/d/1ZLN5T8y7NSBIP1rvSj6TTUR_vTQbRwUKSt8zZJ_EfE4/edit?gid=461094331#gid=461094331"",""SCHEDULE_SDT_JAN26""),41,0)"),0)</f>
        <v>0</v>
      </c>
      <c r="AC48" s="61">
        <f ca="1">IFERROR(__xludf.DUMMYFUNCTION("VLOOKUP(C48,IMPORTRANGE(""https://docs.google.com/spreadsheets/d/1ZLN5T8y7NSBIP1rvSj6TTUR_vTQbRwUKSt8zZJ_EfE4/edit?gid=461094331#gid=461094331"",""SCHEDULE_SDT_JAN26""),42,0)"),0)</f>
        <v>0</v>
      </c>
      <c r="AD48" s="61">
        <f ca="1">IFERROR(__xludf.DUMMYFUNCTION("VLOOKUP(C48,IMPORTRANGE(""https://docs.google.com/spreadsheets/d/1ZLN5T8y7NSBIP1rvSj6TTUR_vTQbRwUKSt8zZJ_EfE4/edit?gid=461094331#gid=461094331"",""SCHEDULE_SDT_JAN26""),43,0)"),0)</f>
        <v>0</v>
      </c>
      <c r="AE48" s="69">
        <f t="shared" ca="1" si="8"/>
        <v>0</v>
      </c>
      <c r="AF48" s="19">
        <v>468468</v>
      </c>
      <c r="AG48" s="19">
        <v>253500</v>
      </c>
      <c r="AH48" s="69">
        <v>0</v>
      </c>
      <c r="AI48" s="69">
        <v>0</v>
      </c>
      <c r="AJ48" s="69">
        <v>0</v>
      </c>
      <c r="AK48" s="69">
        <f t="shared" si="9"/>
        <v>0</v>
      </c>
      <c r="AL48" s="69">
        <v>0</v>
      </c>
      <c r="AM48" s="69">
        <f t="shared" ca="1" si="10"/>
        <v>721968</v>
      </c>
      <c r="AN48" s="69">
        <f t="shared" ca="1" si="11"/>
        <v>5978076</v>
      </c>
      <c r="AO48" s="69">
        <f t="shared" ca="1" si="12"/>
        <v>64400.123703999998</v>
      </c>
      <c r="AP48" s="69">
        <f t="shared" ca="1" si="13"/>
        <v>5913675.8762959996</v>
      </c>
      <c r="AQ48" s="69">
        <f t="shared" ca="1" si="14"/>
        <v>5913675.8762959996</v>
      </c>
      <c r="AR48" s="69">
        <f t="shared" ca="1" si="15"/>
        <v>5913700</v>
      </c>
      <c r="AS48" s="72"/>
      <c r="AT48" s="73" t="s">
        <v>9</v>
      </c>
      <c r="AU48" s="61" t="s">
        <v>10</v>
      </c>
      <c r="AV48" s="69">
        <f t="shared" si="34"/>
        <v>5729876</v>
      </c>
      <c r="AW48" s="69">
        <f t="shared" ca="1" si="35"/>
        <v>199999.99999999997</v>
      </c>
      <c r="AX48" s="69">
        <f t="shared" ca="1" si="36"/>
        <v>250000</v>
      </c>
      <c r="AY48" s="69">
        <v>0</v>
      </c>
      <c r="AZ48" s="70">
        <f t="shared" si="37"/>
        <v>13751.702399999998</v>
      </c>
      <c r="BA48" s="69">
        <f t="shared" si="38"/>
        <v>17189.628000000001</v>
      </c>
      <c r="BB48" s="69">
        <f t="shared" si="39"/>
        <v>229195.04</v>
      </c>
      <c r="BC48" s="69">
        <f t="shared" ca="1" si="40"/>
        <v>6440012.3703999994</v>
      </c>
      <c r="BD48" s="74">
        <f ca="1">IF(AU48="C",VLOOKUP(BC48,TER!$J$4:$L$50,3,TRUE),IF(AU48="B",VLOOKUP(BC48,TER!$F$4:$H$50,3,TRUE),IF(AU48="A",VLOOKUP(BC48,TER!$B$4:$D$50,3,TRUE),"ERROR")))</f>
        <v>0.01</v>
      </c>
      <c r="BE48" s="69">
        <f t="shared" ca="1" si="41"/>
        <v>64400.123703999998</v>
      </c>
      <c r="BF48" s="113"/>
      <c r="BG48" s="113"/>
    </row>
    <row r="49" spans="1:59" ht="15.75" customHeight="1" outlineLevel="1">
      <c r="A49" s="113"/>
      <c r="B49" s="224">
        <v>40</v>
      </c>
      <c r="C49" s="67" t="s">
        <v>369</v>
      </c>
      <c r="D49" s="66" t="s">
        <v>370</v>
      </c>
      <c r="E49" s="67" t="s">
        <v>57</v>
      </c>
      <c r="F49" s="68" t="s">
        <v>1176</v>
      </c>
      <c r="G49" s="67" t="s">
        <v>31</v>
      </c>
      <c r="H49" s="66" t="s">
        <v>32</v>
      </c>
      <c r="I49" s="69">
        <f t="shared" si="43"/>
        <v>5729876</v>
      </c>
      <c r="J49" s="70">
        <v>316368</v>
      </c>
      <c r="K49" s="70">
        <v>203800</v>
      </c>
      <c r="L49" s="70">
        <v>200000</v>
      </c>
      <c r="M49" s="69">
        <f t="shared" ca="1" si="1"/>
        <v>10000</v>
      </c>
      <c r="N49" s="125">
        <f ca="1">IFERROR(__xludf.DUMMYFUNCTION("VLOOKUP(C49,IMPORTRANGE(""https://docs.google.com/spreadsheets/d/1ZLN5T8y7NSBIP1rvSj6TTUR_vTQbRwUKSt8zZJ_EfE4/edit?gid=461094331#gid=461094331"",""SCHEDULE_SDT_JAN26""),35,0)"),20)</f>
        <v>20</v>
      </c>
      <c r="O49" s="125">
        <f ca="1">IFERROR(__xludf.DUMMYFUNCTION("VLOOKUP(C49,IMPORTRANGE(""https://docs.google.com/spreadsheets/d/1ZLN5T8y7NSBIP1rvSj6TTUR_vTQbRwUKSt8zZJ_EfE4/edit?gid=461094331#gid=461094331"",""SCHEDULE_SDT_JAN26""),34,0)"),20)</f>
        <v>20</v>
      </c>
      <c r="P49" s="61">
        <f t="shared" ca="1" si="2"/>
        <v>200000</v>
      </c>
      <c r="Q49" s="71"/>
      <c r="R49" s="69">
        <f t="shared" si="3"/>
        <v>6450044</v>
      </c>
      <c r="S49" s="69">
        <f t="shared" si="4"/>
        <v>6450044</v>
      </c>
      <c r="T49" s="61">
        <f t="shared" si="5"/>
        <v>0</v>
      </c>
      <c r="U49" s="70">
        <v>250000</v>
      </c>
      <c r="V49" s="61">
        <f ca="1">IFERROR(__xludf.DUMMYFUNCTION("VLOOKUP(C49,IMPORTRANGE(""https://docs.google.com/spreadsheets/d/1ZLN5T8y7NSBIP1rvSj6TTUR_vTQbRwUKSt8zZJ_EfE4/edit?gid=461094331#gid=461094331"",""SCHEDULE_SDT_JAN26""),36,0)"),1)</f>
        <v>1</v>
      </c>
      <c r="W49" s="69">
        <f t="shared" ca="1" si="6"/>
        <v>250000</v>
      </c>
      <c r="X49" s="89">
        <v>0</v>
      </c>
      <c r="Y49" s="69">
        <f t="shared" ca="1" si="7"/>
        <v>6700044</v>
      </c>
      <c r="Z49" s="61">
        <f ca="1">IFERROR(__xludf.DUMMYFUNCTION("VLOOKUP(C49,IMPORTRANGE(""https://docs.google.com/spreadsheets/d/1ZLN5T8y7NSBIP1rvSj6TTUR_vTQbRwUKSt8zZJ_EfE4/edit?gid=461094331#gid=461094331"",""SCHEDULE_SDT_JAN26""),38,0)+VLOOKUP(C49,IMPORTRANGE(""https://docs.google.com/spreadsheets/d/1ZLN5T8y7NSBIP1"&amp;"rvSj6TTUR_vTQbRwUKSt8zZJ_EfE4/edit?gid=461094331#gid=461094331"",""SCHEDULE_SDT_JAN26""),39,0)"),0)</f>
        <v>0</v>
      </c>
      <c r="AA49" s="61">
        <f ca="1">IFERROR(__xludf.DUMMYFUNCTION("VLOOKUP(C49,IMPORTRANGE(""https://docs.google.com/spreadsheets/d/1ZLN5T8y7NSBIP1rvSj6TTUR_vTQbRwUKSt8zZJ_EfE4/edit?gid=461094331#gid=461094331"",""SCHEDULE_SDT_JAN26""),40,0)"),0)</f>
        <v>0</v>
      </c>
      <c r="AB49" s="61">
        <f ca="1">IFERROR(__xludf.DUMMYFUNCTION("VLOOKUP(C49,IMPORTRANGE(""https://docs.google.com/spreadsheets/d/1ZLN5T8y7NSBIP1rvSj6TTUR_vTQbRwUKSt8zZJ_EfE4/edit?gid=461094331#gid=461094331"",""SCHEDULE_SDT_JAN26""),41,0)"),0)</f>
        <v>0</v>
      </c>
      <c r="AC49" s="61">
        <f ca="1">IFERROR(__xludf.DUMMYFUNCTION("VLOOKUP(C49,IMPORTRANGE(""https://docs.google.com/spreadsheets/d/1ZLN5T8y7NSBIP1rvSj6TTUR_vTQbRwUKSt8zZJ_EfE4/edit?gid=461094331#gid=461094331"",""SCHEDULE_SDT_JAN26""),42,0)"),0)</f>
        <v>0</v>
      </c>
      <c r="AD49" s="61">
        <f ca="1">IFERROR(__xludf.DUMMYFUNCTION("VLOOKUP(C49,IMPORTRANGE(""https://docs.google.com/spreadsheets/d/1ZLN5T8y7NSBIP1rvSj6TTUR_vTQbRwUKSt8zZJ_EfE4/edit?gid=461094331#gid=461094331"",""SCHEDULE_SDT_JAN26""),43,0)"),0)</f>
        <v>0</v>
      </c>
      <c r="AE49" s="69">
        <f t="shared" ca="1" si="8"/>
        <v>0</v>
      </c>
      <c r="AF49" s="19">
        <v>468468</v>
      </c>
      <c r="AG49" s="19">
        <v>253500</v>
      </c>
      <c r="AH49" s="69">
        <v>0</v>
      </c>
      <c r="AI49" s="69">
        <v>0</v>
      </c>
      <c r="AJ49" s="69">
        <v>0</v>
      </c>
      <c r="AK49" s="69">
        <f t="shared" si="9"/>
        <v>0</v>
      </c>
      <c r="AL49" s="69">
        <v>0</v>
      </c>
      <c r="AM49" s="69">
        <f t="shared" ca="1" si="10"/>
        <v>721968</v>
      </c>
      <c r="AN49" s="69">
        <f t="shared" ca="1" si="11"/>
        <v>5978076</v>
      </c>
      <c r="AO49" s="69">
        <f t="shared" ca="1" si="12"/>
        <v>64400.123703999998</v>
      </c>
      <c r="AP49" s="69">
        <f t="shared" ca="1" si="13"/>
        <v>5913675.8762959996</v>
      </c>
      <c r="AQ49" s="69">
        <f t="shared" ca="1" si="14"/>
        <v>5913675.8762959996</v>
      </c>
      <c r="AR49" s="69">
        <f t="shared" ca="1" si="15"/>
        <v>5913700</v>
      </c>
      <c r="AS49" s="72"/>
      <c r="AT49" s="73" t="s">
        <v>9</v>
      </c>
      <c r="AU49" s="61" t="s">
        <v>10</v>
      </c>
      <c r="AV49" s="69">
        <f t="shared" si="34"/>
        <v>5729876</v>
      </c>
      <c r="AW49" s="69">
        <f t="shared" ca="1" si="35"/>
        <v>200000</v>
      </c>
      <c r="AX49" s="69">
        <f t="shared" ca="1" si="36"/>
        <v>250000</v>
      </c>
      <c r="AY49" s="69">
        <v>0</v>
      </c>
      <c r="AZ49" s="70">
        <f t="shared" si="37"/>
        <v>13751.702399999998</v>
      </c>
      <c r="BA49" s="69">
        <f t="shared" si="38"/>
        <v>17189.628000000001</v>
      </c>
      <c r="BB49" s="69">
        <f t="shared" si="39"/>
        <v>229195.04</v>
      </c>
      <c r="BC49" s="69">
        <f t="shared" ca="1" si="40"/>
        <v>6440012.3703999994</v>
      </c>
      <c r="BD49" s="74">
        <f ca="1">IF(AU49="C",VLOOKUP(BC49,TER!$J$4:$L$50,3,TRUE),IF(AU49="B",VLOOKUP(BC49,TER!$F$4:$H$50,3,TRUE),IF(AU49="A",VLOOKUP(BC49,TER!$B$4:$D$50,3,TRUE),"ERROR")))</f>
        <v>0.01</v>
      </c>
      <c r="BE49" s="69">
        <f t="shared" ca="1" si="41"/>
        <v>64400.123703999998</v>
      </c>
      <c r="BF49" s="113"/>
      <c r="BG49" s="113"/>
    </row>
    <row r="50" spans="1:59" ht="15.75" customHeight="1" outlineLevel="1">
      <c r="A50" s="113"/>
      <c r="B50" s="224">
        <v>41</v>
      </c>
      <c r="C50" s="67" t="s">
        <v>371</v>
      </c>
      <c r="D50" s="66" t="s">
        <v>372</v>
      </c>
      <c r="E50" s="67" t="s">
        <v>57</v>
      </c>
      <c r="F50" s="68" t="s">
        <v>1177</v>
      </c>
      <c r="G50" s="67" t="s">
        <v>31</v>
      </c>
      <c r="H50" s="66" t="s">
        <v>32</v>
      </c>
      <c r="I50" s="69">
        <f t="shared" si="43"/>
        <v>5729876</v>
      </c>
      <c r="J50" s="70">
        <v>0</v>
      </c>
      <c r="K50" s="70">
        <v>203800</v>
      </c>
      <c r="L50" s="70">
        <v>100000</v>
      </c>
      <c r="M50" s="69">
        <f t="shared" ca="1" si="1"/>
        <v>4761.9047619047615</v>
      </c>
      <c r="N50" s="125">
        <f ca="1">IFERROR(__xludf.DUMMYFUNCTION("VLOOKUP(C50,IMPORTRANGE(""https://docs.google.com/spreadsheets/d/1ZLN5T8y7NSBIP1rvSj6TTUR_vTQbRwUKSt8zZJ_EfE4/edit?gid=461094331#gid=461094331"",""SCHEDULE_SDT_JAN26""),35,0)"),21)</f>
        <v>21</v>
      </c>
      <c r="O50" s="125">
        <f ca="1">IFERROR(__xludf.DUMMYFUNCTION("VLOOKUP(C50,IMPORTRANGE(""https://docs.google.com/spreadsheets/d/1ZLN5T8y7NSBIP1rvSj6TTUR_vTQbRwUKSt8zZJ_EfE4/edit?gid=461094331#gid=461094331"",""SCHEDULE_SDT_JAN26""),34,0)"),21)</f>
        <v>21</v>
      </c>
      <c r="P50" s="61">
        <f t="shared" ca="1" si="2"/>
        <v>99999.999999999985</v>
      </c>
      <c r="Q50" s="71"/>
      <c r="R50" s="69">
        <f t="shared" si="3"/>
        <v>6033676</v>
      </c>
      <c r="S50" s="69">
        <f t="shared" si="4"/>
        <v>6033676</v>
      </c>
      <c r="T50" s="61">
        <f t="shared" si="5"/>
        <v>0</v>
      </c>
      <c r="U50" s="70">
        <v>250000</v>
      </c>
      <c r="V50" s="61">
        <f ca="1">IFERROR(__xludf.DUMMYFUNCTION("VLOOKUP(C50,IMPORTRANGE(""https://docs.google.com/spreadsheets/d/1ZLN5T8y7NSBIP1rvSj6TTUR_vTQbRwUKSt8zZJ_EfE4/edit?gid=461094331#gid=461094331"",""SCHEDULE_SDT_JAN26""),36,0)"),1)</f>
        <v>1</v>
      </c>
      <c r="W50" s="69">
        <f t="shared" ca="1" si="6"/>
        <v>250000</v>
      </c>
      <c r="X50" s="89">
        <v>0</v>
      </c>
      <c r="Y50" s="69">
        <f t="shared" ca="1" si="7"/>
        <v>6283676</v>
      </c>
      <c r="Z50" s="61">
        <f ca="1">IFERROR(__xludf.DUMMYFUNCTION("VLOOKUP(C50,IMPORTRANGE(""https://docs.google.com/spreadsheets/d/1ZLN5T8y7NSBIP1rvSj6TTUR_vTQbRwUKSt8zZJ_EfE4/edit?gid=461094331#gid=461094331"",""SCHEDULE_SDT_JAN26""),38,0)+VLOOKUP(C50,IMPORTRANGE(""https://docs.google.com/spreadsheets/d/1ZLN5T8y7NSBIP1"&amp;"rvSj6TTUR_vTQbRwUKSt8zZJ_EfE4/edit?gid=461094331#gid=461094331"",""SCHEDULE_SDT_JAN26""),39,0)"),0)</f>
        <v>0</v>
      </c>
      <c r="AA50" s="61">
        <f ca="1">IFERROR(__xludf.DUMMYFUNCTION("VLOOKUP(C50,IMPORTRANGE(""https://docs.google.com/spreadsheets/d/1ZLN5T8y7NSBIP1rvSj6TTUR_vTQbRwUKSt8zZJ_EfE4/edit?gid=461094331#gid=461094331"",""SCHEDULE_SDT_JAN26""),40,0)"),0)</f>
        <v>0</v>
      </c>
      <c r="AB50" s="61">
        <f ca="1">IFERROR(__xludf.DUMMYFUNCTION("VLOOKUP(C50,IMPORTRANGE(""https://docs.google.com/spreadsheets/d/1ZLN5T8y7NSBIP1rvSj6TTUR_vTQbRwUKSt8zZJ_EfE4/edit?gid=461094331#gid=461094331"",""SCHEDULE_SDT_JAN26""),41,0)"),0)</f>
        <v>0</v>
      </c>
      <c r="AC50" s="61">
        <f ca="1">IFERROR(__xludf.DUMMYFUNCTION("VLOOKUP(C50,IMPORTRANGE(""https://docs.google.com/spreadsheets/d/1ZLN5T8y7NSBIP1rvSj6TTUR_vTQbRwUKSt8zZJ_EfE4/edit?gid=461094331#gid=461094331"",""SCHEDULE_SDT_JAN26""),42,0)"),0)</f>
        <v>0</v>
      </c>
      <c r="AD50" s="61">
        <f ca="1">IFERROR(__xludf.DUMMYFUNCTION("VLOOKUP(C50,IMPORTRANGE(""https://docs.google.com/spreadsheets/d/1ZLN5T8y7NSBIP1rvSj6TTUR_vTQbRwUKSt8zZJ_EfE4/edit?gid=461094331#gid=461094331"",""SCHEDULE_SDT_JAN26""),43,0)"),0)</f>
        <v>0</v>
      </c>
      <c r="AE50" s="69">
        <f t="shared" ca="1" si="8"/>
        <v>0</v>
      </c>
      <c r="AF50" s="20">
        <v>0</v>
      </c>
      <c r="AG50" s="19">
        <v>253500</v>
      </c>
      <c r="AH50" s="69">
        <v>0</v>
      </c>
      <c r="AI50" s="69">
        <v>0</v>
      </c>
      <c r="AJ50" s="69">
        <v>0</v>
      </c>
      <c r="AK50" s="69">
        <f t="shared" si="9"/>
        <v>0</v>
      </c>
      <c r="AL50" s="69">
        <v>0</v>
      </c>
      <c r="AM50" s="69">
        <f t="shared" ca="1" si="10"/>
        <v>253500</v>
      </c>
      <c r="AN50" s="69">
        <f t="shared" ca="1" si="11"/>
        <v>6030176</v>
      </c>
      <c r="AO50" s="69">
        <f t="shared" ca="1" si="12"/>
        <v>63090.710400000004</v>
      </c>
      <c r="AP50" s="69">
        <f t="shared" ca="1" si="13"/>
        <v>5967085.2895999998</v>
      </c>
      <c r="AQ50" s="69">
        <f t="shared" ca="1" si="14"/>
        <v>5967085.2895999998</v>
      </c>
      <c r="AR50" s="69">
        <f t="shared" ca="1" si="15"/>
        <v>5967100</v>
      </c>
      <c r="AS50" s="72"/>
      <c r="AT50" s="73" t="s">
        <v>9</v>
      </c>
      <c r="AU50" s="61" t="s">
        <v>10</v>
      </c>
      <c r="AV50" s="69">
        <f t="shared" si="34"/>
        <v>5729876</v>
      </c>
      <c r="AW50" s="69">
        <f t="shared" ca="1" si="35"/>
        <v>99999.999999999985</v>
      </c>
      <c r="AX50" s="69">
        <f t="shared" ca="1" si="36"/>
        <v>250000</v>
      </c>
      <c r="AY50" s="69">
        <v>0</v>
      </c>
      <c r="AZ50" s="70">
        <f t="shared" si="37"/>
        <v>0</v>
      </c>
      <c r="BA50" s="69">
        <f t="shared" si="38"/>
        <v>0</v>
      </c>
      <c r="BB50" s="69">
        <f t="shared" si="39"/>
        <v>229195.04</v>
      </c>
      <c r="BC50" s="69">
        <f t="shared" ca="1" si="40"/>
        <v>6309071.04</v>
      </c>
      <c r="BD50" s="74">
        <f ca="1">IF(AU50="C",VLOOKUP(BC50,TER!$J$4:$L$50,3,TRUE),IF(AU50="B",VLOOKUP(BC50,TER!$F$4:$H$50,3,TRUE),IF(AU50="A",VLOOKUP(BC50,TER!$B$4:$D$50,3,TRUE),"ERROR")))</f>
        <v>0.01</v>
      </c>
      <c r="BE50" s="69">
        <f t="shared" ca="1" si="41"/>
        <v>63090.710400000004</v>
      </c>
      <c r="BF50" s="113"/>
      <c r="BG50" s="113"/>
    </row>
    <row r="51" spans="1:59" ht="15.75" customHeight="1" outlineLevel="1">
      <c r="A51" s="113"/>
      <c r="B51" s="224">
        <v>42</v>
      </c>
      <c r="C51" s="67" t="s">
        <v>373</v>
      </c>
      <c r="D51" s="66" t="s">
        <v>374</v>
      </c>
      <c r="E51" s="67" t="s">
        <v>57</v>
      </c>
      <c r="F51" s="68" t="s">
        <v>1178</v>
      </c>
      <c r="G51" s="67" t="s">
        <v>31</v>
      </c>
      <c r="H51" s="66" t="s">
        <v>32</v>
      </c>
      <c r="I51" s="69">
        <f t="shared" si="43"/>
        <v>5729876</v>
      </c>
      <c r="J51" s="70">
        <v>316368</v>
      </c>
      <c r="K51" s="70">
        <v>203800</v>
      </c>
      <c r="L51" s="70">
        <v>100000</v>
      </c>
      <c r="M51" s="69">
        <f t="shared" ca="1" si="1"/>
        <v>5000</v>
      </c>
      <c r="N51" s="125">
        <f ca="1">IFERROR(__xludf.DUMMYFUNCTION("VLOOKUP(C51,IMPORTRANGE(""https://docs.google.com/spreadsheets/d/1ZLN5T8y7NSBIP1rvSj6TTUR_vTQbRwUKSt8zZJ_EfE4/edit?gid=461094331#gid=461094331"",""SCHEDULE_SDT_JAN26""),35,0)"),20)</f>
        <v>20</v>
      </c>
      <c r="O51" s="125">
        <f ca="1">IFERROR(__xludf.DUMMYFUNCTION("VLOOKUP(C51,IMPORTRANGE(""https://docs.google.com/spreadsheets/d/1ZLN5T8y7NSBIP1rvSj6TTUR_vTQbRwUKSt8zZJ_EfE4/edit?gid=461094331#gid=461094331"",""SCHEDULE_SDT_JAN26""),34,0)"),20)</f>
        <v>20</v>
      </c>
      <c r="P51" s="61">
        <f t="shared" ca="1" si="2"/>
        <v>100000</v>
      </c>
      <c r="Q51" s="71"/>
      <c r="R51" s="69">
        <f t="shared" si="3"/>
        <v>6350044</v>
      </c>
      <c r="S51" s="69">
        <f t="shared" si="4"/>
        <v>6350044</v>
      </c>
      <c r="T51" s="61">
        <f t="shared" si="5"/>
        <v>0</v>
      </c>
      <c r="U51" s="70">
        <v>250000</v>
      </c>
      <c r="V51" s="61">
        <f ca="1">IFERROR(__xludf.DUMMYFUNCTION("VLOOKUP(C51,IMPORTRANGE(""https://docs.google.com/spreadsheets/d/1ZLN5T8y7NSBIP1rvSj6TTUR_vTQbRwUKSt8zZJ_EfE4/edit?gid=461094331#gid=461094331"",""SCHEDULE_SDT_JAN26""),36,0)"),1)</f>
        <v>1</v>
      </c>
      <c r="W51" s="69">
        <f t="shared" ca="1" si="6"/>
        <v>250000</v>
      </c>
      <c r="X51" s="89">
        <v>0</v>
      </c>
      <c r="Y51" s="69">
        <f t="shared" ca="1" si="7"/>
        <v>6600044</v>
      </c>
      <c r="Z51" s="61">
        <f ca="1">IFERROR(__xludf.DUMMYFUNCTION("VLOOKUP(C51,IMPORTRANGE(""https://docs.google.com/spreadsheets/d/1ZLN5T8y7NSBIP1rvSj6TTUR_vTQbRwUKSt8zZJ_EfE4/edit?gid=461094331#gid=461094331"",""SCHEDULE_SDT_JAN26""),38,0)+VLOOKUP(C51,IMPORTRANGE(""https://docs.google.com/spreadsheets/d/1ZLN5T8y7NSBIP1"&amp;"rvSj6TTUR_vTQbRwUKSt8zZJ_EfE4/edit?gid=461094331#gid=461094331"",""SCHEDULE_SDT_JAN26""),39,0)"),0)</f>
        <v>0</v>
      </c>
      <c r="AA51" s="61">
        <f ca="1">IFERROR(__xludf.DUMMYFUNCTION("VLOOKUP(C51,IMPORTRANGE(""https://docs.google.com/spreadsheets/d/1ZLN5T8y7NSBIP1rvSj6TTUR_vTQbRwUKSt8zZJ_EfE4/edit?gid=461094331#gid=461094331"",""SCHEDULE_SDT_JAN26""),40,0)"),0)</f>
        <v>0</v>
      </c>
      <c r="AB51" s="61">
        <f ca="1">IFERROR(__xludf.DUMMYFUNCTION("VLOOKUP(C51,IMPORTRANGE(""https://docs.google.com/spreadsheets/d/1ZLN5T8y7NSBIP1rvSj6TTUR_vTQbRwUKSt8zZJ_EfE4/edit?gid=461094331#gid=461094331"",""SCHEDULE_SDT_JAN26""),41,0)"),0)</f>
        <v>0</v>
      </c>
      <c r="AC51" s="61">
        <f ca="1">IFERROR(__xludf.DUMMYFUNCTION("VLOOKUP(C51,IMPORTRANGE(""https://docs.google.com/spreadsheets/d/1ZLN5T8y7NSBIP1rvSj6TTUR_vTQbRwUKSt8zZJ_EfE4/edit?gid=461094331#gid=461094331"",""SCHEDULE_SDT_JAN26""),42,0)"),0)</f>
        <v>0</v>
      </c>
      <c r="AD51" s="61">
        <f ca="1">IFERROR(__xludf.DUMMYFUNCTION("VLOOKUP(C51,IMPORTRANGE(""https://docs.google.com/spreadsheets/d/1ZLN5T8y7NSBIP1rvSj6TTUR_vTQbRwUKSt8zZJ_EfE4/edit?gid=461094331#gid=461094331"",""SCHEDULE_SDT_JAN26""),43,0)"),0)</f>
        <v>0</v>
      </c>
      <c r="AE51" s="69">
        <f t="shared" ca="1" si="8"/>
        <v>0</v>
      </c>
      <c r="AF51" s="19">
        <v>468468</v>
      </c>
      <c r="AG51" s="19">
        <v>253500</v>
      </c>
      <c r="AH51" s="69">
        <v>0</v>
      </c>
      <c r="AI51" s="69">
        <v>0</v>
      </c>
      <c r="AJ51" s="69">
        <v>0</v>
      </c>
      <c r="AK51" s="69">
        <f t="shared" si="9"/>
        <v>0</v>
      </c>
      <c r="AL51" s="69">
        <v>0</v>
      </c>
      <c r="AM51" s="69">
        <f t="shared" ca="1" si="10"/>
        <v>721968</v>
      </c>
      <c r="AN51" s="69">
        <f t="shared" ca="1" si="11"/>
        <v>5878076</v>
      </c>
      <c r="AO51" s="69">
        <f t="shared" ca="1" si="12"/>
        <v>15850.030925999999</v>
      </c>
      <c r="AP51" s="69">
        <f t="shared" ca="1" si="13"/>
        <v>5862225.9690739997</v>
      </c>
      <c r="AQ51" s="69">
        <f t="shared" ca="1" si="14"/>
        <v>5862225.9690739997</v>
      </c>
      <c r="AR51" s="69">
        <f t="shared" ca="1" si="15"/>
        <v>5862200</v>
      </c>
      <c r="AS51" s="72"/>
      <c r="AT51" s="73" t="s">
        <v>17</v>
      </c>
      <c r="AU51" s="61" t="s">
        <v>15</v>
      </c>
      <c r="AV51" s="69">
        <f t="shared" si="34"/>
        <v>5729876</v>
      </c>
      <c r="AW51" s="69">
        <f t="shared" ca="1" si="35"/>
        <v>100000</v>
      </c>
      <c r="AX51" s="69">
        <f t="shared" ca="1" si="36"/>
        <v>250000</v>
      </c>
      <c r="AY51" s="69">
        <v>0</v>
      </c>
      <c r="AZ51" s="70">
        <f t="shared" si="37"/>
        <v>13751.702399999998</v>
      </c>
      <c r="BA51" s="69">
        <f t="shared" si="38"/>
        <v>17189.628000000001</v>
      </c>
      <c r="BB51" s="69">
        <f t="shared" si="39"/>
        <v>229195.04</v>
      </c>
      <c r="BC51" s="69">
        <f t="shared" ca="1" si="40"/>
        <v>6340012.3703999994</v>
      </c>
      <c r="BD51" s="74">
        <f ca="1">IF(AU51="C",VLOOKUP(BC51,TER!$J$4:$L$50,3,TRUE),IF(AU51="B",VLOOKUP(BC51,TER!$F$4:$H$50,3,TRUE),IF(AU51="A",VLOOKUP(BC51,TER!$B$4:$D$50,3,TRUE),"ERROR")))</f>
        <v>2.5000000000000001E-3</v>
      </c>
      <c r="BE51" s="69">
        <f t="shared" ca="1" si="41"/>
        <v>15850.030925999999</v>
      </c>
      <c r="BF51" s="113"/>
      <c r="BG51" s="113"/>
    </row>
    <row r="52" spans="1:59" ht="15.75" customHeight="1" outlineLevel="1">
      <c r="A52" s="113"/>
      <c r="B52" s="224">
        <v>43</v>
      </c>
      <c r="C52" s="67" t="s">
        <v>375</v>
      </c>
      <c r="D52" s="66" t="s">
        <v>376</v>
      </c>
      <c r="E52" s="67" t="s">
        <v>57</v>
      </c>
      <c r="F52" s="68" t="s">
        <v>1179</v>
      </c>
      <c r="G52" s="67" t="s">
        <v>31</v>
      </c>
      <c r="H52" s="66" t="s">
        <v>32</v>
      </c>
      <c r="I52" s="69">
        <f t="shared" si="43"/>
        <v>5729876</v>
      </c>
      <c r="J52" s="70">
        <v>316368</v>
      </c>
      <c r="K52" s="70">
        <v>203800</v>
      </c>
      <c r="L52" s="70">
        <v>100000</v>
      </c>
      <c r="M52" s="69">
        <f t="shared" ca="1" si="1"/>
        <v>4761.9047619047615</v>
      </c>
      <c r="N52" s="125">
        <f ca="1">IFERROR(__xludf.DUMMYFUNCTION("VLOOKUP(C52,IMPORTRANGE(""https://docs.google.com/spreadsheets/d/1ZLN5T8y7NSBIP1rvSj6TTUR_vTQbRwUKSt8zZJ_EfE4/edit?gid=461094331#gid=461094331"",""SCHEDULE_SDT_JAN26""),35,0)"),21)</f>
        <v>21</v>
      </c>
      <c r="O52" s="125">
        <f ca="1">IFERROR(__xludf.DUMMYFUNCTION("VLOOKUP(C52,IMPORTRANGE(""https://docs.google.com/spreadsheets/d/1ZLN5T8y7NSBIP1rvSj6TTUR_vTQbRwUKSt8zZJ_EfE4/edit?gid=461094331#gid=461094331"",""SCHEDULE_SDT_JAN26""),34,0)"),21)</f>
        <v>21</v>
      </c>
      <c r="P52" s="61">
        <f t="shared" ca="1" si="2"/>
        <v>99999.999999999985</v>
      </c>
      <c r="Q52" s="71"/>
      <c r="R52" s="69">
        <f t="shared" si="3"/>
        <v>6350044</v>
      </c>
      <c r="S52" s="69">
        <f t="shared" si="4"/>
        <v>6350044</v>
      </c>
      <c r="T52" s="61">
        <f t="shared" si="5"/>
        <v>0</v>
      </c>
      <c r="U52" s="70">
        <v>250000</v>
      </c>
      <c r="V52" s="61">
        <f ca="1">IFERROR(__xludf.DUMMYFUNCTION("VLOOKUP(C52,IMPORTRANGE(""https://docs.google.com/spreadsheets/d/1ZLN5T8y7NSBIP1rvSj6TTUR_vTQbRwUKSt8zZJ_EfE4/edit?gid=461094331#gid=461094331"",""SCHEDULE_SDT_JAN26""),36,0)"),1)</f>
        <v>1</v>
      </c>
      <c r="W52" s="69">
        <f t="shared" ca="1" si="6"/>
        <v>250000</v>
      </c>
      <c r="X52" s="89">
        <v>0</v>
      </c>
      <c r="Y52" s="69">
        <f t="shared" ca="1" si="7"/>
        <v>6600044</v>
      </c>
      <c r="Z52" s="61">
        <f ca="1">IFERROR(__xludf.DUMMYFUNCTION("VLOOKUP(C52,IMPORTRANGE(""https://docs.google.com/spreadsheets/d/1ZLN5T8y7NSBIP1rvSj6TTUR_vTQbRwUKSt8zZJ_EfE4/edit?gid=461094331#gid=461094331"",""SCHEDULE_SDT_JAN26""),38,0)+VLOOKUP(C52,IMPORTRANGE(""https://docs.google.com/spreadsheets/d/1ZLN5T8y7NSBIP1"&amp;"rvSj6TTUR_vTQbRwUKSt8zZJ_EfE4/edit?gid=461094331#gid=461094331"",""SCHEDULE_SDT_JAN26""),39,0)"),0)</f>
        <v>0</v>
      </c>
      <c r="AA52" s="61">
        <f ca="1">IFERROR(__xludf.DUMMYFUNCTION("VLOOKUP(C52,IMPORTRANGE(""https://docs.google.com/spreadsheets/d/1ZLN5T8y7NSBIP1rvSj6TTUR_vTQbRwUKSt8zZJ_EfE4/edit?gid=461094331#gid=461094331"",""SCHEDULE_SDT_JAN26""),40,0)"),0)</f>
        <v>0</v>
      </c>
      <c r="AB52" s="61">
        <f ca="1">IFERROR(__xludf.DUMMYFUNCTION("VLOOKUP(C52,IMPORTRANGE(""https://docs.google.com/spreadsheets/d/1ZLN5T8y7NSBIP1rvSj6TTUR_vTQbRwUKSt8zZJ_EfE4/edit?gid=461094331#gid=461094331"",""SCHEDULE_SDT_JAN26""),41,0)"),0)</f>
        <v>0</v>
      </c>
      <c r="AC52" s="61">
        <f ca="1">IFERROR(__xludf.DUMMYFUNCTION("VLOOKUP(C52,IMPORTRANGE(""https://docs.google.com/spreadsheets/d/1ZLN5T8y7NSBIP1rvSj6TTUR_vTQbRwUKSt8zZJ_EfE4/edit?gid=461094331#gid=461094331"",""SCHEDULE_SDT_JAN26""),42,0)"),0)</f>
        <v>0</v>
      </c>
      <c r="AD52" s="61">
        <f ca="1">IFERROR(__xludf.DUMMYFUNCTION("VLOOKUP(C52,IMPORTRANGE(""https://docs.google.com/spreadsheets/d/1ZLN5T8y7NSBIP1rvSj6TTUR_vTQbRwUKSt8zZJ_EfE4/edit?gid=461094331#gid=461094331"",""SCHEDULE_SDT_JAN26""),43,0)"),0)</f>
        <v>0</v>
      </c>
      <c r="AE52" s="69">
        <f t="shared" ca="1" si="8"/>
        <v>0</v>
      </c>
      <c r="AF52" s="19">
        <v>468468</v>
      </c>
      <c r="AG52" s="19">
        <v>253500</v>
      </c>
      <c r="AH52" s="69">
        <v>0</v>
      </c>
      <c r="AI52" s="69">
        <v>0</v>
      </c>
      <c r="AJ52" s="69">
        <v>0</v>
      </c>
      <c r="AK52" s="69">
        <f t="shared" si="9"/>
        <v>0</v>
      </c>
      <c r="AL52" s="69">
        <v>0</v>
      </c>
      <c r="AM52" s="69">
        <f t="shared" ca="1" si="10"/>
        <v>721968</v>
      </c>
      <c r="AN52" s="69">
        <f t="shared" ca="1" si="11"/>
        <v>5878076</v>
      </c>
      <c r="AO52" s="69">
        <f t="shared" ca="1" si="12"/>
        <v>63400.123703999998</v>
      </c>
      <c r="AP52" s="69">
        <f t="shared" ca="1" si="13"/>
        <v>5814675.8762959996</v>
      </c>
      <c r="AQ52" s="69">
        <f t="shared" ca="1" si="14"/>
        <v>5814675.8762959996</v>
      </c>
      <c r="AR52" s="69">
        <f t="shared" ca="1" si="15"/>
        <v>5814700</v>
      </c>
      <c r="AS52" s="72"/>
      <c r="AT52" s="73" t="s">
        <v>9</v>
      </c>
      <c r="AU52" s="61" t="s">
        <v>10</v>
      </c>
      <c r="AV52" s="69">
        <f t="shared" si="34"/>
        <v>5729876</v>
      </c>
      <c r="AW52" s="69">
        <f t="shared" ca="1" si="35"/>
        <v>99999.999999999985</v>
      </c>
      <c r="AX52" s="69">
        <f t="shared" ca="1" si="36"/>
        <v>250000</v>
      </c>
      <c r="AY52" s="69">
        <v>0</v>
      </c>
      <c r="AZ52" s="70">
        <f t="shared" si="37"/>
        <v>13751.702399999998</v>
      </c>
      <c r="BA52" s="69">
        <f t="shared" si="38"/>
        <v>17189.628000000001</v>
      </c>
      <c r="BB52" s="69">
        <f t="shared" si="39"/>
        <v>229195.04</v>
      </c>
      <c r="BC52" s="69">
        <f t="shared" ca="1" si="40"/>
        <v>6340012.3703999994</v>
      </c>
      <c r="BD52" s="74">
        <f ca="1">IF(AU52="C",VLOOKUP(BC52,TER!$J$4:$L$50,3,TRUE),IF(AU52="B",VLOOKUP(BC52,TER!$F$4:$H$50,3,TRUE),IF(AU52="A",VLOOKUP(BC52,TER!$B$4:$D$50,3,TRUE),"ERROR")))</f>
        <v>0.01</v>
      </c>
      <c r="BE52" s="69">
        <f t="shared" ca="1" si="41"/>
        <v>63400.123703999998</v>
      </c>
      <c r="BF52" s="113"/>
      <c r="BG52" s="113"/>
    </row>
    <row r="53" spans="1:59" ht="15.75" customHeight="1" outlineLevel="1">
      <c r="A53" s="113"/>
      <c r="B53" s="224">
        <v>44</v>
      </c>
      <c r="C53" s="67" t="s">
        <v>377</v>
      </c>
      <c r="D53" s="92" t="s">
        <v>1293</v>
      </c>
      <c r="E53" s="67" t="s">
        <v>57</v>
      </c>
      <c r="F53" s="68" t="s">
        <v>1180</v>
      </c>
      <c r="G53" s="67" t="s">
        <v>31</v>
      </c>
      <c r="H53" s="66" t="s">
        <v>32</v>
      </c>
      <c r="I53" s="69">
        <f t="shared" si="43"/>
        <v>5729876</v>
      </c>
      <c r="J53" s="70">
        <v>316368</v>
      </c>
      <c r="K53" s="70">
        <v>203800</v>
      </c>
      <c r="L53" s="70">
        <v>100000</v>
      </c>
      <c r="M53" s="69">
        <f t="shared" ca="1" si="1"/>
        <v>5000</v>
      </c>
      <c r="N53" s="125">
        <f ca="1">IFERROR(__xludf.DUMMYFUNCTION("VLOOKUP(C53,IMPORTRANGE(""https://docs.google.com/spreadsheets/d/1ZLN5T8y7NSBIP1rvSj6TTUR_vTQbRwUKSt8zZJ_EfE4/edit?gid=461094331#gid=461094331"",""SCHEDULE_SDT_JAN26""),35,0)"),17)</f>
        <v>17</v>
      </c>
      <c r="O53" s="125">
        <f ca="1">IFERROR(__xludf.DUMMYFUNCTION("VLOOKUP(C53,IMPORTRANGE(""https://docs.google.com/spreadsheets/d/1ZLN5T8y7NSBIP1rvSj6TTUR_vTQbRwUKSt8zZJ_EfE4/edit?gid=461094331#gid=461094331"",""SCHEDULE_SDT_JAN26""),34,0)"),20)</f>
        <v>20</v>
      </c>
      <c r="P53" s="61">
        <f t="shared" ca="1" si="2"/>
        <v>85000</v>
      </c>
      <c r="Q53" s="71"/>
      <c r="R53" s="69">
        <f t="shared" si="3"/>
        <v>6350044</v>
      </c>
      <c r="S53" s="69">
        <f t="shared" si="4"/>
        <v>6350044</v>
      </c>
      <c r="T53" s="61">
        <f t="shared" si="5"/>
        <v>0</v>
      </c>
      <c r="U53" s="70">
        <v>250000</v>
      </c>
      <c r="V53" s="61">
        <f ca="1">IFERROR(__xludf.DUMMYFUNCTION("VLOOKUP(C53,IMPORTRANGE(""https://docs.google.com/spreadsheets/d/1ZLN5T8y7NSBIP1rvSj6TTUR_vTQbRwUKSt8zZJ_EfE4/edit?gid=461094331#gid=461094331"",""SCHEDULE_SDT_JAN26""),36,0)"),2)</f>
        <v>2</v>
      </c>
      <c r="W53" s="69">
        <f t="shared" ca="1" si="6"/>
        <v>500000</v>
      </c>
      <c r="X53" s="89">
        <v>0</v>
      </c>
      <c r="Y53" s="69">
        <f t="shared" ca="1" si="7"/>
        <v>6835044</v>
      </c>
      <c r="Z53" s="61">
        <f ca="1">IFERROR(__xludf.DUMMYFUNCTION("VLOOKUP(C53,IMPORTRANGE(""https://docs.google.com/spreadsheets/d/1ZLN5T8y7NSBIP1rvSj6TTUR_vTQbRwUKSt8zZJ_EfE4/edit?gid=461094331#gid=461094331"",""SCHEDULE_SDT_JAN26""),38,0)+VLOOKUP(C53,IMPORTRANGE(""https://docs.google.com/spreadsheets/d/1ZLN5T8y7NSBIP1"&amp;"rvSj6TTUR_vTQbRwUKSt8zZJ_EfE4/edit?gid=461094331#gid=461094331"",""SCHEDULE_SDT_JAN26""),39,0)"),0)</f>
        <v>0</v>
      </c>
      <c r="AA53" s="61">
        <f ca="1">IFERROR(__xludf.DUMMYFUNCTION("VLOOKUP(C53,IMPORTRANGE(""https://docs.google.com/spreadsheets/d/1ZLN5T8y7NSBIP1rvSj6TTUR_vTQbRwUKSt8zZJ_EfE4/edit?gid=461094331#gid=461094331"",""SCHEDULE_SDT_JAN26""),40,0)"),0)</f>
        <v>0</v>
      </c>
      <c r="AB53" s="61">
        <f ca="1">IFERROR(__xludf.DUMMYFUNCTION("VLOOKUP(C53,IMPORTRANGE(""https://docs.google.com/spreadsheets/d/1ZLN5T8y7NSBIP1rvSj6TTUR_vTQbRwUKSt8zZJ_EfE4/edit?gid=461094331#gid=461094331"",""SCHEDULE_SDT_JAN26""),41,0)"),3)</f>
        <v>3</v>
      </c>
      <c r="AC53" s="61">
        <f ca="1">IFERROR(__xludf.DUMMYFUNCTION("VLOOKUP(C53,IMPORTRANGE(""https://docs.google.com/spreadsheets/d/1ZLN5T8y7NSBIP1rvSj6TTUR_vTQbRwUKSt8zZJ_EfE4/edit?gid=461094331#gid=461094331"",""SCHEDULE_SDT_JAN26""),42,0)"),0)</f>
        <v>0</v>
      </c>
      <c r="AD53" s="61">
        <f ca="1">IFERROR(__xludf.DUMMYFUNCTION("VLOOKUP(C53,IMPORTRANGE(""https://docs.google.com/spreadsheets/d/1ZLN5T8y7NSBIP1rvSj6TTUR_vTQbRwUKSt8zZJ_EfE4/edit?gid=461094331#gid=461094331"",""SCHEDULE_SDT_JAN26""),43,0)"),0)</f>
        <v>0</v>
      </c>
      <c r="AE53" s="69">
        <f t="shared" ca="1" si="8"/>
        <v>0</v>
      </c>
      <c r="AF53" s="19">
        <v>468468</v>
      </c>
      <c r="AG53" s="19">
        <v>253500</v>
      </c>
      <c r="AH53" s="69">
        <v>0</v>
      </c>
      <c r="AI53" s="69">
        <v>0</v>
      </c>
      <c r="AJ53" s="69">
        <v>0</v>
      </c>
      <c r="AK53" s="69">
        <f t="shared" si="9"/>
        <v>0</v>
      </c>
      <c r="AL53" s="69">
        <v>0</v>
      </c>
      <c r="AM53" s="69">
        <f t="shared" ca="1" si="10"/>
        <v>721968</v>
      </c>
      <c r="AN53" s="69">
        <f t="shared" ca="1" si="11"/>
        <v>6113076</v>
      </c>
      <c r="AO53" s="69">
        <f t="shared" ca="1" si="12"/>
        <v>65750.123703999998</v>
      </c>
      <c r="AP53" s="69">
        <f t="shared" ca="1" si="13"/>
        <v>6047325.8762959996</v>
      </c>
      <c r="AQ53" s="69">
        <f t="shared" ca="1" si="14"/>
        <v>6047325.8762959996</v>
      </c>
      <c r="AR53" s="69">
        <f t="shared" ca="1" si="15"/>
        <v>6047300</v>
      </c>
      <c r="AS53" s="72"/>
      <c r="AT53" s="73" t="s">
        <v>9</v>
      </c>
      <c r="AU53" s="61" t="s">
        <v>10</v>
      </c>
      <c r="AV53" s="69">
        <f t="shared" si="34"/>
        <v>5729876</v>
      </c>
      <c r="AW53" s="69">
        <f t="shared" ca="1" si="35"/>
        <v>85000</v>
      </c>
      <c r="AX53" s="69">
        <f t="shared" ca="1" si="36"/>
        <v>500000</v>
      </c>
      <c r="AY53" s="69">
        <v>0</v>
      </c>
      <c r="AZ53" s="70">
        <f t="shared" si="37"/>
        <v>13751.702399999998</v>
      </c>
      <c r="BA53" s="69">
        <f t="shared" si="38"/>
        <v>17189.628000000001</v>
      </c>
      <c r="BB53" s="69">
        <f t="shared" si="39"/>
        <v>229195.04</v>
      </c>
      <c r="BC53" s="69">
        <f t="shared" ca="1" si="40"/>
        <v>6575012.3703999994</v>
      </c>
      <c r="BD53" s="74">
        <f ca="1">IF(AU53="C",VLOOKUP(BC53,TER!$J$4:$L$50,3,TRUE),IF(AU53="B",VLOOKUP(BC53,TER!$F$4:$H$50,3,TRUE),IF(AU53="A",VLOOKUP(BC53,TER!$B$4:$D$50,3,TRUE),"ERROR")))</f>
        <v>0.01</v>
      </c>
      <c r="BE53" s="69">
        <f t="shared" ca="1" si="41"/>
        <v>65750.123703999998</v>
      </c>
      <c r="BF53" s="113"/>
      <c r="BG53" s="113"/>
    </row>
    <row r="54" spans="1:59" ht="15.75" customHeight="1">
      <c r="A54" s="113"/>
      <c r="B54" s="224">
        <v>45</v>
      </c>
      <c r="C54" s="67" t="s">
        <v>378</v>
      </c>
      <c r="D54" s="66" t="s">
        <v>379</v>
      </c>
      <c r="E54" s="293" t="s">
        <v>1181</v>
      </c>
      <c r="F54" s="294" t="s">
        <v>1182</v>
      </c>
      <c r="G54" s="67" t="s">
        <v>31</v>
      </c>
      <c r="H54" s="66" t="s">
        <v>32</v>
      </c>
      <c r="I54" s="69">
        <f t="shared" si="43"/>
        <v>5729876</v>
      </c>
      <c r="J54" s="70">
        <v>316368</v>
      </c>
      <c r="K54" s="70">
        <v>203800</v>
      </c>
      <c r="L54" s="70">
        <v>100000</v>
      </c>
      <c r="M54" s="69">
        <f t="shared" ca="1" si="1"/>
        <v>5000</v>
      </c>
      <c r="N54" s="125">
        <f ca="1">IFERROR(__xludf.DUMMYFUNCTION("VLOOKUP(C54,IMPORTRANGE(""https://docs.google.com/spreadsheets/d/1ZLN5T8y7NSBIP1rvSj6TTUR_vTQbRwUKSt8zZJ_EfE4/edit?gid=461094331#gid=461094331"",""SCHEDULE_SDT_JAN26""),35,0)"),20)</f>
        <v>20</v>
      </c>
      <c r="O54" s="125">
        <f ca="1">IFERROR(__xludf.DUMMYFUNCTION("VLOOKUP(C54,IMPORTRANGE(""https://docs.google.com/spreadsheets/d/1ZLN5T8y7NSBIP1rvSj6TTUR_vTQbRwUKSt8zZJ_EfE4/edit?gid=461094331#gid=461094331"",""SCHEDULE_SDT_JAN26""),34,0)"),20)</f>
        <v>20</v>
      </c>
      <c r="P54" s="61">
        <f t="shared" ca="1" si="2"/>
        <v>100000</v>
      </c>
      <c r="Q54" s="71"/>
      <c r="R54" s="69">
        <f t="shared" si="3"/>
        <v>6350044</v>
      </c>
      <c r="S54" s="69">
        <f t="shared" si="4"/>
        <v>6350044</v>
      </c>
      <c r="T54" s="61">
        <f t="shared" si="5"/>
        <v>0</v>
      </c>
      <c r="U54" s="70">
        <v>250000</v>
      </c>
      <c r="V54" s="61">
        <f ca="1">IFERROR(__xludf.DUMMYFUNCTION("VLOOKUP(C54,IMPORTRANGE(""https://docs.google.com/spreadsheets/d/1ZLN5T8y7NSBIP1rvSj6TTUR_vTQbRwUKSt8zZJ_EfE4/edit?gid=461094331#gid=461094331"",""SCHEDULE_SDT_JAN26""),36,0)"),2)</f>
        <v>2</v>
      </c>
      <c r="W54" s="69">
        <f t="shared" ca="1" si="6"/>
        <v>500000</v>
      </c>
      <c r="X54" s="89">
        <v>0</v>
      </c>
      <c r="Y54" s="69">
        <f t="shared" ca="1" si="7"/>
        <v>6850044</v>
      </c>
      <c r="Z54" s="61">
        <f ca="1">IFERROR(__xludf.DUMMYFUNCTION("VLOOKUP(C54,IMPORTRANGE(""https://docs.google.com/spreadsheets/d/1ZLN5T8y7NSBIP1rvSj6TTUR_vTQbRwUKSt8zZJ_EfE4/edit?gid=461094331#gid=461094331"",""SCHEDULE_SDT_JAN26""),38,0)+VLOOKUP(C54,IMPORTRANGE(""https://docs.google.com/spreadsheets/d/1ZLN5T8y7NSBIP1"&amp;"rvSj6TTUR_vTQbRwUKSt8zZJ_EfE4/edit?gid=461094331#gid=461094331"",""SCHEDULE_SDT_JAN26""),39,0)"),0)</f>
        <v>0</v>
      </c>
      <c r="AA54" s="61">
        <f ca="1">IFERROR(__xludf.DUMMYFUNCTION("VLOOKUP(C54,IMPORTRANGE(""https://docs.google.com/spreadsheets/d/1ZLN5T8y7NSBIP1rvSj6TTUR_vTQbRwUKSt8zZJ_EfE4/edit?gid=461094331#gid=461094331"",""SCHEDULE_SDT_JAN26""),40,0)"),0)</f>
        <v>0</v>
      </c>
      <c r="AB54" s="61">
        <f ca="1">IFERROR(__xludf.DUMMYFUNCTION("VLOOKUP(C54,IMPORTRANGE(""https://docs.google.com/spreadsheets/d/1ZLN5T8y7NSBIP1rvSj6TTUR_vTQbRwUKSt8zZJ_EfE4/edit?gid=461094331#gid=461094331"",""SCHEDULE_SDT_JAN26""),41,0)"),0)</f>
        <v>0</v>
      </c>
      <c r="AC54" s="61">
        <f ca="1">IFERROR(__xludf.DUMMYFUNCTION("VLOOKUP(C54,IMPORTRANGE(""https://docs.google.com/spreadsheets/d/1ZLN5T8y7NSBIP1rvSj6TTUR_vTQbRwUKSt8zZJ_EfE4/edit?gid=461094331#gid=461094331"",""SCHEDULE_SDT_JAN26""),42,0)"),0)</f>
        <v>0</v>
      </c>
      <c r="AD54" s="61">
        <f ca="1">IFERROR(__xludf.DUMMYFUNCTION("VLOOKUP(C54,IMPORTRANGE(""https://docs.google.com/spreadsheets/d/1ZLN5T8y7NSBIP1rvSj6TTUR_vTQbRwUKSt8zZJ_EfE4/edit?gid=461094331#gid=461094331"",""SCHEDULE_SDT_JAN26""),43,0)"),0)</f>
        <v>0</v>
      </c>
      <c r="AE54" s="69">
        <f t="shared" ca="1" si="8"/>
        <v>0</v>
      </c>
      <c r="AF54" s="19">
        <v>468468</v>
      </c>
      <c r="AG54" s="19">
        <v>253500</v>
      </c>
      <c r="AH54" s="69">
        <v>0</v>
      </c>
      <c r="AI54" s="69">
        <v>0</v>
      </c>
      <c r="AJ54" s="69">
        <v>0</v>
      </c>
      <c r="AK54" s="69">
        <f t="shared" si="9"/>
        <v>0</v>
      </c>
      <c r="AL54" s="69">
        <v>0</v>
      </c>
      <c r="AM54" s="69">
        <f t="shared" ca="1" si="10"/>
        <v>721968</v>
      </c>
      <c r="AN54" s="69">
        <f t="shared" ca="1" si="11"/>
        <v>6128076</v>
      </c>
      <c r="AO54" s="69">
        <f t="shared" ca="1" si="12"/>
        <v>32950.061851999999</v>
      </c>
      <c r="AP54" s="69">
        <f t="shared" ca="1" si="13"/>
        <v>6095125.9381480003</v>
      </c>
      <c r="AQ54" s="69">
        <f t="shared" ca="1" si="14"/>
        <v>6095125.9381480003</v>
      </c>
      <c r="AR54" s="69">
        <f t="shared" ca="1" si="15"/>
        <v>6095100</v>
      </c>
      <c r="AS54" s="72"/>
      <c r="AT54" s="73" t="s">
        <v>17</v>
      </c>
      <c r="AU54" s="61" t="s">
        <v>15</v>
      </c>
      <c r="AV54" s="69">
        <f t="shared" si="34"/>
        <v>5729876</v>
      </c>
      <c r="AW54" s="69">
        <f t="shared" ca="1" si="35"/>
        <v>100000</v>
      </c>
      <c r="AX54" s="69">
        <f t="shared" ca="1" si="36"/>
        <v>500000</v>
      </c>
      <c r="AY54" s="69">
        <v>0</v>
      </c>
      <c r="AZ54" s="70">
        <f t="shared" si="37"/>
        <v>13751.702399999998</v>
      </c>
      <c r="BA54" s="69">
        <f t="shared" si="38"/>
        <v>17189.628000000001</v>
      </c>
      <c r="BB54" s="69">
        <f t="shared" si="39"/>
        <v>229195.04</v>
      </c>
      <c r="BC54" s="69">
        <f t="shared" ca="1" si="40"/>
        <v>6590012.3703999994</v>
      </c>
      <c r="BD54" s="74">
        <f ca="1">IF(AU54="C",VLOOKUP(BC54,TER!$J$4:$L$50,3,TRUE),IF(AU54="B",VLOOKUP(BC54,TER!$F$4:$H$50,3,TRUE),IF(AU54="A",VLOOKUP(BC54,TER!$B$4:$D$50,3,TRUE),"ERROR")))</f>
        <v>5.0000000000000001E-3</v>
      </c>
      <c r="BE54" s="69">
        <f t="shared" ca="1" si="41"/>
        <v>32950.061851999999</v>
      </c>
      <c r="BF54" s="113"/>
      <c r="BG54" s="113"/>
    </row>
    <row r="55" spans="1:59" ht="15.75" customHeight="1" outlineLevel="1">
      <c r="A55" s="113"/>
      <c r="B55" s="224">
        <v>46</v>
      </c>
      <c r="C55" s="128" t="s">
        <v>978</v>
      </c>
      <c r="D55" s="66" t="s">
        <v>979</v>
      </c>
      <c r="E55" s="67" t="s">
        <v>57</v>
      </c>
      <c r="F55" s="68" t="s">
        <v>1183</v>
      </c>
      <c r="G55" s="60" t="s">
        <v>31</v>
      </c>
      <c r="H55" s="66" t="s">
        <v>32</v>
      </c>
      <c r="I55" s="69">
        <f t="shared" si="43"/>
        <v>5729876</v>
      </c>
      <c r="J55" s="70">
        <v>316368</v>
      </c>
      <c r="K55" s="70">
        <v>203800</v>
      </c>
      <c r="L55" s="70">
        <v>200000</v>
      </c>
      <c r="M55" s="69">
        <f t="shared" ca="1" si="1"/>
        <v>9523.8095238095229</v>
      </c>
      <c r="N55" s="125">
        <f ca="1">IFERROR(__xludf.DUMMYFUNCTION("VLOOKUP(C55,IMPORTRANGE(""https://docs.google.com/spreadsheets/d/1ZLN5T8y7NSBIP1rvSj6TTUR_vTQbRwUKSt8zZJ_EfE4/edit?gid=461094331#gid=461094331"",""SCHEDULE_SDT_JAN26""),35,0)"),19)</f>
        <v>19</v>
      </c>
      <c r="O55" s="125">
        <f ca="1">IFERROR(__xludf.DUMMYFUNCTION("VLOOKUP(C55,IMPORTRANGE(""https://docs.google.com/spreadsheets/d/1ZLN5T8y7NSBIP1rvSj6TTUR_vTQbRwUKSt8zZJ_EfE4/edit?gid=461094331#gid=461094331"",""SCHEDULE_SDT_JAN26""),34,0)"),21)</f>
        <v>21</v>
      </c>
      <c r="P55" s="61">
        <f t="shared" ca="1" si="2"/>
        <v>180952.38095238095</v>
      </c>
      <c r="Q55" s="71"/>
      <c r="R55" s="69">
        <f t="shared" si="3"/>
        <v>6450044</v>
      </c>
      <c r="S55" s="69">
        <f t="shared" si="4"/>
        <v>6450044</v>
      </c>
      <c r="T55" s="61">
        <f t="shared" si="5"/>
        <v>0</v>
      </c>
      <c r="U55" s="70">
        <v>250000</v>
      </c>
      <c r="V55" s="61">
        <f ca="1">IFERROR(__xludf.DUMMYFUNCTION("VLOOKUP(C55,IMPORTRANGE(""https://docs.google.com/spreadsheets/d/1ZLN5T8y7NSBIP1rvSj6TTUR_vTQbRwUKSt8zZJ_EfE4/edit?gid=461094331#gid=461094331"",""SCHEDULE_SDT_JAN26""),36,0)"),1)</f>
        <v>1</v>
      </c>
      <c r="W55" s="69">
        <f t="shared" ca="1" si="6"/>
        <v>250000</v>
      </c>
      <c r="X55" s="89">
        <v>0</v>
      </c>
      <c r="Y55" s="69">
        <f t="shared" ca="1" si="7"/>
        <v>6680996.3809523806</v>
      </c>
      <c r="Z55" s="61">
        <f ca="1">IFERROR(__xludf.DUMMYFUNCTION("VLOOKUP(C55,IMPORTRANGE(""https://docs.google.com/spreadsheets/d/1ZLN5T8y7NSBIP1rvSj6TTUR_vTQbRwUKSt8zZJ_EfE4/edit?gid=461094331#gid=461094331"",""SCHEDULE_SDT_JAN26""),38,0)+VLOOKUP(C55,IMPORTRANGE(""https://docs.google.com/spreadsheets/d/1ZLN5T8y7NSBIP1"&amp;"rvSj6TTUR_vTQbRwUKSt8zZJ_EfE4/edit?gid=461094331#gid=461094331"",""SCHEDULE_SDT_JAN26""),39,0)"),0)</f>
        <v>0</v>
      </c>
      <c r="AA55" s="61">
        <f ca="1">IFERROR(__xludf.DUMMYFUNCTION("VLOOKUP(C55,IMPORTRANGE(""https://docs.google.com/spreadsheets/d/1ZLN5T8y7NSBIP1rvSj6TTUR_vTQbRwUKSt8zZJ_EfE4/edit?gid=461094331#gid=461094331"",""SCHEDULE_SDT_JAN26""),40,0)"),0)</f>
        <v>0</v>
      </c>
      <c r="AB55" s="61">
        <f ca="1">IFERROR(__xludf.DUMMYFUNCTION("VLOOKUP(C55,IMPORTRANGE(""https://docs.google.com/spreadsheets/d/1ZLN5T8y7NSBIP1rvSj6TTUR_vTQbRwUKSt8zZJ_EfE4/edit?gid=461094331#gid=461094331"",""SCHEDULE_SDT_JAN26""),41,0)"),2)</f>
        <v>2</v>
      </c>
      <c r="AC55" s="61">
        <f ca="1">IFERROR(__xludf.DUMMYFUNCTION("VLOOKUP(C55,IMPORTRANGE(""https://docs.google.com/spreadsheets/d/1ZLN5T8y7NSBIP1rvSj6TTUR_vTQbRwUKSt8zZJ_EfE4/edit?gid=461094331#gid=461094331"",""SCHEDULE_SDT_JAN26""),42,0)"),0)</f>
        <v>0</v>
      </c>
      <c r="AD55" s="61">
        <f ca="1">IFERROR(__xludf.DUMMYFUNCTION("VLOOKUP(C55,IMPORTRANGE(""https://docs.google.com/spreadsheets/d/1ZLN5T8y7NSBIP1rvSj6TTUR_vTQbRwUKSt8zZJ_EfE4/edit?gid=461094331#gid=461094331"",""SCHEDULE_SDT_JAN26""),43,0)"),0)</f>
        <v>0</v>
      </c>
      <c r="AE55" s="69">
        <f t="shared" ca="1" si="8"/>
        <v>0</v>
      </c>
      <c r="AF55" s="19">
        <v>468468</v>
      </c>
      <c r="AG55" s="19">
        <v>253500</v>
      </c>
      <c r="AH55" s="69">
        <v>0</v>
      </c>
      <c r="AI55" s="69">
        <v>0</v>
      </c>
      <c r="AJ55" s="69">
        <v>0</v>
      </c>
      <c r="AK55" s="69">
        <f t="shared" si="9"/>
        <v>0</v>
      </c>
      <c r="AL55" s="69">
        <v>0</v>
      </c>
      <c r="AM55" s="69">
        <f t="shared" ca="1" si="10"/>
        <v>721968</v>
      </c>
      <c r="AN55" s="69">
        <f t="shared" ca="1" si="11"/>
        <v>5959028.3809523806</v>
      </c>
      <c r="AO55" s="69">
        <f t="shared" ca="1" si="12"/>
        <v>64209.6475135238</v>
      </c>
      <c r="AP55" s="69">
        <f t="shared" ca="1" si="13"/>
        <v>5894818.7334388569</v>
      </c>
      <c r="AQ55" s="69">
        <f t="shared" ca="1" si="14"/>
        <v>5894818.7334388569</v>
      </c>
      <c r="AR55" s="69">
        <f t="shared" ca="1" si="15"/>
        <v>5894800</v>
      </c>
      <c r="AS55" s="72"/>
      <c r="AT55" s="73" t="s">
        <v>9</v>
      </c>
      <c r="AU55" s="61" t="s">
        <v>10</v>
      </c>
      <c r="AV55" s="69">
        <f t="shared" si="34"/>
        <v>5729876</v>
      </c>
      <c r="AW55" s="69">
        <f t="shared" ca="1" si="35"/>
        <v>180952.38095238095</v>
      </c>
      <c r="AX55" s="69">
        <f t="shared" ca="1" si="36"/>
        <v>250000</v>
      </c>
      <c r="AY55" s="69">
        <v>0</v>
      </c>
      <c r="AZ55" s="70">
        <f t="shared" si="37"/>
        <v>13751.702399999998</v>
      </c>
      <c r="BA55" s="69">
        <f t="shared" si="38"/>
        <v>17189.628000000001</v>
      </c>
      <c r="BB55" s="69">
        <f t="shared" si="39"/>
        <v>229195.04</v>
      </c>
      <c r="BC55" s="69">
        <f t="shared" ca="1" si="40"/>
        <v>6420964.75135238</v>
      </c>
      <c r="BD55" s="74">
        <f ca="1">IF(AU55="C",VLOOKUP(BC55,TER!$J$4:$L$50,3,TRUE),IF(AU55="B",VLOOKUP(BC55,TER!$F$4:$H$50,3,TRUE),IF(AU55="A",VLOOKUP(BC55,TER!$B$4:$D$50,3,TRUE),"ERROR")))</f>
        <v>0.01</v>
      </c>
      <c r="BE55" s="69">
        <f t="shared" ca="1" si="41"/>
        <v>64209.6475135238</v>
      </c>
      <c r="BF55" s="113"/>
      <c r="BG55" s="113"/>
    </row>
    <row r="56" spans="1:59" ht="15.75" customHeight="1" outlineLevel="1">
      <c r="A56" s="113"/>
      <c r="B56" s="224">
        <v>47</v>
      </c>
      <c r="C56" s="105" t="s">
        <v>980</v>
      </c>
      <c r="D56" s="96" t="s">
        <v>981</v>
      </c>
      <c r="E56" s="67" t="s">
        <v>57</v>
      </c>
      <c r="F56" s="68" t="s">
        <v>1184</v>
      </c>
      <c r="G56" s="67" t="s">
        <v>31</v>
      </c>
      <c r="H56" s="66" t="s">
        <v>32</v>
      </c>
      <c r="I56" s="69">
        <f t="shared" si="43"/>
        <v>5729876</v>
      </c>
      <c r="J56" s="70">
        <v>316368</v>
      </c>
      <c r="K56" s="70">
        <v>203800</v>
      </c>
      <c r="L56" s="70">
        <v>200000</v>
      </c>
      <c r="M56" s="69">
        <f t="shared" ca="1" si="1"/>
        <v>10000</v>
      </c>
      <c r="N56" s="125">
        <f ca="1">IFERROR(__xludf.DUMMYFUNCTION("VLOOKUP(C56,IMPORTRANGE(""https://docs.google.com/spreadsheets/d/1ZLN5T8y7NSBIP1rvSj6TTUR_vTQbRwUKSt8zZJ_EfE4/edit?gid=461094331#gid=461094331"",""SCHEDULE_SDT_JAN26""),35,0)"),20)</f>
        <v>20</v>
      </c>
      <c r="O56" s="125">
        <f ca="1">IFERROR(__xludf.DUMMYFUNCTION("VLOOKUP(C56,IMPORTRANGE(""https://docs.google.com/spreadsheets/d/1ZLN5T8y7NSBIP1rvSj6TTUR_vTQbRwUKSt8zZJ_EfE4/edit?gid=461094331#gid=461094331"",""SCHEDULE_SDT_JAN26""),34,0)"),20)</f>
        <v>20</v>
      </c>
      <c r="P56" s="61">
        <f t="shared" ca="1" si="2"/>
        <v>200000</v>
      </c>
      <c r="Q56" s="71"/>
      <c r="R56" s="69">
        <f t="shared" si="3"/>
        <v>6450044</v>
      </c>
      <c r="S56" s="69">
        <f t="shared" si="4"/>
        <v>6450044</v>
      </c>
      <c r="T56" s="61">
        <f t="shared" si="5"/>
        <v>0</v>
      </c>
      <c r="U56" s="70">
        <v>250000</v>
      </c>
      <c r="V56" s="61">
        <f ca="1">IFERROR(__xludf.DUMMYFUNCTION("VLOOKUP(C56,IMPORTRANGE(""https://docs.google.com/spreadsheets/d/1ZLN5T8y7NSBIP1rvSj6TTUR_vTQbRwUKSt8zZJ_EfE4/edit?gid=461094331#gid=461094331"",""SCHEDULE_SDT_JAN26""),36,0)"),2)</f>
        <v>2</v>
      </c>
      <c r="W56" s="69">
        <f t="shared" ca="1" si="6"/>
        <v>500000</v>
      </c>
      <c r="X56" s="89">
        <v>0</v>
      </c>
      <c r="Y56" s="69">
        <f t="shared" ca="1" si="7"/>
        <v>6950044</v>
      </c>
      <c r="Z56" s="61">
        <f ca="1">IFERROR(__xludf.DUMMYFUNCTION("VLOOKUP(C56,IMPORTRANGE(""https://docs.google.com/spreadsheets/d/1ZLN5T8y7NSBIP1rvSj6TTUR_vTQbRwUKSt8zZJ_EfE4/edit?gid=461094331#gid=461094331"",""SCHEDULE_SDT_JAN26""),38,0)+VLOOKUP(C56,IMPORTRANGE(""https://docs.google.com/spreadsheets/d/1ZLN5T8y7NSBIP1"&amp;"rvSj6TTUR_vTQbRwUKSt8zZJ_EfE4/edit?gid=461094331#gid=461094331"",""SCHEDULE_SDT_JAN26""),39,0)"),0)</f>
        <v>0</v>
      </c>
      <c r="AA56" s="61">
        <f ca="1">IFERROR(__xludf.DUMMYFUNCTION("VLOOKUP(C56,IMPORTRANGE(""https://docs.google.com/spreadsheets/d/1ZLN5T8y7NSBIP1rvSj6TTUR_vTQbRwUKSt8zZJ_EfE4/edit?gid=461094331#gid=461094331"",""SCHEDULE_SDT_JAN26""),40,0)"),0)</f>
        <v>0</v>
      </c>
      <c r="AB56" s="61">
        <f ca="1">IFERROR(__xludf.DUMMYFUNCTION("VLOOKUP(C56,IMPORTRANGE(""https://docs.google.com/spreadsheets/d/1ZLN5T8y7NSBIP1rvSj6TTUR_vTQbRwUKSt8zZJ_EfE4/edit?gid=461094331#gid=461094331"",""SCHEDULE_SDT_JAN26""),41,0)"),0)</f>
        <v>0</v>
      </c>
      <c r="AC56" s="61">
        <f ca="1">IFERROR(__xludf.DUMMYFUNCTION("VLOOKUP(C56,IMPORTRANGE(""https://docs.google.com/spreadsheets/d/1ZLN5T8y7NSBIP1rvSj6TTUR_vTQbRwUKSt8zZJ_EfE4/edit?gid=461094331#gid=461094331"",""SCHEDULE_SDT_JAN26""),42,0)"),0)</f>
        <v>0</v>
      </c>
      <c r="AD56" s="61">
        <f ca="1">IFERROR(__xludf.DUMMYFUNCTION("VLOOKUP(C56,IMPORTRANGE(""https://docs.google.com/spreadsheets/d/1ZLN5T8y7NSBIP1rvSj6TTUR_vTQbRwUKSt8zZJ_EfE4/edit?gid=461094331#gid=461094331"",""SCHEDULE_SDT_JAN26""),43,0)"),0)</f>
        <v>0</v>
      </c>
      <c r="AE56" s="69">
        <f t="shared" ca="1" si="8"/>
        <v>0</v>
      </c>
      <c r="AF56" s="19">
        <v>468468</v>
      </c>
      <c r="AG56" s="19">
        <v>253500</v>
      </c>
      <c r="AH56" s="69">
        <v>0</v>
      </c>
      <c r="AI56" s="69">
        <v>0</v>
      </c>
      <c r="AJ56" s="69">
        <v>0</v>
      </c>
      <c r="AK56" s="69">
        <f t="shared" si="9"/>
        <v>0</v>
      </c>
      <c r="AL56" s="69">
        <v>0</v>
      </c>
      <c r="AM56" s="69">
        <f t="shared" ca="1" si="10"/>
        <v>721968</v>
      </c>
      <c r="AN56" s="69">
        <f t="shared" ca="1" si="11"/>
        <v>6228076</v>
      </c>
      <c r="AO56" s="69">
        <f t="shared" ca="1" si="12"/>
        <v>66900.123703999998</v>
      </c>
      <c r="AP56" s="69">
        <f t="shared" ca="1" si="13"/>
        <v>6161175.8762959996</v>
      </c>
      <c r="AQ56" s="69">
        <f t="shared" ca="1" si="14"/>
        <v>6161175.8762959996</v>
      </c>
      <c r="AR56" s="69">
        <f t="shared" ca="1" si="15"/>
        <v>6161200</v>
      </c>
      <c r="AS56" s="72"/>
      <c r="AT56" s="73" t="s">
        <v>9</v>
      </c>
      <c r="AU56" s="61" t="s">
        <v>10</v>
      </c>
      <c r="AV56" s="69">
        <f t="shared" si="34"/>
        <v>5729876</v>
      </c>
      <c r="AW56" s="69">
        <f t="shared" ca="1" si="35"/>
        <v>200000</v>
      </c>
      <c r="AX56" s="69">
        <f t="shared" ca="1" si="36"/>
        <v>500000</v>
      </c>
      <c r="AY56" s="69">
        <v>0</v>
      </c>
      <c r="AZ56" s="70">
        <f t="shared" si="37"/>
        <v>13751.702399999998</v>
      </c>
      <c r="BA56" s="69">
        <f t="shared" si="38"/>
        <v>17189.628000000001</v>
      </c>
      <c r="BB56" s="69">
        <f t="shared" si="39"/>
        <v>229195.04</v>
      </c>
      <c r="BC56" s="69">
        <f t="shared" ca="1" si="40"/>
        <v>6690012.3703999994</v>
      </c>
      <c r="BD56" s="74">
        <f ca="1">IF(AU56="C",VLOOKUP(BC56,TER!$J$4:$L$50,3,TRUE),IF(AU56="B",VLOOKUP(BC56,TER!$F$4:$H$50,3,TRUE),IF(AU56="A",VLOOKUP(BC56,TER!$B$4:$D$50,3,TRUE),"ERROR")))</f>
        <v>0.01</v>
      </c>
      <c r="BE56" s="69">
        <f t="shared" ca="1" si="41"/>
        <v>66900.123703999998</v>
      </c>
      <c r="BF56" s="113"/>
      <c r="BG56" s="113"/>
    </row>
    <row r="57" spans="1:59" ht="15.75" customHeight="1">
      <c r="A57" s="136"/>
      <c r="B57" s="224">
        <v>48</v>
      </c>
      <c r="C57" s="128" t="s">
        <v>982</v>
      </c>
      <c r="D57" s="66" t="s">
        <v>983</v>
      </c>
      <c r="E57" s="67" t="s">
        <v>57</v>
      </c>
      <c r="F57" s="68" t="s">
        <v>1185</v>
      </c>
      <c r="G57" s="67" t="s">
        <v>31</v>
      </c>
      <c r="H57" s="66" t="s">
        <v>32</v>
      </c>
      <c r="I57" s="69">
        <f t="shared" si="43"/>
        <v>5729876</v>
      </c>
      <c r="J57" s="70">
        <v>316368</v>
      </c>
      <c r="K57" s="70">
        <v>203800</v>
      </c>
      <c r="L57" s="70">
        <v>200000</v>
      </c>
      <c r="M57" s="69">
        <f t="shared" ca="1" si="1"/>
        <v>10000</v>
      </c>
      <c r="N57" s="125">
        <f ca="1">IFERROR(__xludf.DUMMYFUNCTION("VLOOKUP(C57,IMPORTRANGE(""https://docs.google.com/spreadsheets/d/1ZLN5T8y7NSBIP1rvSj6TTUR_vTQbRwUKSt8zZJ_EfE4/edit?gid=461094331#gid=461094331"",""SCHEDULE_SDT_JAN26""),35,0)"),20)</f>
        <v>20</v>
      </c>
      <c r="O57" s="125">
        <f ca="1">IFERROR(__xludf.DUMMYFUNCTION("VLOOKUP(C57,IMPORTRANGE(""https://docs.google.com/spreadsheets/d/1ZLN5T8y7NSBIP1rvSj6TTUR_vTQbRwUKSt8zZJ_EfE4/edit?gid=461094331#gid=461094331"",""SCHEDULE_SDT_JAN26""),34,0)"),20)</f>
        <v>20</v>
      </c>
      <c r="P57" s="61">
        <f t="shared" ca="1" si="2"/>
        <v>200000</v>
      </c>
      <c r="Q57" s="71"/>
      <c r="R57" s="69">
        <f t="shared" si="3"/>
        <v>6450044</v>
      </c>
      <c r="S57" s="69">
        <f t="shared" si="4"/>
        <v>6450044</v>
      </c>
      <c r="T57" s="61">
        <f t="shared" si="5"/>
        <v>0</v>
      </c>
      <c r="U57" s="70">
        <v>250000</v>
      </c>
      <c r="V57" s="61">
        <f ca="1">IFERROR(__xludf.DUMMYFUNCTION("VLOOKUP(C57,IMPORTRANGE(""https://docs.google.com/spreadsheets/d/1ZLN5T8y7NSBIP1rvSj6TTUR_vTQbRwUKSt8zZJ_EfE4/edit?gid=461094331#gid=461094331"",""SCHEDULE_SDT_JAN26""),36,0)"),2)</f>
        <v>2</v>
      </c>
      <c r="W57" s="69">
        <f t="shared" ca="1" si="6"/>
        <v>500000</v>
      </c>
      <c r="X57" s="89">
        <v>0</v>
      </c>
      <c r="Y57" s="69">
        <f t="shared" ca="1" si="7"/>
        <v>6950044</v>
      </c>
      <c r="Z57" s="61">
        <f ca="1">IFERROR(__xludf.DUMMYFUNCTION("VLOOKUP(C57,IMPORTRANGE(""https://docs.google.com/spreadsheets/d/1ZLN5T8y7NSBIP1rvSj6TTUR_vTQbRwUKSt8zZJ_EfE4/edit?gid=461094331#gid=461094331"",""SCHEDULE_SDT_JAN26""),38,0)+VLOOKUP(C57,IMPORTRANGE(""https://docs.google.com/spreadsheets/d/1ZLN5T8y7NSBIP1"&amp;"rvSj6TTUR_vTQbRwUKSt8zZJ_EfE4/edit?gid=461094331#gid=461094331"",""SCHEDULE_SDT_JAN26""),39,0)"),0)</f>
        <v>0</v>
      </c>
      <c r="AA57" s="61">
        <f ca="1">IFERROR(__xludf.DUMMYFUNCTION("VLOOKUP(C57,IMPORTRANGE(""https://docs.google.com/spreadsheets/d/1ZLN5T8y7NSBIP1rvSj6TTUR_vTQbRwUKSt8zZJ_EfE4/edit?gid=461094331#gid=461094331"",""SCHEDULE_SDT_JAN26""),40,0)"),0)</f>
        <v>0</v>
      </c>
      <c r="AB57" s="61">
        <f ca="1">IFERROR(__xludf.DUMMYFUNCTION("VLOOKUP(C57,IMPORTRANGE(""https://docs.google.com/spreadsheets/d/1ZLN5T8y7NSBIP1rvSj6TTUR_vTQbRwUKSt8zZJ_EfE4/edit?gid=461094331#gid=461094331"",""SCHEDULE_SDT_JAN26""),41,0)"),0)</f>
        <v>0</v>
      </c>
      <c r="AC57" s="61">
        <f ca="1">IFERROR(__xludf.DUMMYFUNCTION("VLOOKUP(C57,IMPORTRANGE(""https://docs.google.com/spreadsheets/d/1ZLN5T8y7NSBIP1rvSj6TTUR_vTQbRwUKSt8zZJ_EfE4/edit?gid=461094331#gid=461094331"",""SCHEDULE_SDT_JAN26""),42,0)"),0)</f>
        <v>0</v>
      </c>
      <c r="AD57" s="61">
        <f ca="1">IFERROR(__xludf.DUMMYFUNCTION("VLOOKUP(C57,IMPORTRANGE(""https://docs.google.com/spreadsheets/d/1ZLN5T8y7NSBIP1rvSj6TTUR_vTQbRwUKSt8zZJ_EfE4/edit?gid=461094331#gid=461094331"",""SCHEDULE_SDT_JAN26""),43,0)"),0)</f>
        <v>0</v>
      </c>
      <c r="AE57" s="69">
        <f t="shared" ca="1" si="8"/>
        <v>0</v>
      </c>
      <c r="AF57" s="19">
        <v>468468</v>
      </c>
      <c r="AG57" s="19">
        <v>253500</v>
      </c>
      <c r="AH57" s="69">
        <v>0</v>
      </c>
      <c r="AI57" s="69">
        <v>0</v>
      </c>
      <c r="AJ57" s="69">
        <v>0</v>
      </c>
      <c r="AK57" s="69">
        <f t="shared" si="9"/>
        <v>0</v>
      </c>
      <c r="AL57" s="69">
        <v>0</v>
      </c>
      <c r="AM57" s="69">
        <f t="shared" ca="1" si="10"/>
        <v>721968</v>
      </c>
      <c r="AN57" s="69">
        <f t="shared" ca="1" si="11"/>
        <v>6228076</v>
      </c>
      <c r="AO57" s="69">
        <f t="shared" ca="1" si="12"/>
        <v>66900.123703999998</v>
      </c>
      <c r="AP57" s="69">
        <f t="shared" ca="1" si="13"/>
        <v>6161175.8762959996</v>
      </c>
      <c r="AQ57" s="69">
        <f t="shared" ca="1" si="14"/>
        <v>6161175.8762959996</v>
      </c>
      <c r="AR57" s="69">
        <f t="shared" ca="1" si="15"/>
        <v>6161200</v>
      </c>
      <c r="AS57" s="72"/>
      <c r="AT57" s="73" t="s">
        <v>9</v>
      </c>
      <c r="AU57" s="61" t="s">
        <v>10</v>
      </c>
      <c r="AV57" s="69">
        <f t="shared" si="34"/>
        <v>5729876</v>
      </c>
      <c r="AW57" s="69">
        <f t="shared" ca="1" si="35"/>
        <v>200000</v>
      </c>
      <c r="AX57" s="69">
        <f t="shared" ca="1" si="36"/>
        <v>500000</v>
      </c>
      <c r="AY57" s="69">
        <v>0</v>
      </c>
      <c r="AZ57" s="70">
        <f t="shared" si="37"/>
        <v>13751.702399999998</v>
      </c>
      <c r="BA57" s="69">
        <f t="shared" si="38"/>
        <v>17189.628000000001</v>
      </c>
      <c r="BB57" s="69">
        <f t="shared" si="39"/>
        <v>229195.04</v>
      </c>
      <c r="BC57" s="69">
        <f t="shared" ca="1" si="40"/>
        <v>6690012.3703999994</v>
      </c>
      <c r="BD57" s="74">
        <f ca="1">IF(AU57="C",VLOOKUP(BC57,TER!$J$4:$L$50,3,TRUE),IF(AU57="B",VLOOKUP(BC57,TER!$F$4:$H$50,3,TRUE),IF(AU57="A",VLOOKUP(BC57,TER!$B$4:$D$50,3,TRUE),"ERROR")))</f>
        <v>0.01</v>
      </c>
      <c r="BE57" s="69">
        <f t="shared" ca="1" si="41"/>
        <v>66900.123703999998</v>
      </c>
      <c r="BF57" s="136"/>
      <c r="BG57" s="113"/>
    </row>
    <row r="58" spans="1:59" ht="15.75" customHeight="1">
      <c r="A58" s="113"/>
      <c r="B58" s="224">
        <v>49</v>
      </c>
      <c r="C58" s="67" t="s">
        <v>993</v>
      </c>
      <c r="D58" s="66" t="s">
        <v>994</v>
      </c>
      <c r="E58" s="67" t="s">
        <v>57</v>
      </c>
      <c r="F58" s="68" t="s">
        <v>1186</v>
      </c>
      <c r="G58" s="67" t="s">
        <v>31</v>
      </c>
      <c r="H58" s="66" t="s">
        <v>32</v>
      </c>
      <c r="I58" s="69">
        <f t="shared" si="43"/>
        <v>5729876</v>
      </c>
      <c r="J58" s="70">
        <v>316368</v>
      </c>
      <c r="K58" s="70">
        <v>203800</v>
      </c>
      <c r="L58" s="70">
        <v>200000</v>
      </c>
      <c r="M58" s="69">
        <f t="shared" ca="1" si="1"/>
        <v>9523.8095238095229</v>
      </c>
      <c r="N58" s="125">
        <f ca="1">IFERROR(__xludf.DUMMYFUNCTION("VLOOKUP(C58,IMPORTRANGE(""https://docs.google.com/spreadsheets/d/1ZLN5T8y7NSBIP1rvSj6TTUR_vTQbRwUKSt8zZJ_EfE4/edit?gid=461094331#gid=461094331"",""SCHEDULE_SDT_JAN26""),35,0)"),20)</f>
        <v>20</v>
      </c>
      <c r="O58" s="125">
        <f ca="1">IFERROR(__xludf.DUMMYFUNCTION("VLOOKUP(C58,IMPORTRANGE(""https://docs.google.com/spreadsheets/d/1ZLN5T8y7NSBIP1rvSj6TTUR_vTQbRwUKSt8zZJ_EfE4/edit?gid=461094331#gid=461094331"",""SCHEDULE_SDT_JAN26""),34,0)"),21)</f>
        <v>21</v>
      </c>
      <c r="P58" s="61">
        <f t="shared" ca="1" si="2"/>
        <v>190476.19047619047</v>
      </c>
      <c r="Q58" s="71"/>
      <c r="R58" s="69">
        <f t="shared" si="3"/>
        <v>6450044</v>
      </c>
      <c r="S58" s="69">
        <f t="shared" si="4"/>
        <v>6450044</v>
      </c>
      <c r="T58" s="61">
        <f t="shared" si="5"/>
        <v>0</v>
      </c>
      <c r="U58" s="70">
        <v>250000</v>
      </c>
      <c r="V58" s="61">
        <f ca="1">IFERROR(__xludf.DUMMYFUNCTION("VLOOKUP(C58,IMPORTRANGE(""https://docs.google.com/spreadsheets/d/1ZLN5T8y7NSBIP1rvSj6TTUR_vTQbRwUKSt8zZJ_EfE4/edit?gid=461094331#gid=461094331"",""SCHEDULE_SDT_JAN26""),36,0)"),1)</f>
        <v>1</v>
      </c>
      <c r="W58" s="69">
        <f t="shared" ca="1" si="6"/>
        <v>250000</v>
      </c>
      <c r="X58" s="89">
        <v>0</v>
      </c>
      <c r="Y58" s="69">
        <f t="shared" ca="1" si="7"/>
        <v>6690520.1904761903</v>
      </c>
      <c r="Z58" s="61">
        <f ca="1">IFERROR(__xludf.DUMMYFUNCTION("VLOOKUP(C58,IMPORTRANGE(""https://docs.google.com/spreadsheets/d/1ZLN5T8y7NSBIP1rvSj6TTUR_vTQbRwUKSt8zZJ_EfE4/edit?gid=461094331#gid=461094331"",""SCHEDULE_SDT_JAN26""),38,0)+VLOOKUP(C58,IMPORTRANGE(""https://docs.google.com/spreadsheets/d/1ZLN5T8y7NSBIP1"&amp;"rvSj6TTUR_vTQbRwUKSt8zZJ_EfE4/edit?gid=461094331#gid=461094331"",""SCHEDULE_SDT_JAN26""),39,0)"),1)</f>
        <v>1</v>
      </c>
      <c r="AA58" s="61">
        <f ca="1">IFERROR(__xludf.DUMMYFUNCTION("VLOOKUP(C58,IMPORTRANGE(""https://docs.google.com/spreadsheets/d/1ZLN5T8y7NSBIP1rvSj6TTUR_vTQbRwUKSt8zZJ_EfE4/edit?gid=461094331#gid=461094331"",""SCHEDULE_SDT_JAN26""),40,0)"),0)</f>
        <v>0</v>
      </c>
      <c r="AB58" s="61">
        <f ca="1">IFERROR(__xludf.DUMMYFUNCTION("VLOOKUP(C58,IMPORTRANGE(""https://docs.google.com/spreadsheets/d/1ZLN5T8y7NSBIP1rvSj6TTUR_vTQbRwUKSt8zZJ_EfE4/edit?gid=461094331#gid=461094331"",""SCHEDULE_SDT_JAN26""),41,0)"),0)</f>
        <v>0</v>
      </c>
      <c r="AC58" s="61">
        <f ca="1">IFERROR(__xludf.DUMMYFUNCTION("VLOOKUP(C58,IMPORTRANGE(""https://docs.google.com/spreadsheets/d/1ZLN5T8y7NSBIP1rvSj6TTUR_vTQbRwUKSt8zZJ_EfE4/edit?gid=461094331#gid=461094331"",""SCHEDULE_SDT_JAN26""),42,0)"),0)</f>
        <v>0</v>
      </c>
      <c r="AD58" s="61">
        <f ca="1">IFERROR(__xludf.DUMMYFUNCTION("VLOOKUP(C58,IMPORTRANGE(""https://docs.google.com/spreadsheets/d/1ZLN5T8y7NSBIP1rvSj6TTUR_vTQbRwUKSt8zZJ_EfE4/edit?gid=461094331#gid=461094331"",""SCHEDULE_SDT_JAN26""),43,0)"),0)</f>
        <v>0</v>
      </c>
      <c r="AE58" s="69">
        <f t="shared" ca="1" si="8"/>
        <v>250000</v>
      </c>
      <c r="AF58" s="19">
        <v>468468</v>
      </c>
      <c r="AG58" s="19">
        <v>253500</v>
      </c>
      <c r="AH58" s="69">
        <v>0</v>
      </c>
      <c r="AI58" s="69">
        <v>0</v>
      </c>
      <c r="AJ58" s="69">
        <v>0</v>
      </c>
      <c r="AK58" s="69">
        <f t="shared" si="9"/>
        <v>0</v>
      </c>
      <c r="AL58" s="69">
        <v>0</v>
      </c>
      <c r="AM58" s="69">
        <f t="shared" ca="1" si="10"/>
        <v>971968</v>
      </c>
      <c r="AN58" s="69">
        <f t="shared" ca="1" si="11"/>
        <v>5718552.1904761903</v>
      </c>
      <c r="AO58" s="69">
        <f t="shared" ca="1" si="12"/>
        <v>64304.885608761899</v>
      </c>
      <c r="AP58" s="69">
        <f t="shared" ca="1" si="13"/>
        <v>5654247.3048674287</v>
      </c>
      <c r="AQ58" s="69">
        <f t="shared" ca="1" si="14"/>
        <v>5654247.3048674287</v>
      </c>
      <c r="AR58" s="69">
        <f t="shared" ca="1" si="15"/>
        <v>5654200</v>
      </c>
      <c r="AS58" s="72"/>
      <c r="AT58" s="73" t="s">
        <v>9</v>
      </c>
      <c r="AU58" s="61" t="s">
        <v>10</v>
      </c>
      <c r="AV58" s="69">
        <f t="shared" si="34"/>
        <v>5729876</v>
      </c>
      <c r="AW58" s="69">
        <f t="shared" ca="1" si="35"/>
        <v>190476.19047619047</v>
      </c>
      <c r="AX58" s="69">
        <f t="shared" ca="1" si="36"/>
        <v>250000</v>
      </c>
      <c r="AY58" s="69">
        <v>0</v>
      </c>
      <c r="AZ58" s="70">
        <f t="shared" si="37"/>
        <v>13751.702399999998</v>
      </c>
      <c r="BA58" s="69">
        <f t="shared" si="38"/>
        <v>17189.628000000001</v>
      </c>
      <c r="BB58" s="69">
        <f t="shared" si="39"/>
        <v>229195.04</v>
      </c>
      <c r="BC58" s="69">
        <f t="shared" ca="1" si="40"/>
        <v>6430488.5608761897</v>
      </c>
      <c r="BD58" s="74">
        <f ca="1">IF(AU58="C",VLOOKUP(BC58,TER!$J$4:$L$50,3,TRUE),IF(AU58="B",VLOOKUP(BC58,TER!$F$4:$H$50,3,TRUE),IF(AU58="A",VLOOKUP(BC58,TER!$B$4:$D$50,3,TRUE),"ERROR")))</f>
        <v>0.01</v>
      </c>
      <c r="BE58" s="69">
        <f t="shared" ca="1" si="41"/>
        <v>64304.885608761899</v>
      </c>
      <c r="BF58" s="113"/>
      <c r="BG58" s="113"/>
    </row>
    <row r="59" spans="1:59" ht="15.75" customHeight="1">
      <c r="A59" s="113"/>
      <c r="B59" s="224">
        <v>50</v>
      </c>
      <c r="C59" s="67" t="s">
        <v>995</v>
      </c>
      <c r="D59" s="66" t="s">
        <v>996</v>
      </c>
      <c r="E59" s="67" t="s">
        <v>57</v>
      </c>
      <c r="F59" s="68" t="s">
        <v>1187</v>
      </c>
      <c r="G59" s="67" t="s">
        <v>31</v>
      </c>
      <c r="H59" s="66" t="s">
        <v>32</v>
      </c>
      <c r="I59" s="69">
        <f t="shared" si="43"/>
        <v>5729876</v>
      </c>
      <c r="J59" s="70">
        <v>316368</v>
      </c>
      <c r="K59" s="70">
        <v>203800</v>
      </c>
      <c r="L59" s="70">
        <v>200000</v>
      </c>
      <c r="M59" s="69">
        <f t="shared" ca="1" si="1"/>
        <v>9523.8095238095229</v>
      </c>
      <c r="N59" s="125">
        <f ca="1">IFERROR(__xludf.DUMMYFUNCTION("VLOOKUP(C59,IMPORTRANGE(""https://docs.google.com/spreadsheets/d/1ZLN5T8y7NSBIP1rvSj6TTUR_vTQbRwUKSt8zZJ_EfE4/edit?gid=461094331#gid=461094331"",""SCHEDULE_SDT_JAN26""),35,0)"),21)</f>
        <v>21</v>
      </c>
      <c r="O59" s="125">
        <f ca="1">IFERROR(__xludf.DUMMYFUNCTION("VLOOKUP(C59,IMPORTRANGE(""https://docs.google.com/spreadsheets/d/1ZLN5T8y7NSBIP1rvSj6TTUR_vTQbRwUKSt8zZJ_EfE4/edit?gid=461094331#gid=461094331"",""SCHEDULE_SDT_JAN26""),34,0)"),21)</f>
        <v>21</v>
      </c>
      <c r="P59" s="61">
        <f t="shared" ca="1" si="2"/>
        <v>199999.99999999997</v>
      </c>
      <c r="Q59" s="71"/>
      <c r="R59" s="69">
        <f t="shared" si="3"/>
        <v>6450044</v>
      </c>
      <c r="S59" s="69">
        <f t="shared" si="4"/>
        <v>6450044</v>
      </c>
      <c r="T59" s="61">
        <f t="shared" si="5"/>
        <v>0</v>
      </c>
      <c r="U59" s="70">
        <v>250000</v>
      </c>
      <c r="V59" s="61">
        <f ca="1">IFERROR(__xludf.DUMMYFUNCTION("VLOOKUP(C59,IMPORTRANGE(""https://docs.google.com/spreadsheets/d/1ZLN5T8y7NSBIP1rvSj6TTUR_vTQbRwUKSt8zZJ_EfE4/edit?gid=461094331#gid=461094331"",""SCHEDULE_SDT_JAN26""),36,0)"),1)</f>
        <v>1</v>
      </c>
      <c r="W59" s="69">
        <f t="shared" ca="1" si="6"/>
        <v>250000</v>
      </c>
      <c r="X59" s="89">
        <v>0</v>
      </c>
      <c r="Y59" s="69">
        <f t="shared" ca="1" si="7"/>
        <v>6700044</v>
      </c>
      <c r="Z59" s="61">
        <f ca="1">IFERROR(__xludf.DUMMYFUNCTION("VLOOKUP(C59,IMPORTRANGE(""https://docs.google.com/spreadsheets/d/1ZLN5T8y7NSBIP1rvSj6TTUR_vTQbRwUKSt8zZJ_EfE4/edit?gid=461094331#gid=461094331"",""SCHEDULE_SDT_JAN26""),38,0)+VLOOKUP(C59,IMPORTRANGE(""https://docs.google.com/spreadsheets/d/1ZLN5T8y7NSBIP1"&amp;"rvSj6TTUR_vTQbRwUKSt8zZJ_EfE4/edit?gid=461094331#gid=461094331"",""SCHEDULE_SDT_JAN26""),39,0)"),0)</f>
        <v>0</v>
      </c>
      <c r="AA59" s="61">
        <f ca="1">IFERROR(__xludf.DUMMYFUNCTION("VLOOKUP(C59,IMPORTRANGE(""https://docs.google.com/spreadsheets/d/1ZLN5T8y7NSBIP1rvSj6TTUR_vTQbRwUKSt8zZJ_EfE4/edit?gid=461094331#gid=461094331"",""SCHEDULE_SDT_JAN26""),40,0)"),0)</f>
        <v>0</v>
      </c>
      <c r="AB59" s="61">
        <f ca="1">IFERROR(__xludf.DUMMYFUNCTION("VLOOKUP(C59,IMPORTRANGE(""https://docs.google.com/spreadsheets/d/1ZLN5T8y7NSBIP1rvSj6TTUR_vTQbRwUKSt8zZJ_EfE4/edit?gid=461094331#gid=461094331"",""SCHEDULE_SDT_JAN26""),41,0)"),0)</f>
        <v>0</v>
      </c>
      <c r="AC59" s="61">
        <f ca="1">IFERROR(__xludf.DUMMYFUNCTION("VLOOKUP(C59,IMPORTRANGE(""https://docs.google.com/spreadsheets/d/1ZLN5T8y7NSBIP1rvSj6TTUR_vTQbRwUKSt8zZJ_EfE4/edit?gid=461094331#gid=461094331"",""SCHEDULE_SDT_JAN26""),42,0)"),0)</f>
        <v>0</v>
      </c>
      <c r="AD59" s="61">
        <f ca="1">IFERROR(__xludf.DUMMYFUNCTION("VLOOKUP(C59,IMPORTRANGE(""https://docs.google.com/spreadsheets/d/1ZLN5T8y7NSBIP1rvSj6TTUR_vTQbRwUKSt8zZJ_EfE4/edit?gid=461094331#gid=461094331"",""SCHEDULE_SDT_JAN26""),43,0)"),0)</f>
        <v>0</v>
      </c>
      <c r="AE59" s="69">
        <f t="shared" ca="1" si="8"/>
        <v>0</v>
      </c>
      <c r="AF59" s="19">
        <v>468468</v>
      </c>
      <c r="AG59" s="19">
        <v>253500</v>
      </c>
      <c r="AH59" s="69">
        <v>0</v>
      </c>
      <c r="AI59" s="69">
        <v>0</v>
      </c>
      <c r="AJ59" s="69">
        <v>0</v>
      </c>
      <c r="AK59" s="69">
        <f t="shared" si="9"/>
        <v>0</v>
      </c>
      <c r="AL59" s="69">
        <v>0</v>
      </c>
      <c r="AM59" s="69">
        <f t="shared" ca="1" si="10"/>
        <v>721968</v>
      </c>
      <c r="AN59" s="69">
        <f t="shared" ca="1" si="11"/>
        <v>5978076</v>
      </c>
      <c r="AO59" s="69">
        <f t="shared" ca="1" si="12"/>
        <v>64400.123703999998</v>
      </c>
      <c r="AP59" s="69">
        <f t="shared" ca="1" si="13"/>
        <v>5913675.8762959996</v>
      </c>
      <c r="AQ59" s="69">
        <f t="shared" ca="1" si="14"/>
        <v>5913675.8762959996</v>
      </c>
      <c r="AR59" s="69">
        <f t="shared" ca="1" si="15"/>
        <v>5913700</v>
      </c>
      <c r="AS59" s="72"/>
      <c r="AT59" s="73" t="s">
        <v>9</v>
      </c>
      <c r="AU59" s="61" t="s">
        <v>10</v>
      </c>
      <c r="AV59" s="69">
        <f t="shared" si="34"/>
        <v>5729876</v>
      </c>
      <c r="AW59" s="69">
        <f t="shared" ca="1" si="35"/>
        <v>199999.99999999997</v>
      </c>
      <c r="AX59" s="69">
        <f t="shared" ca="1" si="36"/>
        <v>250000</v>
      </c>
      <c r="AY59" s="69">
        <v>0</v>
      </c>
      <c r="AZ59" s="70">
        <f t="shared" si="37"/>
        <v>13751.702399999998</v>
      </c>
      <c r="BA59" s="69">
        <f t="shared" si="38"/>
        <v>17189.628000000001</v>
      </c>
      <c r="BB59" s="69">
        <f t="shared" si="39"/>
        <v>229195.04</v>
      </c>
      <c r="BC59" s="69">
        <f t="shared" ca="1" si="40"/>
        <v>6440012.3703999994</v>
      </c>
      <c r="BD59" s="74">
        <f ca="1">IF(AU59="C",VLOOKUP(BC59,TER!$J$4:$L$50,3,TRUE),IF(AU59="B",VLOOKUP(BC59,TER!$F$4:$H$50,3,TRUE),IF(AU59="A",VLOOKUP(BC59,TER!$B$4:$D$50,3,TRUE),"ERROR")))</f>
        <v>0.01</v>
      </c>
      <c r="BE59" s="69">
        <f t="shared" ca="1" si="41"/>
        <v>64400.123703999998</v>
      </c>
      <c r="BF59" s="113"/>
      <c r="BG59" s="113"/>
    </row>
    <row r="60" spans="1:59" ht="15.75" customHeight="1">
      <c r="A60" s="136"/>
      <c r="B60" s="224">
        <v>51</v>
      </c>
      <c r="C60" s="67" t="s">
        <v>998</v>
      </c>
      <c r="D60" s="98" t="s">
        <v>999</v>
      </c>
      <c r="E60" s="67" t="s">
        <v>57</v>
      </c>
      <c r="F60" s="68" t="s">
        <v>1188</v>
      </c>
      <c r="G60" s="67" t="s">
        <v>31</v>
      </c>
      <c r="H60" s="66" t="s">
        <v>32</v>
      </c>
      <c r="I60" s="69">
        <f t="shared" si="43"/>
        <v>5729876</v>
      </c>
      <c r="J60" s="70">
        <v>316368</v>
      </c>
      <c r="K60" s="70">
        <v>203800</v>
      </c>
      <c r="L60" s="70">
        <v>200000</v>
      </c>
      <c r="M60" s="69">
        <f t="shared" ca="1" si="1"/>
        <v>9523.8095238095229</v>
      </c>
      <c r="N60" s="125">
        <f ca="1">IFERROR(__xludf.DUMMYFUNCTION("VLOOKUP(C60,IMPORTRANGE(""https://docs.google.com/spreadsheets/d/1ZLN5T8y7NSBIP1rvSj6TTUR_vTQbRwUKSt8zZJ_EfE4/edit?gid=461094331#gid=461094331"",""SCHEDULE_SDT_JAN26""),35,0)"),21)</f>
        <v>21</v>
      </c>
      <c r="O60" s="125">
        <f ca="1">IFERROR(__xludf.DUMMYFUNCTION("VLOOKUP(C60,IMPORTRANGE(""https://docs.google.com/spreadsheets/d/1ZLN5T8y7NSBIP1rvSj6TTUR_vTQbRwUKSt8zZJ_EfE4/edit?gid=461094331#gid=461094331"",""SCHEDULE_SDT_JAN26""),34,0)"),21)</f>
        <v>21</v>
      </c>
      <c r="P60" s="61">
        <f t="shared" ca="1" si="2"/>
        <v>199999.99999999997</v>
      </c>
      <c r="Q60" s="71"/>
      <c r="R60" s="69">
        <f t="shared" si="3"/>
        <v>6450044</v>
      </c>
      <c r="S60" s="69">
        <f t="shared" si="4"/>
        <v>6450044</v>
      </c>
      <c r="T60" s="61">
        <f t="shared" si="5"/>
        <v>0</v>
      </c>
      <c r="U60" s="70">
        <v>250000</v>
      </c>
      <c r="V60" s="61">
        <f ca="1">IFERROR(__xludf.DUMMYFUNCTION("VLOOKUP(C60,IMPORTRANGE(""https://docs.google.com/spreadsheets/d/1ZLN5T8y7NSBIP1rvSj6TTUR_vTQbRwUKSt8zZJ_EfE4/edit?gid=461094331#gid=461094331"",""SCHEDULE_SDT_JAN26""),36,0)"),2)</f>
        <v>2</v>
      </c>
      <c r="W60" s="69">
        <f t="shared" ca="1" si="6"/>
        <v>500000</v>
      </c>
      <c r="X60" s="89">
        <v>0</v>
      </c>
      <c r="Y60" s="69">
        <f t="shared" ca="1" si="7"/>
        <v>6950044</v>
      </c>
      <c r="Z60" s="61">
        <f ca="1">IFERROR(__xludf.DUMMYFUNCTION("VLOOKUP(C60,IMPORTRANGE(""https://docs.google.com/spreadsheets/d/1ZLN5T8y7NSBIP1rvSj6TTUR_vTQbRwUKSt8zZJ_EfE4/edit?gid=461094331#gid=461094331"",""SCHEDULE_SDT_JAN26""),38,0)+VLOOKUP(C60,IMPORTRANGE(""https://docs.google.com/spreadsheets/d/1ZLN5T8y7NSBIP1"&amp;"rvSj6TTUR_vTQbRwUKSt8zZJ_EfE4/edit?gid=461094331#gid=461094331"",""SCHEDULE_SDT_JAN26""),39,0)"),0)</f>
        <v>0</v>
      </c>
      <c r="AA60" s="61">
        <f ca="1">IFERROR(__xludf.DUMMYFUNCTION("VLOOKUP(C60,IMPORTRANGE(""https://docs.google.com/spreadsheets/d/1ZLN5T8y7NSBIP1rvSj6TTUR_vTQbRwUKSt8zZJ_EfE4/edit?gid=461094331#gid=461094331"",""SCHEDULE_SDT_JAN26""),40,0)"),0)</f>
        <v>0</v>
      </c>
      <c r="AB60" s="61">
        <f ca="1">IFERROR(__xludf.DUMMYFUNCTION("VLOOKUP(C60,IMPORTRANGE(""https://docs.google.com/spreadsheets/d/1ZLN5T8y7NSBIP1rvSj6TTUR_vTQbRwUKSt8zZJ_EfE4/edit?gid=461094331#gid=461094331"",""SCHEDULE_SDT_JAN26""),41,0)"),0)</f>
        <v>0</v>
      </c>
      <c r="AC60" s="61">
        <f ca="1">IFERROR(__xludf.DUMMYFUNCTION("VLOOKUP(C60,IMPORTRANGE(""https://docs.google.com/spreadsheets/d/1ZLN5T8y7NSBIP1rvSj6TTUR_vTQbRwUKSt8zZJ_EfE4/edit?gid=461094331#gid=461094331"",""SCHEDULE_SDT_JAN26""),42,0)"),0)</f>
        <v>0</v>
      </c>
      <c r="AD60" s="61">
        <f ca="1">IFERROR(__xludf.DUMMYFUNCTION("VLOOKUP(C60,IMPORTRANGE(""https://docs.google.com/spreadsheets/d/1ZLN5T8y7NSBIP1rvSj6TTUR_vTQbRwUKSt8zZJ_EfE4/edit?gid=461094331#gid=461094331"",""SCHEDULE_SDT_JAN26""),43,0)"),0)</f>
        <v>0</v>
      </c>
      <c r="AE60" s="69">
        <f t="shared" ca="1" si="8"/>
        <v>0</v>
      </c>
      <c r="AF60" s="19">
        <v>468468</v>
      </c>
      <c r="AG60" s="19">
        <v>253500</v>
      </c>
      <c r="AH60" s="69">
        <v>0</v>
      </c>
      <c r="AI60" s="69">
        <v>0</v>
      </c>
      <c r="AJ60" s="69">
        <v>0</v>
      </c>
      <c r="AK60" s="69">
        <f t="shared" si="9"/>
        <v>0</v>
      </c>
      <c r="AL60" s="69">
        <v>0</v>
      </c>
      <c r="AM60" s="69">
        <f t="shared" ca="1" si="10"/>
        <v>721968</v>
      </c>
      <c r="AN60" s="69">
        <f t="shared" ca="1" si="11"/>
        <v>6228076</v>
      </c>
      <c r="AO60" s="69">
        <f t="shared" ca="1" si="12"/>
        <v>66900.123703999998</v>
      </c>
      <c r="AP60" s="69">
        <f t="shared" ca="1" si="13"/>
        <v>6161175.8762959996</v>
      </c>
      <c r="AQ60" s="69">
        <f t="shared" ca="1" si="14"/>
        <v>6161175.8762959996</v>
      </c>
      <c r="AR60" s="69">
        <f t="shared" ca="1" si="15"/>
        <v>6161200</v>
      </c>
      <c r="AS60" s="72"/>
      <c r="AT60" s="73" t="s">
        <v>12</v>
      </c>
      <c r="AU60" s="61" t="s">
        <v>10</v>
      </c>
      <c r="AV60" s="69">
        <f t="shared" si="34"/>
        <v>5729876</v>
      </c>
      <c r="AW60" s="69">
        <f t="shared" ca="1" si="35"/>
        <v>199999.99999999997</v>
      </c>
      <c r="AX60" s="69">
        <f t="shared" ca="1" si="36"/>
        <v>500000</v>
      </c>
      <c r="AY60" s="69">
        <v>0</v>
      </c>
      <c r="AZ60" s="70">
        <f t="shared" si="37"/>
        <v>13751.702399999998</v>
      </c>
      <c r="BA60" s="69">
        <f t="shared" si="38"/>
        <v>17189.628000000001</v>
      </c>
      <c r="BB60" s="69">
        <f t="shared" si="39"/>
        <v>229195.04</v>
      </c>
      <c r="BC60" s="69">
        <f t="shared" ca="1" si="40"/>
        <v>6690012.3703999994</v>
      </c>
      <c r="BD60" s="74">
        <f ca="1">IF(AU60="C",VLOOKUP(BC60,TER!$J$4:$L$50,3,TRUE),IF(AU60="B",VLOOKUP(BC60,TER!$F$4:$H$50,3,TRUE),IF(AU60="A",VLOOKUP(BC60,TER!$B$4:$D$50,3,TRUE),"ERROR")))</f>
        <v>0.01</v>
      </c>
      <c r="BE60" s="69">
        <f t="shared" ca="1" si="41"/>
        <v>66900.123703999998</v>
      </c>
      <c r="BF60" s="136"/>
      <c r="BG60" s="113"/>
    </row>
    <row r="61" spans="1:59" ht="15.75" customHeight="1">
      <c r="A61" s="136"/>
      <c r="B61" s="224">
        <v>52</v>
      </c>
      <c r="C61" s="67" t="s">
        <v>1030</v>
      </c>
      <c r="D61" s="66" t="s">
        <v>1031</v>
      </c>
      <c r="E61" s="67" t="s">
        <v>57</v>
      </c>
      <c r="F61" s="68" t="s">
        <v>1189</v>
      </c>
      <c r="G61" s="67" t="s">
        <v>31</v>
      </c>
      <c r="H61" s="66" t="s">
        <v>32</v>
      </c>
      <c r="I61" s="69">
        <f t="shared" si="43"/>
        <v>5729876</v>
      </c>
      <c r="J61" s="70">
        <v>316368</v>
      </c>
      <c r="K61" s="70">
        <v>203800</v>
      </c>
      <c r="L61" s="70">
        <v>200000</v>
      </c>
      <c r="M61" s="69">
        <f t="shared" ca="1" si="1"/>
        <v>9523.8095238095229</v>
      </c>
      <c r="N61" s="125">
        <f ca="1">IFERROR(__xludf.DUMMYFUNCTION("VLOOKUP(C61,IMPORTRANGE(""https://docs.google.com/spreadsheets/d/1ZLN5T8y7NSBIP1rvSj6TTUR_vTQbRwUKSt8zZJ_EfE4/edit?gid=461094331#gid=461094331"",""SCHEDULE_SDT_JAN26""),35,0)"),21)</f>
        <v>21</v>
      </c>
      <c r="O61" s="125">
        <f ca="1">IFERROR(__xludf.DUMMYFUNCTION("VLOOKUP(C61,IMPORTRANGE(""https://docs.google.com/spreadsheets/d/1ZLN5T8y7NSBIP1rvSj6TTUR_vTQbRwUKSt8zZJ_EfE4/edit?gid=461094331#gid=461094331"",""SCHEDULE_SDT_JAN26""),34,0)"),21)</f>
        <v>21</v>
      </c>
      <c r="P61" s="61">
        <f t="shared" ca="1" si="2"/>
        <v>199999.99999999997</v>
      </c>
      <c r="Q61" s="71"/>
      <c r="R61" s="69">
        <f t="shared" si="3"/>
        <v>6450044</v>
      </c>
      <c r="S61" s="69">
        <f t="shared" si="4"/>
        <v>6450044</v>
      </c>
      <c r="T61" s="61">
        <f t="shared" si="5"/>
        <v>0</v>
      </c>
      <c r="U61" s="70">
        <v>250000</v>
      </c>
      <c r="V61" s="61">
        <f ca="1">IFERROR(__xludf.DUMMYFUNCTION("VLOOKUP(C61,IMPORTRANGE(""https://docs.google.com/spreadsheets/d/1ZLN5T8y7NSBIP1rvSj6TTUR_vTQbRwUKSt8zZJ_EfE4/edit?gid=461094331#gid=461094331"",""SCHEDULE_SDT_JAN26""),36,0)"),1)</f>
        <v>1</v>
      </c>
      <c r="W61" s="69">
        <f t="shared" ca="1" si="6"/>
        <v>250000</v>
      </c>
      <c r="X61" s="89">
        <v>0</v>
      </c>
      <c r="Y61" s="69">
        <f t="shared" ca="1" si="7"/>
        <v>6700044</v>
      </c>
      <c r="Z61" s="61">
        <f ca="1">IFERROR(__xludf.DUMMYFUNCTION("VLOOKUP(C61,IMPORTRANGE(""https://docs.google.com/spreadsheets/d/1ZLN5T8y7NSBIP1rvSj6TTUR_vTQbRwUKSt8zZJ_EfE4/edit?gid=461094331#gid=461094331"",""SCHEDULE_SDT_JAN26""),38,0)+VLOOKUP(C61,IMPORTRANGE(""https://docs.google.com/spreadsheets/d/1ZLN5T8y7NSBIP1"&amp;"rvSj6TTUR_vTQbRwUKSt8zZJ_EfE4/edit?gid=461094331#gid=461094331"",""SCHEDULE_SDT_JAN26""),39,0)"),0)</f>
        <v>0</v>
      </c>
      <c r="AA61" s="61">
        <f ca="1">IFERROR(__xludf.DUMMYFUNCTION("VLOOKUP(C61,IMPORTRANGE(""https://docs.google.com/spreadsheets/d/1ZLN5T8y7NSBIP1rvSj6TTUR_vTQbRwUKSt8zZJ_EfE4/edit?gid=461094331#gid=461094331"",""SCHEDULE_SDT_JAN26""),40,0)"),0)</f>
        <v>0</v>
      </c>
      <c r="AB61" s="61">
        <f ca="1">IFERROR(__xludf.DUMMYFUNCTION("VLOOKUP(C61,IMPORTRANGE(""https://docs.google.com/spreadsheets/d/1ZLN5T8y7NSBIP1rvSj6TTUR_vTQbRwUKSt8zZJ_EfE4/edit?gid=461094331#gid=461094331"",""SCHEDULE_SDT_JAN26""),41,0)"),0)</f>
        <v>0</v>
      </c>
      <c r="AC61" s="61">
        <f ca="1">IFERROR(__xludf.DUMMYFUNCTION("VLOOKUP(C61,IMPORTRANGE(""https://docs.google.com/spreadsheets/d/1ZLN5T8y7NSBIP1rvSj6TTUR_vTQbRwUKSt8zZJ_EfE4/edit?gid=461094331#gid=461094331"",""SCHEDULE_SDT_JAN26""),42,0)"),0)</f>
        <v>0</v>
      </c>
      <c r="AD61" s="61">
        <f ca="1">IFERROR(__xludf.DUMMYFUNCTION("VLOOKUP(C61,IMPORTRANGE(""https://docs.google.com/spreadsheets/d/1ZLN5T8y7NSBIP1rvSj6TTUR_vTQbRwUKSt8zZJ_EfE4/edit?gid=461094331#gid=461094331"",""SCHEDULE_SDT_JAN26""),43,0)"),0)</f>
        <v>0</v>
      </c>
      <c r="AE61" s="69">
        <f t="shared" ca="1" si="8"/>
        <v>0</v>
      </c>
      <c r="AF61" s="19">
        <v>468468</v>
      </c>
      <c r="AG61" s="19">
        <v>253500</v>
      </c>
      <c r="AH61" s="69">
        <v>0</v>
      </c>
      <c r="AI61" s="69">
        <v>0</v>
      </c>
      <c r="AJ61" s="69">
        <v>0</v>
      </c>
      <c r="AK61" s="69">
        <f t="shared" si="9"/>
        <v>0</v>
      </c>
      <c r="AL61" s="69">
        <v>0</v>
      </c>
      <c r="AM61" s="69">
        <f t="shared" ca="1" si="10"/>
        <v>721968</v>
      </c>
      <c r="AN61" s="69">
        <f t="shared" ca="1" si="11"/>
        <v>5978076</v>
      </c>
      <c r="AO61" s="69">
        <f t="shared" ca="1" si="12"/>
        <v>16100.030925999999</v>
      </c>
      <c r="AP61" s="69">
        <f t="shared" ca="1" si="13"/>
        <v>5961975.9690739997</v>
      </c>
      <c r="AQ61" s="69">
        <f t="shared" ca="1" si="14"/>
        <v>5961975.9690739997</v>
      </c>
      <c r="AR61" s="69">
        <f t="shared" ca="1" si="15"/>
        <v>5962000</v>
      </c>
      <c r="AS61" s="72"/>
      <c r="AT61" s="73" t="s">
        <v>14</v>
      </c>
      <c r="AU61" s="61" t="s">
        <v>15</v>
      </c>
      <c r="AV61" s="69">
        <f t="shared" si="34"/>
        <v>5729876</v>
      </c>
      <c r="AW61" s="69">
        <f t="shared" ca="1" si="35"/>
        <v>199999.99999999997</v>
      </c>
      <c r="AX61" s="69">
        <f t="shared" ca="1" si="36"/>
        <v>250000</v>
      </c>
      <c r="AY61" s="69">
        <v>0</v>
      </c>
      <c r="AZ61" s="70">
        <f t="shared" si="37"/>
        <v>13751.702399999998</v>
      </c>
      <c r="BA61" s="69">
        <f t="shared" si="38"/>
        <v>17189.628000000001</v>
      </c>
      <c r="BB61" s="69">
        <f t="shared" si="39"/>
        <v>229195.04</v>
      </c>
      <c r="BC61" s="69">
        <f t="shared" ca="1" si="40"/>
        <v>6440012.3703999994</v>
      </c>
      <c r="BD61" s="74">
        <f ca="1">IF(AU61="C",VLOOKUP(BC61,TER!$J$4:$L$50,3,TRUE),IF(AU61="B",VLOOKUP(BC61,TER!$F$4:$H$50,3,TRUE),IF(AU61="A",VLOOKUP(BC61,TER!$B$4:$D$50,3,TRUE),"ERROR")))</f>
        <v>2.5000000000000001E-3</v>
      </c>
      <c r="BE61" s="69">
        <f t="shared" ca="1" si="41"/>
        <v>16100.030925999999</v>
      </c>
      <c r="BF61" s="136"/>
      <c r="BG61" s="113"/>
    </row>
    <row r="62" spans="1:59" ht="15.75" customHeight="1">
      <c r="A62" s="136"/>
      <c r="B62" s="224">
        <v>53</v>
      </c>
      <c r="C62" s="67" t="s">
        <v>1119</v>
      </c>
      <c r="D62" s="66" t="s">
        <v>1120</v>
      </c>
      <c r="E62" s="67" t="s">
        <v>57</v>
      </c>
      <c r="F62" s="68" t="s">
        <v>1190</v>
      </c>
      <c r="G62" s="67" t="s">
        <v>31</v>
      </c>
      <c r="H62" s="92" t="s">
        <v>32</v>
      </c>
      <c r="I62" s="69">
        <f t="shared" si="43"/>
        <v>5729876</v>
      </c>
      <c r="J62" s="70">
        <v>316368</v>
      </c>
      <c r="K62" s="70">
        <v>203800</v>
      </c>
      <c r="L62" s="70">
        <v>200000</v>
      </c>
      <c r="M62" s="69">
        <f t="shared" ca="1" si="1"/>
        <v>9523.8095238095229</v>
      </c>
      <c r="N62" s="125">
        <f ca="1">IFERROR(__xludf.DUMMYFUNCTION("VLOOKUP(C62,IMPORTRANGE(""https://docs.google.com/spreadsheets/d/1ZLN5T8y7NSBIP1rvSj6TTUR_vTQbRwUKSt8zZJ_EfE4/edit?gid=461094331#gid=461094331"",""SCHEDULE_SDT_JAN26""),35,0)"),21)</f>
        <v>21</v>
      </c>
      <c r="O62" s="125">
        <f ca="1">IFERROR(__xludf.DUMMYFUNCTION("VLOOKUP(C62,IMPORTRANGE(""https://docs.google.com/spreadsheets/d/1ZLN5T8y7NSBIP1rvSj6TTUR_vTQbRwUKSt8zZJ_EfE4/edit?gid=461094331#gid=461094331"",""SCHEDULE_SDT_JAN26""),34,0)"),21)</f>
        <v>21</v>
      </c>
      <c r="P62" s="61">
        <f t="shared" ca="1" si="2"/>
        <v>199999.99999999997</v>
      </c>
      <c r="Q62" s="71"/>
      <c r="R62" s="69">
        <f t="shared" si="3"/>
        <v>6450044</v>
      </c>
      <c r="S62" s="69">
        <f t="shared" si="4"/>
        <v>6450044</v>
      </c>
      <c r="T62" s="61">
        <f t="shared" si="5"/>
        <v>0</v>
      </c>
      <c r="U62" s="70">
        <v>250000</v>
      </c>
      <c r="V62" s="61">
        <f ca="1">IFERROR(__xludf.DUMMYFUNCTION("VLOOKUP(C62,IMPORTRANGE(""https://docs.google.com/spreadsheets/d/1ZLN5T8y7NSBIP1rvSj6TTUR_vTQbRwUKSt8zZJ_EfE4/edit?gid=461094331#gid=461094331"",""SCHEDULE_SDT_JAN26""),36,0)"),1)</f>
        <v>1</v>
      </c>
      <c r="W62" s="69">
        <f t="shared" ca="1" si="6"/>
        <v>250000</v>
      </c>
      <c r="X62" s="89">
        <v>0</v>
      </c>
      <c r="Y62" s="69">
        <f t="shared" ca="1" si="7"/>
        <v>6700044</v>
      </c>
      <c r="Z62" s="61">
        <f ca="1">IFERROR(__xludf.DUMMYFUNCTION("VLOOKUP(C62,IMPORTRANGE(""https://docs.google.com/spreadsheets/d/1ZLN5T8y7NSBIP1rvSj6TTUR_vTQbRwUKSt8zZJ_EfE4/edit?gid=461094331#gid=461094331"",""SCHEDULE_SDT_JAN26""),38,0)+VLOOKUP(C62,IMPORTRANGE(""https://docs.google.com/spreadsheets/d/1ZLN5T8y7NSBIP1"&amp;"rvSj6TTUR_vTQbRwUKSt8zZJ_EfE4/edit?gid=461094331#gid=461094331"",""SCHEDULE_SDT_JAN26""),39,0)"),0)</f>
        <v>0</v>
      </c>
      <c r="AA62" s="61">
        <f ca="1">IFERROR(__xludf.DUMMYFUNCTION("VLOOKUP(C62,IMPORTRANGE(""https://docs.google.com/spreadsheets/d/1ZLN5T8y7NSBIP1rvSj6TTUR_vTQbRwUKSt8zZJ_EfE4/edit?gid=461094331#gid=461094331"",""SCHEDULE_SDT_JAN26""),40,0)"),0)</f>
        <v>0</v>
      </c>
      <c r="AB62" s="61">
        <f ca="1">IFERROR(__xludf.DUMMYFUNCTION("VLOOKUP(C62,IMPORTRANGE(""https://docs.google.com/spreadsheets/d/1ZLN5T8y7NSBIP1rvSj6TTUR_vTQbRwUKSt8zZJ_EfE4/edit?gid=461094331#gid=461094331"",""SCHEDULE_SDT_JAN26""),41,0)"),0)</f>
        <v>0</v>
      </c>
      <c r="AC62" s="61">
        <f ca="1">IFERROR(__xludf.DUMMYFUNCTION("VLOOKUP(C62,IMPORTRANGE(""https://docs.google.com/spreadsheets/d/1ZLN5T8y7NSBIP1rvSj6TTUR_vTQbRwUKSt8zZJ_EfE4/edit?gid=461094331#gid=461094331"",""SCHEDULE_SDT_JAN26""),42,0)"),0)</f>
        <v>0</v>
      </c>
      <c r="AD62" s="61">
        <f ca="1">IFERROR(__xludf.DUMMYFUNCTION("VLOOKUP(C62,IMPORTRANGE(""https://docs.google.com/spreadsheets/d/1ZLN5T8y7NSBIP1rvSj6TTUR_vTQbRwUKSt8zZJ_EfE4/edit?gid=461094331#gid=461094331"",""SCHEDULE_SDT_JAN26""),43,0)"),0)</f>
        <v>0</v>
      </c>
      <c r="AE62" s="69">
        <f t="shared" ca="1" si="8"/>
        <v>0</v>
      </c>
      <c r="AF62" s="19">
        <v>468468</v>
      </c>
      <c r="AG62" s="19">
        <v>253500</v>
      </c>
      <c r="AH62" s="69">
        <v>0</v>
      </c>
      <c r="AI62" s="69">
        <v>0</v>
      </c>
      <c r="AJ62" s="69">
        <v>0</v>
      </c>
      <c r="AK62" s="69">
        <f t="shared" si="9"/>
        <v>0</v>
      </c>
      <c r="AL62" s="69">
        <v>0</v>
      </c>
      <c r="AM62" s="69">
        <f t="shared" ca="1" si="10"/>
        <v>721968</v>
      </c>
      <c r="AN62" s="69">
        <f t="shared" ca="1" si="11"/>
        <v>5978076</v>
      </c>
      <c r="AO62" s="69">
        <f t="shared" ca="1" si="12"/>
        <v>64400.123703999998</v>
      </c>
      <c r="AP62" s="69">
        <f t="shared" ca="1" si="13"/>
        <v>5913675.8762959996</v>
      </c>
      <c r="AQ62" s="69">
        <f t="shared" ca="1" si="14"/>
        <v>5913675.8762959996</v>
      </c>
      <c r="AR62" s="69">
        <f t="shared" ca="1" si="15"/>
        <v>5913700</v>
      </c>
      <c r="AS62" s="72"/>
      <c r="AT62" s="73" t="s">
        <v>9</v>
      </c>
      <c r="AU62" s="61" t="s">
        <v>10</v>
      </c>
      <c r="AV62" s="69">
        <f t="shared" si="34"/>
        <v>5729876</v>
      </c>
      <c r="AW62" s="69">
        <f t="shared" ca="1" si="35"/>
        <v>199999.99999999997</v>
      </c>
      <c r="AX62" s="69">
        <f t="shared" ca="1" si="36"/>
        <v>250000</v>
      </c>
      <c r="AY62" s="69">
        <v>0</v>
      </c>
      <c r="AZ62" s="70">
        <f t="shared" si="37"/>
        <v>13751.702399999998</v>
      </c>
      <c r="BA62" s="69">
        <f t="shared" si="38"/>
        <v>17189.628000000001</v>
      </c>
      <c r="BB62" s="69">
        <f t="shared" si="39"/>
        <v>229195.04</v>
      </c>
      <c r="BC62" s="69">
        <f t="shared" ca="1" si="40"/>
        <v>6440012.3703999994</v>
      </c>
      <c r="BD62" s="74">
        <f ca="1">IF(AU62="C",VLOOKUP(BC62,TER!$J$4:$L$50,3,TRUE),IF(AU62="B",VLOOKUP(BC62,TER!$F$4:$H$50,3,TRUE),IF(AU62="A",VLOOKUP(BC62,TER!$B$4:$D$50,3,TRUE),"ERROR")))</f>
        <v>0.01</v>
      </c>
      <c r="BE62" s="69">
        <f t="shared" ca="1" si="41"/>
        <v>64400.123703999998</v>
      </c>
      <c r="BF62" s="136"/>
      <c r="BG62" s="113"/>
    </row>
    <row r="63" spans="1:59" ht="15.75" customHeight="1">
      <c r="A63" s="136"/>
      <c r="B63" s="224">
        <v>54</v>
      </c>
      <c r="C63" s="67" t="s">
        <v>1123</v>
      </c>
      <c r="D63" s="66" t="s">
        <v>1122</v>
      </c>
      <c r="E63" s="67" t="s">
        <v>57</v>
      </c>
      <c r="F63" s="68" t="s">
        <v>1191</v>
      </c>
      <c r="G63" s="67" t="s">
        <v>31</v>
      </c>
      <c r="H63" s="92" t="s">
        <v>32</v>
      </c>
      <c r="I63" s="69">
        <f t="shared" si="43"/>
        <v>5729876</v>
      </c>
      <c r="J63" s="70">
        <v>316368</v>
      </c>
      <c r="K63" s="70">
        <v>203800</v>
      </c>
      <c r="L63" s="70">
        <v>200000</v>
      </c>
      <c r="M63" s="69">
        <f t="shared" ca="1" si="1"/>
        <v>10000</v>
      </c>
      <c r="N63" s="125">
        <f ca="1">IFERROR(__xludf.DUMMYFUNCTION("VLOOKUP(C63,IMPORTRANGE(""https://docs.google.com/spreadsheets/d/1ZLN5T8y7NSBIP1rvSj6TTUR_vTQbRwUKSt8zZJ_EfE4/edit?gid=461094331#gid=461094331"",""SCHEDULE_SDT_JAN26""),35,0)"),19)</f>
        <v>19</v>
      </c>
      <c r="O63" s="125">
        <f ca="1">IFERROR(__xludf.DUMMYFUNCTION("VLOOKUP(C63,IMPORTRANGE(""https://docs.google.com/spreadsheets/d/1ZLN5T8y7NSBIP1rvSj6TTUR_vTQbRwUKSt8zZJ_EfE4/edit?gid=461094331#gid=461094331"",""SCHEDULE_SDT_JAN26""),34,0)"),20)</f>
        <v>20</v>
      </c>
      <c r="P63" s="61">
        <f t="shared" ca="1" si="2"/>
        <v>190000</v>
      </c>
      <c r="Q63" s="71"/>
      <c r="R63" s="69">
        <f t="shared" si="3"/>
        <v>6450044</v>
      </c>
      <c r="S63" s="69">
        <f t="shared" si="4"/>
        <v>6450044</v>
      </c>
      <c r="T63" s="61">
        <f t="shared" si="5"/>
        <v>0</v>
      </c>
      <c r="U63" s="70">
        <v>250000</v>
      </c>
      <c r="V63" s="61">
        <f ca="1">IFERROR(__xludf.DUMMYFUNCTION("VLOOKUP(C63,IMPORTRANGE(""https://docs.google.com/spreadsheets/d/1ZLN5T8y7NSBIP1rvSj6TTUR_vTQbRwUKSt8zZJ_EfE4/edit?gid=461094331#gid=461094331"",""SCHEDULE_SDT_JAN26""),36,0)"),2)</f>
        <v>2</v>
      </c>
      <c r="W63" s="69">
        <f t="shared" ca="1" si="6"/>
        <v>500000</v>
      </c>
      <c r="X63" s="89">
        <v>0</v>
      </c>
      <c r="Y63" s="69">
        <f t="shared" ca="1" si="7"/>
        <v>6940044</v>
      </c>
      <c r="Z63" s="61">
        <f ca="1">IFERROR(__xludf.DUMMYFUNCTION("VLOOKUP(C63,IMPORTRANGE(""https://docs.google.com/spreadsheets/d/1ZLN5T8y7NSBIP1rvSj6TTUR_vTQbRwUKSt8zZJ_EfE4/edit?gid=461094331#gid=461094331"",""SCHEDULE_SDT_JAN26""),38,0)+VLOOKUP(C63,IMPORTRANGE(""https://docs.google.com/spreadsheets/d/1ZLN5T8y7NSBIP1"&amp;"rvSj6TTUR_vTQbRwUKSt8zZJ_EfE4/edit?gid=461094331#gid=461094331"",""SCHEDULE_SDT_JAN26""),39,0)"),1)</f>
        <v>1</v>
      </c>
      <c r="AA63" s="61">
        <f ca="1">IFERROR(__xludf.DUMMYFUNCTION("VLOOKUP(C63,IMPORTRANGE(""https://docs.google.com/spreadsheets/d/1ZLN5T8y7NSBIP1rvSj6TTUR_vTQbRwUKSt8zZJ_EfE4/edit?gid=461094331#gid=461094331"",""SCHEDULE_SDT_JAN26""),40,0)"),0)</f>
        <v>0</v>
      </c>
      <c r="AB63" s="61">
        <f ca="1">IFERROR(__xludf.DUMMYFUNCTION("VLOOKUP(C63,IMPORTRANGE(""https://docs.google.com/spreadsheets/d/1ZLN5T8y7NSBIP1rvSj6TTUR_vTQbRwUKSt8zZJ_EfE4/edit?gid=461094331#gid=461094331"",""SCHEDULE_SDT_JAN26""),41,0)"),0)</f>
        <v>0</v>
      </c>
      <c r="AC63" s="61">
        <f ca="1">IFERROR(__xludf.DUMMYFUNCTION("VLOOKUP(C63,IMPORTRANGE(""https://docs.google.com/spreadsheets/d/1ZLN5T8y7NSBIP1rvSj6TTUR_vTQbRwUKSt8zZJ_EfE4/edit?gid=461094331#gid=461094331"",""SCHEDULE_SDT_JAN26""),42,0)"),0)</f>
        <v>0</v>
      </c>
      <c r="AD63" s="61">
        <f ca="1">IFERROR(__xludf.DUMMYFUNCTION("VLOOKUP(C63,IMPORTRANGE(""https://docs.google.com/spreadsheets/d/1ZLN5T8y7NSBIP1rvSj6TTUR_vTQbRwUKSt8zZJ_EfE4/edit?gid=461094331#gid=461094331"",""SCHEDULE_SDT_JAN26""),43,0)"),0)</f>
        <v>0</v>
      </c>
      <c r="AE63" s="69">
        <f t="shared" ca="1" si="8"/>
        <v>250000</v>
      </c>
      <c r="AF63" s="19">
        <v>468468</v>
      </c>
      <c r="AG63" s="19">
        <v>253500</v>
      </c>
      <c r="AH63" s="70">
        <v>0</v>
      </c>
      <c r="AI63" s="69">
        <v>0</v>
      </c>
      <c r="AJ63" s="69">
        <v>0</v>
      </c>
      <c r="AK63" s="69">
        <f t="shared" si="9"/>
        <v>0</v>
      </c>
      <c r="AL63" s="69">
        <v>0</v>
      </c>
      <c r="AM63" s="69">
        <f t="shared" ca="1" si="10"/>
        <v>971968</v>
      </c>
      <c r="AN63" s="69">
        <f t="shared" ca="1" si="11"/>
        <v>5968076</v>
      </c>
      <c r="AO63" s="69">
        <f t="shared" ca="1" si="12"/>
        <v>66800.123703999998</v>
      </c>
      <c r="AP63" s="69">
        <f t="shared" ca="1" si="13"/>
        <v>5901275.8762959996</v>
      </c>
      <c r="AQ63" s="69">
        <f t="shared" ca="1" si="14"/>
        <v>5901275.8762959996</v>
      </c>
      <c r="AR63" s="69">
        <f t="shared" ca="1" si="15"/>
        <v>5901300</v>
      </c>
      <c r="AS63" s="72"/>
      <c r="AT63" s="73" t="s">
        <v>9</v>
      </c>
      <c r="AU63" s="61" t="s">
        <v>10</v>
      </c>
      <c r="AV63" s="69">
        <f t="shared" si="34"/>
        <v>5729876</v>
      </c>
      <c r="AW63" s="69">
        <f t="shared" ca="1" si="35"/>
        <v>190000</v>
      </c>
      <c r="AX63" s="69">
        <f t="shared" ca="1" si="36"/>
        <v>500000</v>
      </c>
      <c r="AY63" s="69">
        <v>0</v>
      </c>
      <c r="AZ63" s="70">
        <f t="shared" si="37"/>
        <v>13751.702399999998</v>
      </c>
      <c r="BA63" s="69">
        <f t="shared" si="38"/>
        <v>17189.628000000001</v>
      </c>
      <c r="BB63" s="69">
        <f t="shared" si="39"/>
        <v>229195.04</v>
      </c>
      <c r="BC63" s="69">
        <f t="shared" ca="1" si="40"/>
        <v>6680012.3703999994</v>
      </c>
      <c r="BD63" s="74">
        <f ca="1">IF(AU63="C",VLOOKUP(BC63,TER!$J$4:$L$50,3,TRUE),IF(AU63="B",VLOOKUP(BC63,TER!$F$4:$H$50,3,TRUE),IF(AU63="A",VLOOKUP(BC63,TER!$B$4:$D$50,3,TRUE),"ERROR")))</f>
        <v>0.01</v>
      </c>
      <c r="BE63" s="69">
        <f t="shared" ca="1" si="41"/>
        <v>66800.123703999998</v>
      </c>
      <c r="BF63" s="136"/>
      <c r="BG63" s="113"/>
    </row>
    <row r="64" spans="1:59" ht="15.75" customHeight="1">
      <c r="A64" s="136"/>
      <c r="B64" s="224">
        <v>55</v>
      </c>
      <c r="C64" s="67" t="s">
        <v>1121</v>
      </c>
      <c r="D64" s="66" t="s">
        <v>1125</v>
      </c>
      <c r="E64" s="67" t="s">
        <v>57</v>
      </c>
      <c r="F64" s="68" t="s">
        <v>1192</v>
      </c>
      <c r="G64" s="67" t="s">
        <v>41</v>
      </c>
      <c r="H64" s="92" t="s">
        <v>32</v>
      </c>
      <c r="I64" s="69">
        <f t="shared" si="43"/>
        <v>5729876</v>
      </c>
      <c r="J64" s="70">
        <v>316368</v>
      </c>
      <c r="K64" s="70">
        <v>203800</v>
      </c>
      <c r="L64" s="70">
        <v>700000</v>
      </c>
      <c r="M64" s="69">
        <f t="shared" ca="1" si="1"/>
        <v>35000</v>
      </c>
      <c r="N64" s="125">
        <f ca="1">IFERROR(__xludf.DUMMYFUNCTION("VLOOKUP(C64,IMPORTRANGE(""https://docs.google.com/spreadsheets/d/1ZLN5T8y7NSBIP1rvSj6TTUR_vTQbRwUKSt8zZJ_EfE4/edit?gid=461094331#gid=461094331"",""SCHEDULE_SDT_JAN26""),35,0)"),19)</f>
        <v>19</v>
      </c>
      <c r="O64" s="125">
        <f ca="1">IFERROR(__xludf.DUMMYFUNCTION("VLOOKUP(C64,IMPORTRANGE(""https://docs.google.com/spreadsheets/d/1ZLN5T8y7NSBIP1rvSj6TTUR_vTQbRwUKSt8zZJ_EfE4/edit?gid=461094331#gid=461094331"",""SCHEDULE_SDT_JAN26""),34,0)"),20)</f>
        <v>20</v>
      </c>
      <c r="P64" s="61">
        <f t="shared" ca="1" si="2"/>
        <v>665000</v>
      </c>
      <c r="Q64" s="71"/>
      <c r="R64" s="69">
        <f t="shared" si="3"/>
        <v>6950044</v>
      </c>
      <c r="S64" s="69">
        <f t="shared" si="4"/>
        <v>6950044</v>
      </c>
      <c r="T64" s="61">
        <f t="shared" si="5"/>
        <v>0</v>
      </c>
      <c r="U64" s="70">
        <v>250000</v>
      </c>
      <c r="V64" s="61">
        <f ca="1">IFERROR(__xludf.DUMMYFUNCTION("VLOOKUP(C64,IMPORTRANGE(""https://docs.google.com/spreadsheets/d/1ZLN5T8y7NSBIP1rvSj6TTUR_vTQbRwUKSt8zZJ_EfE4/edit?gid=461094331#gid=461094331"",""SCHEDULE_SDT_JAN26""),36,0)"),0)</f>
        <v>0</v>
      </c>
      <c r="W64" s="69">
        <f t="shared" ca="1" si="6"/>
        <v>0</v>
      </c>
      <c r="X64" s="89">
        <v>0</v>
      </c>
      <c r="Y64" s="69">
        <f t="shared" ca="1" si="7"/>
        <v>6915044</v>
      </c>
      <c r="Z64" s="61">
        <f ca="1">IFERROR(__xludf.DUMMYFUNCTION("VLOOKUP(C64,IMPORTRANGE(""https://docs.google.com/spreadsheets/d/1ZLN5T8y7NSBIP1rvSj6TTUR_vTQbRwUKSt8zZJ_EfE4/edit?gid=461094331#gid=461094331"",""SCHEDULE_SDT_JAN26""),38,0)+VLOOKUP(C64,IMPORTRANGE(""https://docs.google.com/spreadsheets/d/1ZLN5T8y7NSBIP1"&amp;"rvSj6TTUR_vTQbRwUKSt8zZJ_EfE4/edit?gid=461094331#gid=461094331"",""SCHEDULE_SDT_JAN26""),39,0)"),0)</f>
        <v>0</v>
      </c>
      <c r="AA64" s="61">
        <f ca="1">IFERROR(__xludf.DUMMYFUNCTION("VLOOKUP(C64,IMPORTRANGE(""https://docs.google.com/spreadsheets/d/1ZLN5T8y7NSBIP1rvSj6TTUR_vTQbRwUKSt8zZJ_EfE4/edit?gid=461094331#gid=461094331"",""SCHEDULE_SDT_JAN26""),40,0)"),1)</f>
        <v>1</v>
      </c>
      <c r="AB64" s="61">
        <f ca="1">IFERROR(__xludf.DUMMYFUNCTION("VLOOKUP(C64,IMPORTRANGE(""https://docs.google.com/spreadsheets/d/1ZLN5T8y7NSBIP1rvSj6TTUR_vTQbRwUKSt8zZJ_EfE4/edit?gid=461094331#gid=461094331"",""SCHEDULE_SDT_JAN26""),41,0)"),0)</f>
        <v>0</v>
      </c>
      <c r="AC64" s="61">
        <f ca="1">IFERROR(__xludf.DUMMYFUNCTION("VLOOKUP(C64,IMPORTRANGE(""https://docs.google.com/spreadsheets/d/1ZLN5T8y7NSBIP1rvSj6TTUR_vTQbRwUKSt8zZJ_EfE4/edit?gid=461094331#gid=461094331"",""SCHEDULE_SDT_JAN26""),42,0)"),0)</f>
        <v>0</v>
      </c>
      <c r="AD64" s="61">
        <f ca="1">IFERROR(__xludf.DUMMYFUNCTION("VLOOKUP(C64,IMPORTRANGE(""https://docs.google.com/spreadsheets/d/1ZLN5T8y7NSBIP1rvSj6TTUR_vTQbRwUKSt8zZJ_EfE4/edit?gid=461094331#gid=461094331"",""SCHEDULE_SDT_JAN26""),43,0)"),0)</f>
        <v>0</v>
      </c>
      <c r="AE64" s="69">
        <f t="shared" ca="1" si="8"/>
        <v>250000</v>
      </c>
      <c r="AF64" s="19">
        <v>468468</v>
      </c>
      <c r="AG64" s="19">
        <v>253500</v>
      </c>
      <c r="AH64" s="69">
        <v>0</v>
      </c>
      <c r="AI64" s="69">
        <v>0</v>
      </c>
      <c r="AJ64" s="69">
        <v>0</v>
      </c>
      <c r="AK64" s="69">
        <f t="shared" si="9"/>
        <v>0</v>
      </c>
      <c r="AL64" s="69">
        <v>0</v>
      </c>
      <c r="AM64" s="69">
        <f t="shared" ca="1" si="10"/>
        <v>971968</v>
      </c>
      <c r="AN64" s="69">
        <f t="shared" ca="1" si="11"/>
        <v>5943076</v>
      </c>
      <c r="AO64" s="69">
        <f t="shared" ca="1" si="12"/>
        <v>66550.123703999998</v>
      </c>
      <c r="AP64" s="69">
        <f t="shared" ca="1" si="13"/>
        <v>5876525.8762959996</v>
      </c>
      <c r="AQ64" s="69">
        <f t="shared" ca="1" si="14"/>
        <v>5876525.8762959996</v>
      </c>
      <c r="AR64" s="69">
        <f t="shared" ca="1" si="15"/>
        <v>5876500</v>
      </c>
      <c r="AS64" s="72"/>
      <c r="AT64" s="73" t="s">
        <v>9</v>
      </c>
      <c r="AU64" s="61" t="s">
        <v>10</v>
      </c>
      <c r="AV64" s="69">
        <f t="shared" si="34"/>
        <v>5729876</v>
      </c>
      <c r="AW64" s="69">
        <f t="shared" ca="1" si="35"/>
        <v>665000</v>
      </c>
      <c r="AX64" s="69">
        <f t="shared" ca="1" si="36"/>
        <v>0</v>
      </c>
      <c r="AY64" s="69">
        <v>0</v>
      </c>
      <c r="AZ64" s="70">
        <f t="shared" si="37"/>
        <v>13751.702399999998</v>
      </c>
      <c r="BA64" s="69">
        <f t="shared" si="38"/>
        <v>17189.628000000001</v>
      </c>
      <c r="BB64" s="69">
        <f t="shared" si="39"/>
        <v>229195.04</v>
      </c>
      <c r="BC64" s="69">
        <f t="shared" ca="1" si="40"/>
        <v>6655012.3703999994</v>
      </c>
      <c r="BD64" s="74">
        <f ca="1">IF(AU64="C",VLOOKUP(BC64,TER!$J$4:$L$50,3,TRUE),IF(AU64="B",VLOOKUP(BC64,TER!$F$4:$H$50,3,TRUE),IF(AU64="A",VLOOKUP(BC64,TER!$B$4:$D$50,3,TRUE),"ERROR")))</f>
        <v>0.01</v>
      </c>
      <c r="BE64" s="69">
        <f t="shared" ca="1" si="41"/>
        <v>66550.123703999998</v>
      </c>
      <c r="BF64" s="136"/>
      <c r="BG64" s="113"/>
    </row>
    <row r="65" spans="1:59" ht="15.75" customHeight="1">
      <c r="A65" s="136"/>
      <c r="B65" s="224">
        <v>56</v>
      </c>
      <c r="C65" s="68" t="s">
        <v>1124</v>
      </c>
      <c r="D65" s="66" t="s">
        <v>1126</v>
      </c>
      <c r="E65" s="67" t="s">
        <v>57</v>
      </c>
      <c r="F65" s="68" t="s">
        <v>1193</v>
      </c>
      <c r="G65" s="67" t="s">
        <v>31</v>
      </c>
      <c r="H65" s="92" t="s">
        <v>32</v>
      </c>
      <c r="I65" s="69">
        <f t="shared" si="43"/>
        <v>5729876</v>
      </c>
      <c r="J65" s="70">
        <v>316368</v>
      </c>
      <c r="K65" s="70">
        <v>203800</v>
      </c>
      <c r="L65" s="70">
        <v>200000</v>
      </c>
      <c r="M65" s="69">
        <f t="shared" ca="1" si="1"/>
        <v>10000</v>
      </c>
      <c r="N65" s="125">
        <f ca="1">IFERROR(__xludf.DUMMYFUNCTION("VLOOKUP(C65,IMPORTRANGE(""https://docs.google.com/spreadsheets/d/1ZLN5T8y7NSBIP1rvSj6TTUR_vTQbRwUKSt8zZJ_EfE4/edit?gid=461094331#gid=461094331"",""SCHEDULE_SDT_JAN26""),35,0)"),20)</f>
        <v>20</v>
      </c>
      <c r="O65" s="125">
        <f ca="1">IFERROR(__xludf.DUMMYFUNCTION("VLOOKUP(C65,IMPORTRANGE(""https://docs.google.com/spreadsheets/d/1ZLN5T8y7NSBIP1rvSj6TTUR_vTQbRwUKSt8zZJ_EfE4/edit?gid=461094331#gid=461094331"",""SCHEDULE_SDT_JAN26""),34,0)"),20)</f>
        <v>20</v>
      </c>
      <c r="P65" s="61">
        <f t="shared" ca="1" si="2"/>
        <v>200000</v>
      </c>
      <c r="Q65" s="71"/>
      <c r="R65" s="69">
        <f t="shared" si="3"/>
        <v>6450044</v>
      </c>
      <c r="S65" s="69">
        <f t="shared" si="4"/>
        <v>6450044</v>
      </c>
      <c r="T65" s="61">
        <f t="shared" si="5"/>
        <v>0</v>
      </c>
      <c r="U65" s="70">
        <v>250000</v>
      </c>
      <c r="V65" s="61">
        <f ca="1">IFERROR(__xludf.DUMMYFUNCTION("VLOOKUP(C65,IMPORTRANGE(""https://docs.google.com/spreadsheets/d/1ZLN5T8y7NSBIP1rvSj6TTUR_vTQbRwUKSt8zZJ_EfE4/edit?gid=461094331#gid=461094331"",""SCHEDULE_SDT_JAN26""),36,0)"),1)</f>
        <v>1</v>
      </c>
      <c r="W65" s="69">
        <f t="shared" ca="1" si="6"/>
        <v>250000</v>
      </c>
      <c r="X65" s="89">
        <v>0</v>
      </c>
      <c r="Y65" s="69">
        <f t="shared" ca="1" si="7"/>
        <v>6700044</v>
      </c>
      <c r="Z65" s="61">
        <f ca="1">IFERROR(__xludf.DUMMYFUNCTION("VLOOKUP(C65,IMPORTRANGE(""https://docs.google.com/spreadsheets/d/1ZLN5T8y7NSBIP1rvSj6TTUR_vTQbRwUKSt8zZJ_EfE4/edit?gid=461094331#gid=461094331"",""SCHEDULE_SDT_JAN26""),38,0)+VLOOKUP(C65,IMPORTRANGE(""https://docs.google.com/spreadsheets/d/1ZLN5T8y7NSBIP1"&amp;"rvSj6TTUR_vTQbRwUKSt8zZJ_EfE4/edit?gid=461094331#gid=461094331"",""SCHEDULE_SDT_JAN26""),39,0)"),0)</f>
        <v>0</v>
      </c>
      <c r="AA65" s="61">
        <f ca="1">IFERROR(__xludf.DUMMYFUNCTION("VLOOKUP(C65,IMPORTRANGE(""https://docs.google.com/spreadsheets/d/1ZLN5T8y7NSBIP1rvSj6TTUR_vTQbRwUKSt8zZJ_EfE4/edit?gid=461094331#gid=461094331"",""SCHEDULE_SDT_JAN26""),40,0)"),0)</f>
        <v>0</v>
      </c>
      <c r="AB65" s="61">
        <f ca="1">IFERROR(__xludf.DUMMYFUNCTION("VLOOKUP(C65,IMPORTRANGE(""https://docs.google.com/spreadsheets/d/1ZLN5T8y7NSBIP1rvSj6TTUR_vTQbRwUKSt8zZJ_EfE4/edit?gid=461094331#gid=461094331"",""SCHEDULE_SDT_JAN26""),41,0)"),0)</f>
        <v>0</v>
      </c>
      <c r="AC65" s="61">
        <f ca="1">IFERROR(__xludf.DUMMYFUNCTION("VLOOKUP(C65,IMPORTRANGE(""https://docs.google.com/spreadsheets/d/1ZLN5T8y7NSBIP1rvSj6TTUR_vTQbRwUKSt8zZJ_EfE4/edit?gid=461094331#gid=461094331"",""SCHEDULE_SDT_JAN26""),42,0)"),0)</f>
        <v>0</v>
      </c>
      <c r="AD65" s="61">
        <f ca="1">IFERROR(__xludf.DUMMYFUNCTION("VLOOKUP(C65,IMPORTRANGE(""https://docs.google.com/spreadsheets/d/1ZLN5T8y7NSBIP1rvSj6TTUR_vTQbRwUKSt8zZJ_EfE4/edit?gid=461094331#gid=461094331"",""SCHEDULE_SDT_JAN26""),43,0)"),0)</f>
        <v>0</v>
      </c>
      <c r="AE65" s="69">
        <f t="shared" ca="1" si="8"/>
        <v>0</v>
      </c>
      <c r="AF65" s="19">
        <v>468468</v>
      </c>
      <c r="AG65" s="19">
        <v>253500</v>
      </c>
      <c r="AH65" s="69">
        <v>0</v>
      </c>
      <c r="AI65" s="69">
        <v>0</v>
      </c>
      <c r="AJ65" s="69">
        <v>0</v>
      </c>
      <c r="AK65" s="69">
        <f t="shared" si="9"/>
        <v>0</v>
      </c>
      <c r="AL65" s="69">
        <v>0</v>
      </c>
      <c r="AM65" s="69">
        <f t="shared" ca="1" si="10"/>
        <v>721968</v>
      </c>
      <c r="AN65" s="69">
        <f t="shared" ca="1" si="11"/>
        <v>5978076</v>
      </c>
      <c r="AO65" s="69">
        <f t="shared" ca="1" si="12"/>
        <v>64400.123703999998</v>
      </c>
      <c r="AP65" s="69">
        <f t="shared" ca="1" si="13"/>
        <v>5913675.8762959996</v>
      </c>
      <c r="AQ65" s="69">
        <f t="shared" ca="1" si="14"/>
        <v>5913675.8762959996</v>
      </c>
      <c r="AR65" s="69">
        <f t="shared" ca="1" si="15"/>
        <v>5913700</v>
      </c>
      <c r="AS65" s="72"/>
      <c r="AT65" s="73" t="s">
        <v>12</v>
      </c>
      <c r="AU65" s="61" t="s">
        <v>10</v>
      </c>
      <c r="AV65" s="69">
        <f t="shared" si="34"/>
        <v>5729876</v>
      </c>
      <c r="AW65" s="69">
        <f t="shared" ca="1" si="35"/>
        <v>200000</v>
      </c>
      <c r="AX65" s="69">
        <f t="shared" ca="1" si="36"/>
        <v>250000</v>
      </c>
      <c r="AY65" s="69">
        <v>0</v>
      </c>
      <c r="AZ65" s="70">
        <f t="shared" si="37"/>
        <v>13751.702399999998</v>
      </c>
      <c r="BA65" s="69">
        <f t="shared" si="38"/>
        <v>17189.628000000001</v>
      </c>
      <c r="BB65" s="69">
        <f t="shared" si="39"/>
        <v>229195.04</v>
      </c>
      <c r="BC65" s="69">
        <f t="shared" ca="1" si="40"/>
        <v>6440012.3703999994</v>
      </c>
      <c r="BD65" s="74">
        <f ca="1">IF(AU65="C",VLOOKUP(BC65,TER!$J$4:$L$50,3,TRUE),IF(AU65="B",VLOOKUP(BC65,TER!$F$4:$H$50,3,TRUE),IF(AU65="A",VLOOKUP(BC65,TER!$B$4:$D$50,3,TRUE),"ERROR")))</f>
        <v>0.01</v>
      </c>
      <c r="BE65" s="69">
        <f t="shared" ca="1" si="41"/>
        <v>64400.123703999998</v>
      </c>
      <c r="BF65" s="136"/>
      <c r="BG65" s="113"/>
    </row>
    <row r="66" spans="1:59" ht="15.75" customHeight="1">
      <c r="A66" s="136"/>
      <c r="B66" s="224">
        <v>57</v>
      </c>
      <c r="C66" s="276" t="s">
        <v>1127</v>
      </c>
      <c r="D66" s="252" t="s">
        <v>1128</v>
      </c>
      <c r="E66" s="67" t="s">
        <v>57</v>
      </c>
      <c r="F66" s="68" t="s">
        <v>1129</v>
      </c>
      <c r="G66" s="86" t="s">
        <v>1118</v>
      </c>
      <c r="H66" s="92" t="s">
        <v>32</v>
      </c>
      <c r="I66" s="69">
        <f t="shared" si="43"/>
        <v>5729876</v>
      </c>
      <c r="J66" s="70">
        <v>316368</v>
      </c>
      <c r="K66" s="70">
        <v>203800</v>
      </c>
      <c r="L66" s="70">
        <v>2000000</v>
      </c>
      <c r="M66" s="69">
        <f t="shared" ca="1" si="1"/>
        <v>100000</v>
      </c>
      <c r="N66" s="125">
        <f ca="1">IFERROR(__xludf.DUMMYFUNCTION("VLOOKUP(C66,IMPORTRANGE(""https://docs.google.com/spreadsheets/d/1ZLN5T8y7NSBIP1rvSj6TTUR_vTQbRwUKSt8zZJ_EfE4/edit?gid=461094331#gid=461094331"",""SCHEDULE_SDT_JAN26""),35,0)"),20)</f>
        <v>20</v>
      </c>
      <c r="O66" s="125">
        <f ca="1">IFERROR(__xludf.DUMMYFUNCTION("VLOOKUP(C66,IMPORTRANGE(""https://docs.google.com/spreadsheets/d/1ZLN5T8y7NSBIP1rvSj6TTUR_vTQbRwUKSt8zZJ_EfE4/edit?gid=461094331#gid=461094331"",""SCHEDULE_SDT_JAN26""),34,0)"),20)</f>
        <v>20</v>
      </c>
      <c r="P66" s="61">
        <f t="shared" ca="1" si="2"/>
        <v>2000000</v>
      </c>
      <c r="Q66" s="71"/>
      <c r="R66" s="69">
        <f t="shared" si="3"/>
        <v>8250044</v>
      </c>
      <c r="S66" s="69">
        <f t="shared" si="4"/>
        <v>8250044</v>
      </c>
      <c r="T66" s="61">
        <f t="shared" si="5"/>
        <v>0</v>
      </c>
      <c r="U66" s="70">
        <v>250000</v>
      </c>
      <c r="V66" s="61">
        <f ca="1">IFERROR(__xludf.DUMMYFUNCTION("VLOOKUP(C66,IMPORTRANGE(""https://docs.google.com/spreadsheets/d/1ZLN5T8y7NSBIP1rvSj6TTUR_vTQbRwUKSt8zZJ_EfE4/edit?gid=461094331#gid=461094331"",""SCHEDULE_SDT_JAN26""),36,0)"),4)</f>
        <v>4</v>
      </c>
      <c r="W66" s="69">
        <f t="shared" ca="1" si="6"/>
        <v>1000000</v>
      </c>
      <c r="X66" s="89">
        <v>0</v>
      </c>
      <c r="Y66" s="69">
        <f t="shared" ca="1" si="7"/>
        <v>9250044</v>
      </c>
      <c r="Z66" s="61">
        <f ca="1">IFERROR(__xludf.DUMMYFUNCTION("VLOOKUP(C66,IMPORTRANGE(""https://docs.google.com/spreadsheets/d/1ZLN5T8y7NSBIP1rvSj6TTUR_vTQbRwUKSt8zZJ_EfE4/edit?gid=461094331#gid=461094331"",""SCHEDULE_SDT_JAN26""),38,0)+VLOOKUP(C66,IMPORTRANGE(""https://docs.google.com/spreadsheets/d/1ZLN5T8y7NSBIP1"&amp;"rvSj6TTUR_vTQbRwUKSt8zZJ_EfE4/edit?gid=461094331#gid=461094331"",""SCHEDULE_SDT_JAN26""),39,0)"),0)</f>
        <v>0</v>
      </c>
      <c r="AA66" s="61">
        <f ca="1">IFERROR(__xludf.DUMMYFUNCTION("VLOOKUP(C66,IMPORTRANGE(""https://docs.google.com/spreadsheets/d/1ZLN5T8y7NSBIP1rvSj6TTUR_vTQbRwUKSt8zZJ_EfE4/edit?gid=461094331#gid=461094331"",""SCHEDULE_SDT_JAN26""),40,0)"),0)</f>
        <v>0</v>
      </c>
      <c r="AB66" s="61">
        <f ca="1">IFERROR(__xludf.DUMMYFUNCTION("VLOOKUP(C66,IMPORTRANGE(""https://docs.google.com/spreadsheets/d/1ZLN5T8y7NSBIP1rvSj6TTUR_vTQbRwUKSt8zZJ_EfE4/edit?gid=461094331#gid=461094331"",""SCHEDULE_SDT_JAN26""),41,0)"),0)</f>
        <v>0</v>
      </c>
      <c r="AC66" s="61">
        <f ca="1">IFERROR(__xludf.DUMMYFUNCTION("VLOOKUP(C66,IMPORTRANGE(""https://docs.google.com/spreadsheets/d/1ZLN5T8y7NSBIP1rvSj6TTUR_vTQbRwUKSt8zZJ_EfE4/edit?gid=461094331#gid=461094331"",""SCHEDULE_SDT_JAN26""),42,0)"),0)</f>
        <v>0</v>
      </c>
      <c r="AD66" s="61">
        <f ca="1">IFERROR(__xludf.DUMMYFUNCTION("VLOOKUP(C66,IMPORTRANGE(""https://docs.google.com/spreadsheets/d/1ZLN5T8y7NSBIP1rvSj6TTUR_vTQbRwUKSt8zZJ_EfE4/edit?gid=461094331#gid=461094331"",""SCHEDULE_SDT_JAN26""),43,0)"),0)</f>
        <v>0</v>
      </c>
      <c r="AE66" s="69">
        <f t="shared" ca="1" si="8"/>
        <v>0</v>
      </c>
      <c r="AF66" s="19">
        <v>468468</v>
      </c>
      <c r="AG66" s="19">
        <v>253500</v>
      </c>
      <c r="AH66" s="69">
        <v>0</v>
      </c>
      <c r="AI66" s="69">
        <v>0</v>
      </c>
      <c r="AJ66" s="69">
        <v>0</v>
      </c>
      <c r="AK66" s="69">
        <f t="shared" si="9"/>
        <v>0</v>
      </c>
      <c r="AL66" s="69">
        <v>0</v>
      </c>
      <c r="AM66" s="69">
        <f t="shared" ca="1" si="10"/>
        <v>721968</v>
      </c>
      <c r="AN66" s="69">
        <f t="shared" ca="1" si="11"/>
        <v>8528076</v>
      </c>
      <c r="AO66" s="69">
        <f t="shared" ca="1" si="12"/>
        <v>157325.21648200002</v>
      </c>
      <c r="AP66" s="69">
        <f t="shared" ca="1" si="13"/>
        <v>8370750.7835179996</v>
      </c>
      <c r="AQ66" s="69">
        <f t="shared" ca="1" si="14"/>
        <v>8370750.7835179996</v>
      </c>
      <c r="AR66" s="69">
        <f t="shared" ca="1" si="15"/>
        <v>8370800</v>
      </c>
      <c r="AS66" s="72"/>
      <c r="AT66" s="73" t="s">
        <v>9</v>
      </c>
      <c r="AU66" s="61" t="s">
        <v>10</v>
      </c>
      <c r="AV66" s="69">
        <f t="shared" si="34"/>
        <v>5729876</v>
      </c>
      <c r="AW66" s="69">
        <f t="shared" ca="1" si="35"/>
        <v>2000000</v>
      </c>
      <c r="AX66" s="69">
        <f t="shared" ca="1" si="36"/>
        <v>1000000</v>
      </c>
      <c r="AY66" s="69">
        <v>0</v>
      </c>
      <c r="AZ66" s="70">
        <f t="shared" si="37"/>
        <v>13751.702399999998</v>
      </c>
      <c r="BA66" s="69">
        <f t="shared" si="38"/>
        <v>17189.628000000001</v>
      </c>
      <c r="BB66" s="69">
        <f t="shared" si="39"/>
        <v>229195.04</v>
      </c>
      <c r="BC66" s="69">
        <f t="shared" ca="1" si="40"/>
        <v>8990012.3704000004</v>
      </c>
      <c r="BD66" s="74">
        <f ca="1">IF(AU66="C",VLOOKUP(BC66,TER!$J$4:$L$50,3,TRUE),IF(AU66="B",VLOOKUP(BC66,TER!$F$4:$H$50,3,TRUE),IF(AU66="A",VLOOKUP(BC66,TER!$B$4:$D$50,3,TRUE),"ERROR")))</f>
        <v>1.7500000000000002E-2</v>
      </c>
      <c r="BE66" s="69">
        <f t="shared" ca="1" si="41"/>
        <v>157325.21648200002</v>
      </c>
      <c r="BF66" s="136"/>
      <c r="BG66" s="113"/>
    </row>
    <row r="67" spans="1:59" ht="15.75" customHeight="1">
      <c r="A67" s="136"/>
      <c r="B67" s="224">
        <v>58</v>
      </c>
      <c r="C67" s="276" t="s">
        <v>1130</v>
      </c>
      <c r="D67" s="63" t="s">
        <v>1131</v>
      </c>
      <c r="E67" s="67" t="s">
        <v>57</v>
      </c>
      <c r="F67" s="99" t="s">
        <v>1294</v>
      </c>
      <c r="G67" s="67" t="s">
        <v>31</v>
      </c>
      <c r="H67" s="92" t="s">
        <v>32</v>
      </c>
      <c r="I67" s="69">
        <f t="shared" si="43"/>
        <v>5729876</v>
      </c>
      <c r="J67" s="70">
        <v>316368</v>
      </c>
      <c r="K67" s="70">
        <v>203800</v>
      </c>
      <c r="L67" s="70">
        <v>200000</v>
      </c>
      <c r="M67" s="69">
        <f t="shared" ca="1" si="1"/>
        <v>10000</v>
      </c>
      <c r="N67" s="125">
        <f ca="1">IFERROR(__xludf.DUMMYFUNCTION("VLOOKUP(C67,IMPORTRANGE(""https://docs.google.com/spreadsheets/d/1ZLN5T8y7NSBIP1rvSj6TTUR_vTQbRwUKSt8zZJ_EfE4/edit?gid=461094331#gid=461094331"",""SCHEDULE_SDT_JAN26""),35,0)"),20)</f>
        <v>20</v>
      </c>
      <c r="O67" s="125">
        <f ca="1">IFERROR(__xludf.DUMMYFUNCTION("VLOOKUP(C67,IMPORTRANGE(""https://docs.google.com/spreadsheets/d/1ZLN5T8y7NSBIP1rvSj6TTUR_vTQbRwUKSt8zZJ_EfE4/edit?gid=461094331#gid=461094331"",""SCHEDULE_SDT_JAN26""),34,0)"),20)</f>
        <v>20</v>
      </c>
      <c r="P67" s="61">
        <f t="shared" ca="1" si="2"/>
        <v>200000</v>
      </c>
      <c r="Q67" s="71"/>
      <c r="R67" s="69">
        <f t="shared" si="3"/>
        <v>6450044</v>
      </c>
      <c r="S67" s="69">
        <f t="shared" si="4"/>
        <v>6450044</v>
      </c>
      <c r="T67" s="61">
        <f t="shared" si="5"/>
        <v>0</v>
      </c>
      <c r="U67" s="70">
        <v>250000</v>
      </c>
      <c r="V67" s="61">
        <f ca="1">IFERROR(__xludf.DUMMYFUNCTION("VLOOKUP(C67,IMPORTRANGE(""https://docs.google.com/spreadsheets/d/1ZLN5T8y7NSBIP1rvSj6TTUR_vTQbRwUKSt8zZJ_EfE4/edit?gid=461094331#gid=461094331"",""SCHEDULE_SDT_JAN26""),36,0)"),2)</f>
        <v>2</v>
      </c>
      <c r="W67" s="69">
        <f t="shared" ca="1" si="6"/>
        <v>500000</v>
      </c>
      <c r="X67" s="89">
        <v>0</v>
      </c>
      <c r="Y67" s="69">
        <f t="shared" ca="1" si="7"/>
        <v>6950044</v>
      </c>
      <c r="Z67" s="61">
        <f ca="1">IFERROR(__xludf.DUMMYFUNCTION("VLOOKUP(C67,IMPORTRANGE(""https://docs.google.com/spreadsheets/d/1ZLN5T8y7NSBIP1rvSj6TTUR_vTQbRwUKSt8zZJ_EfE4/edit?gid=461094331#gid=461094331"",""SCHEDULE_SDT_JAN26""),38,0)+VLOOKUP(C67,IMPORTRANGE(""https://docs.google.com/spreadsheets/d/1ZLN5T8y7NSBIP1"&amp;"rvSj6TTUR_vTQbRwUKSt8zZJ_EfE4/edit?gid=461094331#gid=461094331"",""SCHEDULE_SDT_JAN26""),39,0)"),0)</f>
        <v>0</v>
      </c>
      <c r="AA67" s="61">
        <f ca="1">IFERROR(__xludf.DUMMYFUNCTION("VLOOKUP(C67,IMPORTRANGE(""https://docs.google.com/spreadsheets/d/1ZLN5T8y7NSBIP1rvSj6TTUR_vTQbRwUKSt8zZJ_EfE4/edit?gid=461094331#gid=461094331"",""SCHEDULE_SDT_JAN26""),40,0)"),0)</f>
        <v>0</v>
      </c>
      <c r="AB67" s="61">
        <f ca="1">IFERROR(__xludf.DUMMYFUNCTION("VLOOKUP(C67,IMPORTRANGE(""https://docs.google.com/spreadsheets/d/1ZLN5T8y7NSBIP1rvSj6TTUR_vTQbRwUKSt8zZJ_EfE4/edit?gid=461094331#gid=461094331"",""SCHEDULE_SDT_JAN26""),41,0)"),0)</f>
        <v>0</v>
      </c>
      <c r="AC67" s="61">
        <f ca="1">IFERROR(__xludf.DUMMYFUNCTION("VLOOKUP(C67,IMPORTRANGE(""https://docs.google.com/spreadsheets/d/1ZLN5T8y7NSBIP1rvSj6TTUR_vTQbRwUKSt8zZJ_EfE4/edit?gid=461094331#gid=461094331"",""SCHEDULE_SDT_JAN26""),42,0)"),0)</f>
        <v>0</v>
      </c>
      <c r="AD67" s="61">
        <f ca="1">IFERROR(__xludf.DUMMYFUNCTION("VLOOKUP(C67,IMPORTRANGE(""https://docs.google.com/spreadsheets/d/1ZLN5T8y7NSBIP1rvSj6TTUR_vTQbRwUKSt8zZJ_EfE4/edit?gid=461094331#gid=461094331"",""SCHEDULE_SDT_JAN26""),43,0)"),0)</f>
        <v>0</v>
      </c>
      <c r="AE67" s="69">
        <f t="shared" ca="1" si="8"/>
        <v>0</v>
      </c>
      <c r="AF67" s="19">
        <v>468468</v>
      </c>
      <c r="AG67" s="19">
        <v>253500</v>
      </c>
      <c r="AH67" s="69">
        <v>0</v>
      </c>
      <c r="AI67" s="69">
        <v>0</v>
      </c>
      <c r="AJ67" s="69">
        <v>0</v>
      </c>
      <c r="AK67" s="69">
        <f t="shared" si="9"/>
        <v>0</v>
      </c>
      <c r="AL67" s="69">
        <v>0</v>
      </c>
      <c r="AM67" s="69">
        <f t="shared" ca="1" si="10"/>
        <v>721968</v>
      </c>
      <c r="AN67" s="69">
        <f t="shared" ca="1" si="11"/>
        <v>6228076</v>
      </c>
      <c r="AO67" s="69">
        <f t="shared" ca="1" si="12"/>
        <v>66900.123703999998</v>
      </c>
      <c r="AP67" s="69">
        <f t="shared" ca="1" si="13"/>
        <v>6161175.8762959996</v>
      </c>
      <c r="AQ67" s="69">
        <f t="shared" ca="1" si="14"/>
        <v>6161175.8762959996</v>
      </c>
      <c r="AR67" s="69">
        <f t="shared" ca="1" si="15"/>
        <v>6161200</v>
      </c>
      <c r="AS67" s="72"/>
      <c r="AT67" s="73" t="s">
        <v>9</v>
      </c>
      <c r="AU67" s="61" t="s">
        <v>10</v>
      </c>
      <c r="AV67" s="69">
        <f t="shared" si="34"/>
        <v>5729876</v>
      </c>
      <c r="AW67" s="69">
        <f t="shared" ca="1" si="35"/>
        <v>200000</v>
      </c>
      <c r="AX67" s="69">
        <f t="shared" ca="1" si="36"/>
        <v>500000</v>
      </c>
      <c r="AY67" s="69">
        <v>0</v>
      </c>
      <c r="AZ67" s="70">
        <f t="shared" si="37"/>
        <v>13751.702399999998</v>
      </c>
      <c r="BA67" s="69">
        <f t="shared" si="38"/>
        <v>17189.628000000001</v>
      </c>
      <c r="BB67" s="69">
        <f t="shared" si="39"/>
        <v>229195.04</v>
      </c>
      <c r="BC67" s="69">
        <f t="shared" ca="1" si="40"/>
        <v>6690012.3703999994</v>
      </c>
      <c r="BD67" s="74">
        <f ca="1">IF(AU67="C",VLOOKUP(BC67,TER!$J$4:$L$50,3,TRUE),IF(AU67="B",VLOOKUP(BC67,TER!$F$4:$H$50,3,TRUE),IF(AU67="A",VLOOKUP(BC67,TER!$B$4:$D$50,3,TRUE),"ERROR")))</f>
        <v>0.01</v>
      </c>
      <c r="BE67" s="69">
        <f t="shared" ca="1" si="41"/>
        <v>66900.123703999998</v>
      </c>
      <c r="BF67" s="136"/>
      <c r="BG67" s="113"/>
    </row>
    <row r="68" spans="1:59" ht="15.75" customHeight="1" outlineLevel="1">
      <c r="A68" s="260"/>
      <c r="B68" s="224">
        <v>59</v>
      </c>
      <c r="C68" s="305" t="s">
        <v>1194</v>
      </c>
      <c r="D68" s="291" t="s">
        <v>1195</v>
      </c>
      <c r="E68" s="298" t="s">
        <v>30</v>
      </c>
      <c r="F68" s="297" t="s">
        <v>1196</v>
      </c>
      <c r="G68" s="296" t="s">
        <v>31</v>
      </c>
      <c r="H68" s="299" t="s">
        <v>32</v>
      </c>
      <c r="I68" s="69">
        <f t="shared" si="43"/>
        <v>5729876</v>
      </c>
      <c r="J68" s="300">
        <v>316368</v>
      </c>
      <c r="K68" s="300">
        <v>203800</v>
      </c>
      <c r="L68" s="300">
        <v>100000</v>
      </c>
      <c r="M68" s="302">
        <f t="shared" ref="M68:M81" ca="1" si="44">L68/$O$69</f>
        <v>5000</v>
      </c>
      <c r="N68" s="125">
        <f ca="1">IFERROR(__xludf.DUMMYFUNCTION("VLOOKUP(C68,IMPORTRANGE(""https://docs.google.com/spreadsheets/d/1ZLN5T8y7NSBIP1rvSj6TTUR_vTQbRwUKSt8zZJ_EfE4/edit?gid=461094331#gid=461094331"",""SCHEDULE_SDT_JAN26""),35,0)"),21)</f>
        <v>21</v>
      </c>
      <c r="O68" s="125">
        <f ca="1">IFERROR(__xludf.DUMMYFUNCTION("VLOOKUP(C68,IMPORTRANGE(""https://docs.google.com/spreadsheets/d/1ZLN5T8y7NSBIP1rvSj6TTUR_vTQbRwUKSt8zZJ_EfE4/edit?gid=461094331#gid=461094331"",""SCHEDULE_SDT_JAN26""),34,0)"),21)</f>
        <v>21</v>
      </c>
      <c r="P68" s="61">
        <f t="shared" ca="1" si="2"/>
        <v>105000</v>
      </c>
      <c r="Q68" s="301"/>
      <c r="R68" s="302">
        <f t="shared" si="3"/>
        <v>6350044</v>
      </c>
      <c r="S68" s="302">
        <f t="shared" si="4"/>
        <v>6350044</v>
      </c>
      <c r="T68" s="303">
        <f t="shared" si="5"/>
        <v>0</v>
      </c>
      <c r="U68" s="300">
        <v>250000</v>
      </c>
      <c r="V68" s="61">
        <f ca="1">IFERROR(__xludf.DUMMYFUNCTION("VLOOKUP(C68,IMPORTRANGE(""https://docs.google.com/spreadsheets/d/1ZLN5T8y7NSBIP1rvSj6TTUR_vTQbRwUKSt8zZJ_EfE4/edit?gid=461094331#gid=461094331"",""SCHEDULE_SDT_JAN26""),36,0)"),1)</f>
        <v>1</v>
      </c>
      <c r="W68" s="69">
        <f t="shared" ca="1" si="6"/>
        <v>250000</v>
      </c>
      <c r="X68" s="302">
        <v>0</v>
      </c>
      <c r="Y68" s="302">
        <f t="shared" ca="1" si="7"/>
        <v>6605044</v>
      </c>
      <c r="Z68" s="61">
        <f ca="1">IFERROR(__xludf.DUMMYFUNCTION("VLOOKUP(C68,IMPORTRANGE(""https://docs.google.com/spreadsheets/d/1ZLN5T8y7NSBIP1rvSj6TTUR_vTQbRwUKSt8zZJ_EfE4/edit?gid=461094331#gid=461094331"",""SCHEDULE_SDT_JAN26""),38,0)+VLOOKUP(C68,IMPORTRANGE(""https://docs.google.com/spreadsheets/d/1ZLN5T8y7NSBIP1"&amp;"rvSj6TTUR_vTQbRwUKSt8zZJ_EfE4/edit?gid=461094331#gid=461094331"",""SCHEDULE_SDT_JAN26""),39,0)"),0)</f>
        <v>0</v>
      </c>
      <c r="AA68" s="61">
        <f ca="1">IFERROR(__xludf.DUMMYFUNCTION("VLOOKUP(C68,IMPORTRANGE(""https://docs.google.com/spreadsheets/d/1ZLN5T8y7NSBIP1rvSj6TTUR_vTQbRwUKSt8zZJ_EfE4/edit?gid=461094331#gid=461094331"",""SCHEDULE_SDT_JAN26""),40,0)"),0)</f>
        <v>0</v>
      </c>
      <c r="AB68" s="61">
        <f ca="1">IFERROR(__xludf.DUMMYFUNCTION("VLOOKUP(C68,IMPORTRANGE(""https://docs.google.com/spreadsheets/d/1ZLN5T8y7NSBIP1rvSj6TTUR_vTQbRwUKSt8zZJ_EfE4/edit?gid=461094331#gid=461094331"",""SCHEDULE_SDT_JAN26""),41,0)"),0)</f>
        <v>0</v>
      </c>
      <c r="AC68" s="61">
        <f ca="1">IFERROR(__xludf.DUMMYFUNCTION("VLOOKUP(C68,IMPORTRANGE(""https://docs.google.com/spreadsheets/d/1ZLN5T8y7NSBIP1rvSj6TTUR_vTQbRwUKSt8zZJ_EfE4/edit?gid=461094331#gid=461094331"",""SCHEDULE_SDT_JAN26""),42,0)"),0)</f>
        <v>0</v>
      </c>
      <c r="AD68" s="61">
        <f ca="1">IFERROR(__xludf.DUMMYFUNCTION("VLOOKUP(C68,IMPORTRANGE(""https://docs.google.com/spreadsheets/d/1ZLN5T8y7NSBIP1rvSj6TTUR_vTQbRwUKSt8zZJ_EfE4/edit?gid=461094331#gid=461094331"",""SCHEDULE_SDT_JAN26""),43,0)"),0)</f>
        <v>0</v>
      </c>
      <c r="AE68" s="69">
        <f t="shared" ca="1" si="8"/>
        <v>0</v>
      </c>
      <c r="AF68" s="20">
        <v>468468</v>
      </c>
      <c r="AG68" s="19">
        <v>253500</v>
      </c>
      <c r="AH68" s="302">
        <v>0</v>
      </c>
      <c r="AI68" s="302">
        <v>0</v>
      </c>
      <c r="AJ68" s="302">
        <v>0</v>
      </c>
      <c r="AK68" s="302">
        <f t="shared" si="9"/>
        <v>0</v>
      </c>
      <c r="AL68" s="302">
        <v>0</v>
      </c>
      <c r="AM68" s="302">
        <f t="shared" ca="1" si="10"/>
        <v>721968</v>
      </c>
      <c r="AN68" s="302">
        <f t="shared" ca="1" si="11"/>
        <v>5883076</v>
      </c>
      <c r="AO68" s="302">
        <f t="shared" ca="1" si="12"/>
        <v>63450.123703999998</v>
      </c>
      <c r="AP68" s="302">
        <f t="shared" ca="1" si="13"/>
        <v>5819625.8762959996</v>
      </c>
      <c r="AQ68" s="302">
        <f t="shared" ca="1" si="14"/>
        <v>5819625.8762959996</v>
      </c>
      <c r="AR68" s="302">
        <f t="shared" ca="1" si="15"/>
        <v>5819600</v>
      </c>
      <c r="AS68" s="301"/>
      <c r="AT68" s="73" t="s">
        <v>9</v>
      </c>
      <c r="AU68" s="303" t="s">
        <v>10</v>
      </c>
      <c r="AV68" s="302">
        <f t="shared" si="34"/>
        <v>5729876</v>
      </c>
      <c r="AW68" s="302">
        <f t="shared" ca="1" si="35"/>
        <v>105000</v>
      </c>
      <c r="AX68" s="302">
        <f t="shared" ca="1" si="36"/>
        <v>250000</v>
      </c>
      <c r="AY68" s="302">
        <v>0</v>
      </c>
      <c r="AZ68" s="300">
        <f t="shared" si="37"/>
        <v>13751.702399999998</v>
      </c>
      <c r="BA68" s="302">
        <f t="shared" si="38"/>
        <v>17189.628000000001</v>
      </c>
      <c r="BB68" s="302">
        <f t="shared" si="39"/>
        <v>229195.04</v>
      </c>
      <c r="BC68" s="302">
        <f t="shared" ca="1" si="40"/>
        <v>6345012.3703999994</v>
      </c>
      <c r="BD68" s="304">
        <f ca="1">IF(AU68="C",VLOOKUP(BC68,TER!$J$4:$L$50,3,TRUE),IF(AU68="B",VLOOKUP(BC68,TER!$F$4:$H$50,3,TRUE),IF(AU68="A",VLOOKUP(BC68,TER!$B$4:$D$50,3,TRUE),"ERROR")))</f>
        <v>0.01</v>
      </c>
      <c r="BE68" s="302">
        <f t="shared" ca="1" si="41"/>
        <v>63450.123703999998</v>
      </c>
      <c r="BF68" s="260"/>
      <c r="BG68" s="260"/>
    </row>
    <row r="69" spans="1:59" ht="15.75" customHeight="1" outlineLevel="1">
      <c r="A69" s="251"/>
      <c r="B69" s="224">
        <v>60</v>
      </c>
      <c r="C69" s="306" t="s">
        <v>1295</v>
      </c>
      <c r="D69" s="307" t="s">
        <v>1296</v>
      </c>
      <c r="E69" s="261" t="s">
        <v>1132</v>
      </c>
      <c r="F69" s="308">
        <v>9000034029687</v>
      </c>
      <c r="G69" s="298" t="s">
        <v>1297</v>
      </c>
      <c r="H69" s="299" t="s">
        <v>32</v>
      </c>
      <c r="I69" s="69">
        <f t="shared" si="43"/>
        <v>5729876</v>
      </c>
      <c r="J69" s="300">
        <v>316368</v>
      </c>
      <c r="K69" s="300">
        <v>203800</v>
      </c>
      <c r="L69" s="300">
        <v>100000</v>
      </c>
      <c r="M69" s="302">
        <f t="shared" ca="1" si="44"/>
        <v>5000</v>
      </c>
      <c r="N69" s="125">
        <f ca="1">IFERROR(__xludf.DUMMYFUNCTION("VLOOKUP(C69,IMPORTRANGE(""https://docs.google.com/spreadsheets/d/1ZLN5T8y7NSBIP1rvSj6TTUR_vTQbRwUKSt8zZJ_EfE4/edit?gid=461094331#gid=461094331"",""SCHEDULE_SDT_JAN26""),35,0)"),18)</f>
        <v>18</v>
      </c>
      <c r="O69" s="125">
        <f ca="1">IFERROR(__xludf.DUMMYFUNCTION("VLOOKUP(C69,IMPORTRANGE(""https://docs.google.com/spreadsheets/d/1ZLN5T8y7NSBIP1rvSj6TTUR_vTQbRwUKSt8zZJ_EfE4/edit?gid=461094331#gid=461094331"",""SCHEDULE_SDT_JAN26""),34,0)"),20)</f>
        <v>20</v>
      </c>
      <c r="P69" s="61">
        <f t="shared" ca="1" si="2"/>
        <v>90000</v>
      </c>
      <c r="Q69" s="301"/>
      <c r="R69" s="302">
        <f t="shared" si="3"/>
        <v>6350044</v>
      </c>
      <c r="S69" s="302">
        <f t="shared" si="4"/>
        <v>6350044</v>
      </c>
      <c r="T69" s="303">
        <f t="shared" si="5"/>
        <v>0</v>
      </c>
      <c r="U69" s="300">
        <v>250000</v>
      </c>
      <c r="V69" s="61">
        <f ca="1">IFERROR(__xludf.DUMMYFUNCTION("VLOOKUP(C69,IMPORTRANGE(""https://docs.google.com/spreadsheets/d/1ZLN5T8y7NSBIP1rvSj6TTUR_vTQbRwUKSt8zZJ_EfE4/edit?gid=461094331#gid=461094331"",""SCHEDULE_SDT_JAN26""),36,0)"),0)</f>
        <v>0</v>
      </c>
      <c r="W69" s="69">
        <f t="shared" ca="1" si="6"/>
        <v>0</v>
      </c>
      <c r="X69" s="302">
        <v>0</v>
      </c>
      <c r="Y69" s="302">
        <f t="shared" ca="1" si="7"/>
        <v>6340044</v>
      </c>
      <c r="Z69" s="61">
        <f ca="1">IFERROR(__xludf.DUMMYFUNCTION("VLOOKUP(C69,IMPORTRANGE(""https://docs.google.com/spreadsheets/d/1ZLN5T8y7NSBIP1rvSj6TTUR_vTQbRwUKSt8zZJ_EfE4/edit?gid=461094331#gid=461094331"",""SCHEDULE_SDT_JAN26""),38,0)+VLOOKUP(C69,IMPORTRANGE(""https://docs.google.com/spreadsheets/d/1ZLN5T8y7NSBIP1"&amp;"rvSj6TTUR_vTQbRwUKSt8zZJ_EfE4/edit?gid=461094331#gid=461094331"",""SCHEDULE_SDT_JAN26""),39,0)"),1)</f>
        <v>1</v>
      </c>
      <c r="AA69" s="61">
        <f ca="1">IFERROR(__xludf.DUMMYFUNCTION("VLOOKUP(C69,IMPORTRANGE(""https://docs.google.com/spreadsheets/d/1ZLN5T8y7NSBIP1rvSj6TTUR_vTQbRwUKSt8zZJ_EfE4/edit?gid=461094331#gid=461094331"",""SCHEDULE_SDT_JAN26""),40,0)"),1)</f>
        <v>1</v>
      </c>
      <c r="AB69" s="61">
        <f ca="1">IFERROR(__xludf.DUMMYFUNCTION("VLOOKUP(C69,IMPORTRANGE(""https://docs.google.com/spreadsheets/d/1ZLN5T8y7NSBIP1rvSj6TTUR_vTQbRwUKSt8zZJ_EfE4/edit?gid=461094331#gid=461094331"",""SCHEDULE_SDT_JAN26""),41,0)"),0)</f>
        <v>0</v>
      </c>
      <c r="AC69" s="61">
        <f ca="1">IFERROR(__xludf.DUMMYFUNCTION("VLOOKUP(C69,IMPORTRANGE(""https://docs.google.com/spreadsheets/d/1ZLN5T8y7NSBIP1rvSj6TTUR_vTQbRwUKSt8zZJ_EfE4/edit?gid=461094331#gid=461094331"",""SCHEDULE_SDT_JAN26""),42,0)"),0)</f>
        <v>0</v>
      </c>
      <c r="AD69" s="61">
        <f ca="1">IFERROR(__xludf.DUMMYFUNCTION("VLOOKUP(C69,IMPORTRANGE(""https://docs.google.com/spreadsheets/d/1ZLN5T8y7NSBIP1rvSj6TTUR_vTQbRwUKSt8zZJ_EfE4/edit?gid=461094331#gid=461094331"",""SCHEDULE_SDT_JAN26""),43,0)"),0)</f>
        <v>0</v>
      </c>
      <c r="AE69" s="69">
        <f t="shared" ca="1" si="8"/>
        <v>500000</v>
      </c>
      <c r="AF69" s="20">
        <v>468468</v>
      </c>
      <c r="AG69" s="19">
        <v>253500</v>
      </c>
      <c r="AH69" s="302">
        <v>0</v>
      </c>
      <c r="AI69" s="302">
        <v>0</v>
      </c>
      <c r="AJ69" s="302">
        <v>0</v>
      </c>
      <c r="AK69" s="302">
        <f t="shared" si="9"/>
        <v>0</v>
      </c>
      <c r="AL69" s="302">
        <v>0</v>
      </c>
      <c r="AM69" s="302">
        <f t="shared" ca="1" si="10"/>
        <v>1221968</v>
      </c>
      <c r="AN69" s="302">
        <f t="shared" ca="1" si="11"/>
        <v>5118076</v>
      </c>
      <c r="AO69" s="302">
        <f t="shared" ca="1" si="12"/>
        <v>45600.092777999991</v>
      </c>
      <c r="AP69" s="302">
        <f t="shared" ca="1" si="13"/>
        <v>5072475.907222</v>
      </c>
      <c r="AQ69" s="302">
        <f t="shared" ca="1" si="14"/>
        <v>5072475.907222</v>
      </c>
      <c r="AR69" s="302">
        <f t="shared" ca="1" si="15"/>
        <v>5072500</v>
      </c>
      <c r="AS69" s="301"/>
      <c r="AT69" s="73" t="s">
        <v>9</v>
      </c>
      <c r="AU69" s="303" t="s">
        <v>10</v>
      </c>
      <c r="AV69" s="302">
        <f t="shared" si="34"/>
        <v>5729876</v>
      </c>
      <c r="AW69" s="302">
        <f t="shared" ca="1" si="35"/>
        <v>90000</v>
      </c>
      <c r="AX69" s="302">
        <f t="shared" ca="1" si="36"/>
        <v>0</v>
      </c>
      <c r="AY69" s="302">
        <v>0</v>
      </c>
      <c r="AZ69" s="300">
        <f t="shared" si="37"/>
        <v>13751.702399999998</v>
      </c>
      <c r="BA69" s="302">
        <f t="shared" si="38"/>
        <v>17189.628000000001</v>
      </c>
      <c r="BB69" s="302">
        <f t="shared" si="39"/>
        <v>229195.04</v>
      </c>
      <c r="BC69" s="302">
        <f t="shared" ca="1" si="40"/>
        <v>6080012.3703999994</v>
      </c>
      <c r="BD69" s="304">
        <f ca="1">IF(AU69="C",VLOOKUP(BC69,TER!$J$4:$L$50,3,TRUE),IF(AU69="B",VLOOKUP(BC69,TER!$F$4:$H$50,3,TRUE),IF(AU69="A",VLOOKUP(BC69,TER!$B$4:$D$50,3,TRUE),"ERROR")))</f>
        <v>7.4999999999999997E-3</v>
      </c>
      <c r="BE69" s="302">
        <f t="shared" ca="1" si="41"/>
        <v>45600.092777999991</v>
      </c>
      <c r="BF69" s="251"/>
      <c r="BG69" s="251"/>
    </row>
    <row r="70" spans="1:59" ht="15.75" customHeight="1" outlineLevel="1">
      <c r="A70" s="251"/>
      <c r="B70" s="224">
        <v>61</v>
      </c>
      <c r="C70" s="295" t="s">
        <v>1197</v>
      </c>
      <c r="D70" s="291" t="s">
        <v>1198</v>
      </c>
      <c r="E70" s="261" t="s">
        <v>1132</v>
      </c>
      <c r="F70" s="305" t="s">
        <v>1298</v>
      </c>
      <c r="G70" s="296" t="s">
        <v>31</v>
      </c>
      <c r="H70" s="299" t="s">
        <v>32</v>
      </c>
      <c r="I70" s="69">
        <f t="shared" si="43"/>
        <v>5729876</v>
      </c>
      <c r="J70" s="300">
        <v>316368</v>
      </c>
      <c r="K70" s="300">
        <v>203800</v>
      </c>
      <c r="L70" s="300">
        <v>100000</v>
      </c>
      <c r="M70" s="302">
        <f t="shared" ca="1" si="44"/>
        <v>5000</v>
      </c>
      <c r="N70" s="125">
        <f ca="1">IFERROR(__xludf.DUMMYFUNCTION("VLOOKUP(C70,IMPORTRANGE(""https://docs.google.com/spreadsheets/d/1ZLN5T8y7NSBIP1rvSj6TTUR_vTQbRwUKSt8zZJ_EfE4/edit?gid=461094331#gid=461094331"",""SCHEDULE_SDT_JAN26""),35,0)"),21)</f>
        <v>21</v>
      </c>
      <c r="O70" s="125">
        <f ca="1">IFERROR(__xludf.DUMMYFUNCTION("VLOOKUP(C70,IMPORTRANGE(""https://docs.google.com/spreadsheets/d/1ZLN5T8y7NSBIP1rvSj6TTUR_vTQbRwUKSt8zZJ_EfE4/edit?gid=461094331#gid=461094331"",""SCHEDULE_SDT_JAN26""),34,0)"),21)</f>
        <v>21</v>
      </c>
      <c r="P70" s="61">
        <f t="shared" ca="1" si="2"/>
        <v>105000</v>
      </c>
      <c r="Q70" s="301"/>
      <c r="R70" s="302">
        <f t="shared" si="3"/>
        <v>6350044</v>
      </c>
      <c r="S70" s="302">
        <f t="shared" si="4"/>
        <v>6350044</v>
      </c>
      <c r="T70" s="303">
        <f t="shared" si="5"/>
        <v>0</v>
      </c>
      <c r="U70" s="300">
        <v>250000</v>
      </c>
      <c r="V70" s="61">
        <f ca="1">IFERROR(__xludf.DUMMYFUNCTION("VLOOKUP(C70,IMPORTRANGE(""https://docs.google.com/spreadsheets/d/1ZLN5T8y7NSBIP1rvSj6TTUR_vTQbRwUKSt8zZJ_EfE4/edit?gid=461094331#gid=461094331"",""SCHEDULE_SDT_JAN26""),36,0)"),2)</f>
        <v>2</v>
      </c>
      <c r="W70" s="69">
        <f t="shared" ca="1" si="6"/>
        <v>500000</v>
      </c>
      <c r="X70" s="302">
        <v>0</v>
      </c>
      <c r="Y70" s="302">
        <f t="shared" ca="1" si="7"/>
        <v>6855044</v>
      </c>
      <c r="Z70" s="61">
        <f ca="1">IFERROR(__xludf.DUMMYFUNCTION("VLOOKUP(C70,IMPORTRANGE(""https://docs.google.com/spreadsheets/d/1ZLN5T8y7NSBIP1rvSj6TTUR_vTQbRwUKSt8zZJ_EfE4/edit?gid=461094331#gid=461094331"",""SCHEDULE_SDT_JAN26""),38,0)+VLOOKUP(C70,IMPORTRANGE(""https://docs.google.com/spreadsheets/d/1ZLN5T8y7NSBIP1"&amp;"rvSj6TTUR_vTQbRwUKSt8zZJ_EfE4/edit?gid=461094331#gid=461094331"",""SCHEDULE_SDT_JAN26""),39,0)"),0)</f>
        <v>0</v>
      </c>
      <c r="AA70" s="61">
        <f ca="1">IFERROR(__xludf.DUMMYFUNCTION("VLOOKUP(C70,IMPORTRANGE(""https://docs.google.com/spreadsheets/d/1ZLN5T8y7NSBIP1rvSj6TTUR_vTQbRwUKSt8zZJ_EfE4/edit?gid=461094331#gid=461094331"",""SCHEDULE_SDT_JAN26""),40,0)"),0)</f>
        <v>0</v>
      </c>
      <c r="AB70" s="61">
        <f ca="1">IFERROR(__xludf.DUMMYFUNCTION("VLOOKUP(C70,IMPORTRANGE(""https://docs.google.com/spreadsheets/d/1ZLN5T8y7NSBIP1rvSj6TTUR_vTQbRwUKSt8zZJ_EfE4/edit?gid=461094331#gid=461094331"",""SCHEDULE_SDT_JAN26""),41,0)"),0)</f>
        <v>0</v>
      </c>
      <c r="AC70" s="61">
        <f ca="1">IFERROR(__xludf.DUMMYFUNCTION("VLOOKUP(C70,IMPORTRANGE(""https://docs.google.com/spreadsheets/d/1ZLN5T8y7NSBIP1rvSj6TTUR_vTQbRwUKSt8zZJ_EfE4/edit?gid=461094331#gid=461094331"",""SCHEDULE_SDT_JAN26""),42,0)"),0)</f>
        <v>0</v>
      </c>
      <c r="AD70" s="61">
        <f ca="1">IFERROR(__xludf.DUMMYFUNCTION("VLOOKUP(C70,IMPORTRANGE(""https://docs.google.com/spreadsheets/d/1ZLN5T8y7NSBIP1rvSj6TTUR_vTQbRwUKSt8zZJ_EfE4/edit?gid=461094331#gid=461094331"",""SCHEDULE_SDT_JAN26""),43,0)"),0)</f>
        <v>0</v>
      </c>
      <c r="AE70" s="69">
        <f t="shared" ca="1" si="8"/>
        <v>0</v>
      </c>
      <c r="AF70" s="20">
        <v>468468</v>
      </c>
      <c r="AG70" s="19">
        <v>253500</v>
      </c>
      <c r="AH70" s="302">
        <v>0</v>
      </c>
      <c r="AI70" s="302">
        <v>0</v>
      </c>
      <c r="AJ70" s="302">
        <v>0</v>
      </c>
      <c r="AK70" s="302">
        <f t="shared" si="9"/>
        <v>0</v>
      </c>
      <c r="AL70" s="302">
        <v>0</v>
      </c>
      <c r="AM70" s="302">
        <f t="shared" ca="1" si="10"/>
        <v>721968</v>
      </c>
      <c r="AN70" s="302">
        <f t="shared" ca="1" si="11"/>
        <v>6133076</v>
      </c>
      <c r="AO70" s="302">
        <f t="shared" ca="1" si="12"/>
        <v>65950.123703999998</v>
      </c>
      <c r="AP70" s="302">
        <f t="shared" ca="1" si="13"/>
        <v>6067125.8762959996</v>
      </c>
      <c r="AQ70" s="302">
        <f t="shared" ca="1" si="14"/>
        <v>6067125.8762959996</v>
      </c>
      <c r="AR70" s="302">
        <f t="shared" ca="1" si="15"/>
        <v>6067100</v>
      </c>
      <c r="AS70" s="301"/>
      <c r="AT70" s="73" t="s">
        <v>9</v>
      </c>
      <c r="AU70" s="303" t="s">
        <v>10</v>
      </c>
      <c r="AV70" s="302">
        <f t="shared" si="34"/>
        <v>5729876</v>
      </c>
      <c r="AW70" s="302">
        <f t="shared" ca="1" si="35"/>
        <v>105000</v>
      </c>
      <c r="AX70" s="302">
        <f t="shared" ca="1" si="36"/>
        <v>500000</v>
      </c>
      <c r="AY70" s="302">
        <v>0</v>
      </c>
      <c r="AZ70" s="300">
        <f t="shared" si="37"/>
        <v>13751.702399999998</v>
      </c>
      <c r="BA70" s="302">
        <f t="shared" si="38"/>
        <v>17189.628000000001</v>
      </c>
      <c r="BB70" s="302">
        <f t="shared" si="39"/>
        <v>229195.04</v>
      </c>
      <c r="BC70" s="302">
        <f t="shared" ca="1" si="40"/>
        <v>6595012.3703999994</v>
      </c>
      <c r="BD70" s="304">
        <f ca="1">IF(AU70="C",VLOOKUP(BC70,TER!$J$4:$L$50,3,TRUE),IF(AU70="B",VLOOKUP(BC70,TER!$F$4:$H$50,3,TRUE),IF(AU70="A",VLOOKUP(BC70,TER!$B$4:$D$50,3,TRUE),"ERROR")))</f>
        <v>0.01</v>
      </c>
      <c r="BE70" s="302">
        <f t="shared" ca="1" si="41"/>
        <v>65950.123703999998</v>
      </c>
      <c r="BF70" s="251"/>
      <c r="BG70" s="251"/>
    </row>
    <row r="71" spans="1:59" ht="15.75" customHeight="1" outlineLevel="1">
      <c r="A71" s="251"/>
      <c r="B71" s="224">
        <v>62</v>
      </c>
      <c r="C71" s="309" t="s">
        <v>1299</v>
      </c>
      <c r="D71" s="287" t="s">
        <v>1300</v>
      </c>
      <c r="E71" s="298" t="s">
        <v>57</v>
      </c>
      <c r="F71" s="297" t="s">
        <v>1301</v>
      </c>
      <c r="G71" s="296" t="s">
        <v>31</v>
      </c>
      <c r="H71" s="299" t="s">
        <v>32</v>
      </c>
      <c r="I71" s="69">
        <f t="shared" si="43"/>
        <v>5729876</v>
      </c>
      <c r="J71" s="300">
        <v>316368</v>
      </c>
      <c r="K71" s="300">
        <v>203800</v>
      </c>
      <c r="L71" s="300">
        <v>100000</v>
      </c>
      <c r="M71" s="302">
        <f t="shared" ca="1" si="44"/>
        <v>5000</v>
      </c>
      <c r="N71" s="125">
        <f ca="1">IFERROR(__xludf.DUMMYFUNCTION("VLOOKUP(C71,IMPORTRANGE(""https://docs.google.com/spreadsheets/d/1ZLN5T8y7NSBIP1rvSj6TTUR_vTQbRwUKSt8zZJ_EfE4/edit?gid=461094331#gid=461094331"",""SCHEDULE_SDT_JAN26""),35,0)"),21)</f>
        <v>21</v>
      </c>
      <c r="O71" s="125">
        <f ca="1">IFERROR(__xludf.DUMMYFUNCTION("VLOOKUP(C71,IMPORTRANGE(""https://docs.google.com/spreadsheets/d/1ZLN5T8y7NSBIP1rvSj6TTUR_vTQbRwUKSt8zZJ_EfE4/edit?gid=461094331#gid=461094331"",""SCHEDULE_SDT_JAN26""),34,0)"),21)</f>
        <v>21</v>
      </c>
      <c r="P71" s="61">
        <f t="shared" ca="1" si="2"/>
        <v>105000</v>
      </c>
      <c r="Q71" s="301"/>
      <c r="R71" s="302">
        <f t="shared" si="3"/>
        <v>6350044</v>
      </c>
      <c r="S71" s="302">
        <f t="shared" si="4"/>
        <v>6350044</v>
      </c>
      <c r="T71" s="303">
        <f t="shared" si="5"/>
        <v>0</v>
      </c>
      <c r="U71" s="300">
        <v>250000</v>
      </c>
      <c r="V71" s="61">
        <f ca="1">IFERROR(__xludf.DUMMYFUNCTION("VLOOKUP(C71,IMPORTRANGE(""https://docs.google.com/spreadsheets/d/1ZLN5T8y7NSBIP1rvSj6TTUR_vTQbRwUKSt8zZJ_EfE4/edit?gid=461094331#gid=461094331"",""SCHEDULE_SDT_JAN26""),36,0)"),2)</f>
        <v>2</v>
      </c>
      <c r="W71" s="69">
        <f t="shared" ca="1" si="6"/>
        <v>500000</v>
      </c>
      <c r="X71" s="302">
        <v>0</v>
      </c>
      <c r="Y71" s="302">
        <f t="shared" ca="1" si="7"/>
        <v>6855044</v>
      </c>
      <c r="Z71" s="61">
        <f ca="1">IFERROR(__xludf.DUMMYFUNCTION("VLOOKUP(C71,IMPORTRANGE(""https://docs.google.com/spreadsheets/d/1ZLN5T8y7NSBIP1rvSj6TTUR_vTQbRwUKSt8zZJ_EfE4/edit?gid=461094331#gid=461094331"",""SCHEDULE_SDT_JAN26""),38,0)+VLOOKUP(C71,IMPORTRANGE(""https://docs.google.com/spreadsheets/d/1ZLN5T8y7NSBIP1"&amp;"rvSj6TTUR_vTQbRwUKSt8zZJ_EfE4/edit?gid=461094331#gid=461094331"",""SCHEDULE_SDT_JAN26""),39,0)"),0)</f>
        <v>0</v>
      </c>
      <c r="AA71" s="61">
        <f ca="1">IFERROR(__xludf.DUMMYFUNCTION("VLOOKUP(C71,IMPORTRANGE(""https://docs.google.com/spreadsheets/d/1ZLN5T8y7NSBIP1rvSj6TTUR_vTQbRwUKSt8zZJ_EfE4/edit?gid=461094331#gid=461094331"",""SCHEDULE_SDT_JAN26""),40,0)"),0)</f>
        <v>0</v>
      </c>
      <c r="AB71" s="61">
        <f ca="1">IFERROR(__xludf.DUMMYFUNCTION("VLOOKUP(C71,IMPORTRANGE(""https://docs.google.com/spreadsheets/d/1ZLN5T8y7NSBIP1rvSj6TTUR_vTQbRwUKSt8zZJ_EfE4/edit?gid=461094331#gid=461094331"",""SCHEDULE_SDT_JAN26""),41,0)"),0)</f>
        <v>0</v>
      </c>
      <c r="AC71" s="61">
        <f ca="1">IFERROR(__xludf.DUMMYFUNCTION("VLOOKUP(C71,IMPORTRANGE(""https://docs.google.com/spreadsheets/d/1ZLN5T8y7NSBIP1rvSj6TTUR_vTQbRwUKSt8zZJ_EfE4/edit?gid=461094331#gid=461094331"",""SCHEDULE_SDT_JAN26""),42,0)"),0)</f>
        <v>0</v>
      </c>
      <c r="AD71" s="61">
        <f ca="1">IFERROR(__xludf.DUMMYFUNCTION("VLOOKUP(C71,IMPORTRANGE(""https://docs.google.com/spreadsheets/d/1ZLN5T8y7NSBIP1rvSj6TTUR_vTQbRwUKSt8zZJ_EfE4/edit?gid=461094331#gid=461094331"",""SCHEDULE_SDT_JAN26""),43,0)"),0)</f>
        <v>0</v>
      </c>
      <c r="AE71" s="69">
        <f t="shared" ca="1" si="8"/>
        <v>0</v>
      </c>
      <c r="AF71" s="20">
        <v>468468</v>
      </c>
      <c r="AG71" s="19">
        <v>253500</v>
      </c>
      <c r="AH71" s="302">
        <v>0</v>
      </c>
      <c r="AI71" s="302">
        <v>0</v>
      </c>
      <c r="AJ71" s="302">
        <v>0</v>
      </c>
      <c r="AK71" s="302">
        <f t="shared" si="9"/>
        <v>0</v>
      </c>
      <c r="AL71" s="302">
        <v>0</v>
      </c>
      <c r="AM71" s="302">
        <f t="shared" ca="1" si="10"/>
        <v>721968</v>
      </c>
      <c r="AN71" s="302">
        <f t="shared" ca="1" si="11"/>
        <v>6133076</v>
      </c>
      <c r="AO71" s="302">
        <f t="shared" ca="1" si="12"/>
        <v>65950.123703999998</v>
      </c>
      <c r="AP71" s="302">
        <f t="shared" ca="1" si="13"/>
        <v>6067125.8762959996</v>
      </c>
      <c r="AQ71" s="302">
        <f t="shared" ca="1" si="14"/>
        <v>6067125.8762959996</v>
      </c>
      <c r="AR71" s="302">
        <f t="shared" ca="1" si="15"/>
        <v>6067100</v>
      </c>
      <c r="AS71" s="301"/>
      <c r="AT71" s="73" t="s">
        <v>9</v>
      </c>
      <c r="AU71" s="303" t="s">
        <v>10</v>
      </c>
      <c r="AV71" s="302">
        <f t="shared" si="34"/>
        <v>5729876</v>
      </c>
      <c r="AW71" s="302">
        <f t="shared" ca="1" si="35"/>
        <v>105000</v>
      </c>
      <c r="AX71" s="302">
        <f t="shared" ca="1" si="36"/>
        <v>500000</v>
      </c>
      <c r="AY71" s="302">
        <v>0</v>
      </c>
      <c r="AZ71" s="300">
        <f t="shared" si="37"/>
        <v>13751.702399999998</v>
      </c>
      <c r="BA71" s="302">
        <f t="shared" si="38"/>
        <v>17189.628000000001</v>
      </c>
      <c r="BB71" s="302">
        <f t="shared" si="39"/>
        <v>229195.04</v>
      </c>
      <c r="BC71" s="302">
        <f t="shared" ca="1" si="40"/>
        <v>6595012.3703999994</v>
      </c>
      <c r="BD71" s="304">
        <f ca="1">IF(AU71="C",VLOOKUP(BC71,TER!$J$4:$L$50,3,TRUE),IF(AU71="B",VLOOKUP(BC71,TER!$F$4:$H$50,3,TRUE),IF(AU71="A",VLOOKUP(BC71,TER!$B$4:$D$50,3,TRUE),"ERROR")))</f>
        <v>0.01</v>
      </c>
      <c r="BE71" s="302">
        <f t="shared" ca="1" si="41"/>
        <v>65950.123703999998</v>
      </c>
      <c r="BF71" s="251"/>
      <c r="BG71" s="251"/>
    </row>
    <row r="72" spans="1:59" ht="15.75" customHeight="1" outlineLevel="1">
      <c r="A72" s="251"/>
      <c r="B72" s="224">
        <v>63</v>
      </c>
      <c r="C72" s="278" t="s">
        <v>1302</v>
      </c>
      <c r="D72" s="287" t="s">
        <v>1303</v>
      </c>
      <c r="E72" s="298" t="s">
        <v>57</v>
      </c>
      <c r="F72" s="297" t="s">
        <v>1304</v>
      </c>
      <c r="G72" s="296" t="s">
        <v>31</v>
      </c>
      <c r="H72" s="299" t="s">
        <v>32</v>
      </c>
      <c r="I72" s="69">
        <f t="shared" si="43"/>
        <v>5729876</v>
      </c>
      <c r="J72" s="300">
        <v>316368</v>
      </c>
      <c r="K72" s="300">
        <v>203800</v>
      </c>
      <c r="L72" s="300">
        <v>100000</v>
      </c>
      <c r="M72" s="302">
        <f t="shared" ca="1" si="44"/>
        <v>5000</v>
      </c>
      <c r="N72" s="125">
        <f ca="1">IFERROR(__xludf.DUMMYFUNCTION("VLOOKUP(C72,IMPORTRANGE(""https://docs.google.com/spreadsheets/d/1ZLN5T8y7NSBIP1rvSj6TTUR_vTQbRwUKSt8zZJ_EfE4/edit?gid=461094331#gid=461094331"",""SCHEDULE_SDT_JAN26""),35,0)"),21)</f>
        <v>21</v>
      </c>
      <c r="O72" s="125">
        <f ca="1">IFERROR(__xludf.DUMMYFUNCTION("VLOOKUP(C72,IMPORTRANGE(""https://docs.google.com/spreadsheets/d/1ZLN5T8y7NSBIP1rvSj6TTUR_vTQbRwUKSt8zZJ_EfE4/edit?gid=461094331#gid=461094331"",""SCHEDULE_SDT_JAN26""),34,0)"),21)</f>
        <v>21</v>
      </c>
      <c r="P72" s="61">
        <f t="shared" ca="1" si="2"/>
        <v>105000</v>
      </c>
      <c r="Q72" s="301"/>
      <c r="R72" s="302">
        <f t="shared" si="3"/>
        <v>6350044</v>
      </c>
      <c r="S72" s="302">
        <f t="shared" si="4"/>
        <v>6350044</v>
      </c>
      <c r="T72" s="303">
        <f t="shared" si="5"/>
        <v>0</v>
      </c>
      <c r="U72" s="300">
        <v>250000</v>
      </c>
      <c r="V72" s="61">
        <f ca="1">IFERROR(__xludf.DUMMYFUNCTION("VLOOKUP(C72,IMPORTRANGE(""https://docs.google.com/spreadsheets/d/1ZLN5T8y7NSBIP1rvSj6TTUR_vTQbRwUKSt8zZJ_EfE4/edit?gid=461094331#gid=461094331"",""SCHEDULE_SDT_JAN26""),36,0)"),1)</f>
        <v>1</v>
      </c>
      <c r="W72" s="69">
        <f t="shared" ca="1" si="6"/>
        <v>250000</v>
      </c>
      <c r="X72" s="302">
        <v>0</v>
      </c>
      <c r="Y72" s="302">
        <f t="shared" ca="1" si="7"/>
        <v>6605044</v>
      </c>
      <c r="Z72" s="61">
        <f ca="1">IFERROR(__xludf.DUMMYFUNCTION("VLOOKUP(C72,IMPORTRANGE(""https://docs.google.com/spreadsheets/d/1ZLN5T8y7NSBIP1rvSj6TTUR_vTQbRwUKSt8zZJ_EfE4/edit?gid=461094331#gid=461094331"",""SCHEDULE_SDT_JAN26""),38,0)+VLOOKUP(C72,IMPORTRANGE(""https://docs.google.com/spreadsheets/d/1ZLN5T8y7NSBIP1"&amp;"rvSj6TTUR_vTQbRwUKSt8zZJ_EfE4/edit?gid=461094331#gid=461094331"",""SCHEDULE_SDT_JAN26""),39,0)"),0)</f>
        <v>0</v>
      </c>
      <c r="AA72" s="61">
        <f ca="1">IFERROR(__xludf.DUMMYFUNCTION("VLOOKUP(C72,IMPORTRANGE(""https://docs.google.com/spreadsheets/d/1ZLN5T8y7NSBIP1rvSj6TTUR_vTQbRwUKSt8zZJ_EfE4/edit?gid=461094331#gid=461094331"",""SCHEDULE_SDT_JAN26""),40,0)"),0)</f>
        <v>0</v>
      </c>
      <c r="AB72" s="61">
        <f ca="1">IFERROR(__xludf.DUMMYFUNCTION("VLOOKUP(C72,IMPORTRANGE(""https://docs.google.com/spreadsheets/d/1ZLN5T8y7NSBIP1rvSj6TTUR_vTQbRwUKSt8zZJ_EfE4/edit?gid=461094331#gid=461094331"",""SCHEDULE_SDT_JAN26""),41,0)"),0)</f>
        <v>0</v>
      </c>
      <c r="AC72" s="61">
        <f ca="1">IFERROR(__xludf.DUMMYFUNCTION("VLOOKUP(C72,IMPORTRANGE(""https://docs.google.com/spreadsheets/d/1ZLN5T8y7NSBIP1rvSj6TTUR_vTQbRwUKSt8zZJ_EfE4/edit?gid=461094331#gid=461094331"",""SCHEDULE_SDT_JAN26""),42,0)"),0)</f>
        <v>0</v>
      </c>
      <c r="AD72" s="61">
        <f ca="1">IFERROR(__xludf.DUMMYFUNCTION("VLOOKUP(C72,IMPORTRANGE(""https://docs.google.com/spreadsheets/d/1ZLN5T8y7NSBIP1rvSj6TTUR_vTQbRwUKSt8zZJ_EfE4/edit?gid=461094331#gid=461094331"",""SCHEDULE_SDT_JAN26""),43,0)"),0)</f>
        <v>0</v>
      </c>
      <c r="AE72" s="69">
        <f t="shared" ca="1" si="8"/>
        <v>0</v>
      </c>
      <c r="AF72" s="20">
        <v>468468</v>
      </c>
      <c r="AG72" s="19">
        <v>253500</v>
      </c>
      <c r="AH72" s="302">
        <v>0</v>
      </c>
      <c r="AI72" s="302">
        <v>0</v>
      </c>
      <c r="AJ72" s="302">
        <v>0</v>
      </c>
      <c r="AK72" s="302">
        <f t="shared" si="9"/>
        <v>0</v>
      </c>
      <c r="AL72" s="302">
        <v>0</v>
      </c>
      <c r="AM72" s="302">
        <f t="shared" ca="1" si="10"/>
        <v>721968</v>
      </c>
      <c r="AN72" s="302">
        <f t="shared" ca="1" si="11"/>
        <v>5883076</v>
      </c>
      <c r="AO72" s="302">
        <f t="shared" ca="1" si="12"/>
        <v>63450.123703999998</v>
      </c>
      <c r="AP72" s="302">
        <f t="shared" ca="1" si="13"/>
        <v>5819625.8762959996</v>
      </c>
      <c r="AQ72" s="302">
        <f t="shared" ca="1" si="14"/>
        <v>5819625.8762959996</v>
      </c>
      <c r="AR72" s="302">
        <f t="shared" ca="1" si="15"/>
        <v>5819600</v>
      </c>
      <c r="AS72" s="301"/>
      <c r="AT72" s="73" t="s">
        <v>9</v>
      </c>
      <c r="AU72" s="303" t="s">
        <v>10</v>
      </c>
      <c r="AV72" s="302">
        <f t="shared" si="34"/>
        <v>5729876</v>
      </c>
      <c r="AW72" s="302">
        <f t="shared" ca="1" si="35"/>
        <v>105000</v>
      </c>
      <c r="AX72" s="302">
        <f t="shared" ca="1" si="36"/>
        <v>250000</v>
      </c>
      <c r="AY72" s="302">
        <v>0</v>
      </c>
      <c r="AZ72" s="300">
        <f t="shared" si="37"/>
        <v>13751.702399999998</v>
      </c>
      <c r="BA72" s="302">
        <f t="shared" si="38"/>
        <v>17189.628000000001</v>
      </c>
      <c r="BB72" s="302">
        <f t="shared" si="39"/>
        <v>229195.04</v>
      </c>
      <c r="BC72" s="302">
        <f t="shared" ca="1" si="40"/>
        <v>6345012.3703999994</v>
      </c>
      <c r="BD72" s="304">
        <f ca="1">IF(AU72="C",VLOOKUP(BC72,TER!$J$4:$L$50,3,TRUE),IF(AU72="B",VLOOKUP(BC72,TER!$F$4:$H$50,3,TRUE),IF(AU72="A",VLOOKUP(BC72,TER!$B$4:$D$50,3,TRUE),"ERROR")))</f>
        <v>0.01</v>
      </c>
      <c r="BE72" s="302">
        <f t="shared" ca="1" si="41"/>
        <v>63450.123703999998</v>
      </c>
      <c r="BF72" s="251"/>
      <c r="BG72" s="251"/>
    </row>
    <row r="73" spans="1:59" ht="15.75" customHeight="1" outlineLevel="1">
      <c r="A73" s="251"/>
      <c r="B73" s="224">
        <v>64</v>
      </c>
      <c r="C73" s="62" t="s">
        <v>1305</v>
      </c>
      <c r="D73" s="291" t="s">
        <v>1306</v>
      </c>
      <c r="E73" s="298" t="s">
        <v>1006</v>
      </c>
      <c r="F73" s="297" t="s">
        <v>1307</v>
      </c>
      <c r="G73" s="296" t="s">
        <v>31</v>
      </c>
      <c r="H73" s="299" t="s">
        <v>32</v>
      </c>
      <c r="I73" s="69">
        <f t="shared" si="43"/>
        <v>5729876</v>
      </c>
      <c r="J73" s="300">
        <v>316368</v>
      </c>
      <c r="K73" s="300">
        <v>203800</v>
      </c>
      <c r="L73" s="300">
        <v>100000</v>
      </c>
      <c r="M73" s="302">
        <f t="shared" ca="1" si="44"/>
        <v>5000</v>
      </c>
      <c r="N73" s="125">
        <f ca="1">IFERROR(__xludf.DUMMYFUNCTION("VLOOKUP(C73,IMPORTRANGE(""https://docs.google.com/spreadsheets/d/1ZLN5T8y7NSBIP1rvSj6TTUR_vTQbRwUKSt8zZJ_EfE4/edit?gid=461094331#gid=461094331"",""SCHEDULE_SDT_JAN26""),35,0)"),20)</f>
        <v>20</v>
      </c>
      <c r="O73" s="125">
        <f ca="1">IFERROR(__xludf.DUMMYFUNCTION("VLOOKUP(C73,IMPORTRANGE(""https://docs.google.com/spreadsheets/d/1ZLN5T8y7NSBIP1rvSj6TTUR_vTQbRwUKSt8zZJ_EfE4/edit?gid=461094331#gid=461094331"",""SCHEDULE_SDT_JAN26""),34,0)"),21)</f>
        <v>21</v>
      </c>
      <c r="P73" s="61">
        <f t="shared" ca="1" si="2"/>
        <v>100000</v>
      </c>
      <c r="Q73" s="301"/>
      <c r="R73" s="302">
        <f t="shared" si="3"/>
        <v>6350044</v>
      </c>
      <c r="S73" s="302">
        <f t="shared" si="4"/>
        <v>6350044</v>
      </c>
      <c r="T73" s="303">
        <f t="shared" si="5"/>
        <v>0</v>
      </c>
      <c r="U73" s="300">
        <v>250000</v>
      </c>
      <c r="V73" s="61">
        <f ca="1">IFERROR(__xludf.DUMMYFUNCTION("VLOOKUP(C73,IMPORTRANGE(""https://docs.google.com/spreadsheets/d/1ZLN5T8y7NSBIP1rvSj6TTUR_vTQbRwUKSt8zZJ_EfE4/edit?gid=461094331#gid=461094331"",""SCHEDULE_SDT_JAN26""),36,0)"),1)</f>
        <v>1</v>
      </c>
      <c r="W73" s="69">
        <f t="shared" ca="1" si="6"/>
        <v>250000</v>
      </c>
      <c r="X73" s="302">
        <v>0</v>
      </c>
      <c r="Y73" s="302">
        <f t="shared" ca="1" si="7"/>
        <v>6600044</v>
      </c>
      <c r="Z73" s="61">
        <f ca="1">IFERROR(__xludf.DUMMYFUNCTION("VLOOKUP(C73,IMPORTRANGE(""https://docs.google.com/spreadsheets/d/1ZLN5T8y7NSBIP1rvSj6TTUR_vTQbRwUKSt8zZJ_EfE4/edit?gid=461094331#gid=461094331"",""SCHEDULE_SDT_JAN26""),38,0)+VLOOKUP(C73,IMPORTRANGE(""https://docs.google.com/spreadsheets/d/1ZLN5T8y7NSBIP1"&amp;"rvSj6TTUR_vTQbRwUKSt8zZJ_EfE4/edit?gid=461094331#gid=461094331"",""SCHEDULE_SDT_JAN26""),39,0)"),0)</f>
        <v>0</v>
      </c>
      <c r="AA73" s="61">
        <f ca="1">IFERROR(__xludf.DUMMYFUNCTION("VLOOKUP(C73,IMPORTRANGE(""https://docs.google.com/spreadsheets/d/1ZLN5T8y7NSBIP1rvSj6TTUR_vTQbRwUKSt8zZJ_EfE4/edit?gid=461094331#gid=461094331"",""SCHEDULE_SDT_JAN26""),40,0)"),1)</f>
        <v>1</v>
      </c>
      <c r="AB73" s="61">
        <f ca="1">IFERROR(__xludf.DUMMYFUNCTION("VLOOKUP(C73,IMPORTRANGE(""https://docs.google.com/spreadsheets/d/1ZLN5T8y7NSBIP1rvSj6TTUR_vTQbRwUKSt8zZJ_EfE4/edit?gid=461094331#gid=461094331"",""SCHEDULE_SDT_JAN26""),41,0)"),0)</f>
        <v>0</v>
      </c>
      <c r="AC73" s="61">
        <f ca="1">IFERROR(__xludf.DUMMYFUNCTION("VLOOKUP(C73,IMPORTRANGE(""https://docs.google.com/spreadsheets/d/1ZLN5T8y7NSBIP1rvSj6TTUR_vTQbRwUKSt8zZJ_EfE4/edit?gid=461094331#gid=461094331"",""SCHEDULE_SDT_JAN26""),42,0)"),0)</f>
        <v>0</v>
      </c>
      <c r="AD73" s="61">
        <f ca="1">IFERROR(__xludf.DUMMYFUNCTION("VLOOKUP(C73,IMPORTRANGE(""https://docs.google.com/spreadsheets/d/1ZLN5T8y7NSBIP1rvSj6TTUR_vTQbRwUKSt8zZJ_EfE4/edit?gid=461094331#gid=461094331"",""SCHEDULE_SDT_JAN26""),43,0)"),0)</f>
        <v>0</v>
      </c>
      <c r="AE73" s="69">
        <f t="shared" ca="1" si="8"/>
        <v>250000</v>
      </c>
      <c r="AF73" s="20">
        <v>468468</v>
      </c>
      <c r="AG73" s="19">
        <v>253500</v>
      </c>
      <c r="AH73" s="302">
        <v>0</v>
      </c>
      <c r="AI73" s="302">
        <v>0</v>
      </c>
      <c r="AJ73" s="302">
        <v>0</v>
      </c>
      <c r="AK73" s="302">
        <f t="shared" si="9"/>
        <v>0</v>
      </c>
      <c r="AL73" s="302">
        <v>0</v>
      </c>
      <c r="AM73" s="302">
        <f t="shared" ca="1" si="10"/>
        <v>971968</v>
      </c>
      <c r="AN73" s="302">
        <f t="shared" ca="1" si="11"/>
        <v>5628076</v>
      </c>
      <c r="AO73" s="302">
        <f t="shared" ca="1" si="12"/>
        <v>63400.123703999998</v>
      </c>
      <c r="AP73" s="302">
        <f t="shared" ca="1" si="13"/>
        <v>5564675.8762959996</v>
      </c>
      <c r="AQ73" s="302">
        <f t="shared" ca="1" si="14"/>
        <v>5564675.8762959996</v>
      </c>
      <c r="AR73" s="302">
        <f t="shared" ca="1" si="15"/>
        <v>5564700</v>
      </c>
      <c r="AS73" s="301"/>
      <c r="AT73" s="73" t="s">
        <v>9</v>
      </c>
      <c r="AU73" s="303" t="s">
        <v>10</v>
      </c>
      <c r="AV73" s="302">
        <f t="shared" si="34"/>
        <v>5729876</v>
      </c>
      <c r="AW73" s="302">
        <f t="shared" ca="1" si="35"/>
        <v>100000</v>
      </c>
      <c r="AX73" s="302">
        <f t="shared" ca="1" si="36"/>
        <v>250000</v>
      </c>
      <c r="AY73" s="302">
        <v>0</v>
      </c>
      <c r="AZ73" s="300">
        <f t="shared" si="37"/>
        <v>13751.702399999998</v>
      </c>
      <c r="BA73" s="302">
        <f t="shared" si="38"/>
        <v>17189.628000000001</v>
      </c>
      <c r="BB73" s="302">
        <f t="shared" si="39"/>
        <v>229195.04</v>
      </c>
      <c r="BC73" s="302">
        <f t="shared" ca="1" si="40"/>
        <v>6340012.3703999994</v>
      </c>
      <c r="BD73" s="304">
        <f ca="1">IF(AU73="C",VLOOKUP(BC73,TER!$J$4:$L$50,3,TRUE),IF(AU73="B",VLOOKUP(BC73,TER!$F$4:$H$50,3,TRUE),IF(AU73="A",VLOOKUP(BC73,TER!$B$4:$D$50,3,TRUE),"ERROR")))</f>
        <v>0.01</v>
      </c>
      <c r="BE73" s="302">
        <f t="shared" ca="1" si="41"/>
        <v>63400.123703999998</v>
      </c>
      <c r="BF73" s="251"/>
      <c r="BG73" s="251"/>
    </row>
    <row r="74" spans="1:59" ht="15.75" customHeight="1" outlineLevel="1">
      <c r="A74" s="251"/>
      <c r="B74" s="224">
        <v>65</v>
      </c>
      <c r="C74" s="62" t="s">
        <v>1308</v>
      </c>
      <c r="D74" s="291" t="s">
        <v>1309</v>
      </c>
      <c r="E74" s="261" t="s">
        <v>1132</v>
      </c>
      <c r="F74" s="265" t="s">
        <v>1310</v>
      </c>
      <c r="G74" s="296" t="s">
        <v>31</v>
      </c>
      <c r="H74" s="299" t="s">
        <v>32</v>
      </c>
      <c r="I74" s="69">
        <f t="shared" si="43"/>
        <v>5729876</v>
      </c>
      <c r="J74" s="300">
        <v>316368</v>
      </c>
      <c r="K74" s="300">
        <v>203800</v>
      </c>
      <c r="L74" s="300">
        <v>100000</v>
      </c>
      <c r="M74" s="302">
        <f t="shared" ca="1" si="44"/>
        <v>5000</v>
      </c>
      <c r="N74" s="125">
        <f ca="1">IFERROR(__xludf.DUMMYFUNCTION("VLOOKUP(C74,IMPORTRANGE(""https://docs.google.com/spreadsheets/d/1ZLN5T8y7NSBIP1rvSj6TTUR_vTQbRwUKSt8zZJ_EfE4/edit?gid=461094331#gid=461094331"",""SCHEDULE_SDT_JAN26""),35,0)"),21)</f>
        <v>21</v>
      </c>
      <c r="O74" s="125">
        <f ca="1">IFERROR(__xludf.DUMMYFUNCTION("VLOOKUP(C74,IMPORTRANGE(""https://docs.google.com/spreadsheets/d/1ZLN5T8y7NSBIP1rvSj6TTUR_vTQbRwUKSt8zZJ_EfE4/edit?gid=461094331#gid=461094331"",""SCHEDULE_SDT_JAN26""),34,0)"),21)</f>
        <v>21</v>
      </c>
      <c r="P74" s="61">
        <f t="shared" ca="1" si="2"/>
        <v>105000</v>
      </c>
      <c r="Q74" s="301"/>
      <c r="R74" s="302">
        <f t="shared" si="3"/>
        <v>6350044</v>
      </c>
      <c r="S74" s="302">
        <f t="shared" si="4"/>
        <v>6350044</v>
      </c>
      <c r="T74" s="303">
        <f t="shared" si="5"/>
        <v>0</v>
      </c>
      <c r="U74" s="300">
        <v>250000</v>
      </c>
      <c r="V74" s="61">
        <f ca="1">IFERROR(__xludf.DUMMYFUNCTION("VLOOKUP(C74,IMPORTRANGE(""https://docs.google.com/spreadsheets/d/1ZLN5T8y7NSBIP1rvSj6TTUR_vTQbRwUKSt8zZJ_EfE4/edit?gid=461094331#gid=461094331"",""SCHEDULE_SDT_JAN26""),36,0)"),1)</f>
        <v>1</v>
      </c>
      <c r="W74" s="69">
        <f t="shared" ca="1" si="6"/>
        <v>250000</v>
      </c>
      <c r="X74" s="302">
        <v>0</v>
      </c>
      <c r="Y74" s="302">
        <f t="shared" ca="1" si="7"/>
        <v>6605044</v>
      </c>
      <c r="Z74" s="61">
        <f ca="1">IFERROR(__xludf.DUMMYFUNCTION("VLOOKUP(C74,IMPORTRANGE(""https://docs.google.com/spreadsheets/d/1ZLN5T8y7NSBIP1rvSj6TTUR_vTQbRwUKSt8zZJ_EfE4/edit?gid=461094331#gid=461094331"",""SCHEDULE_SDT_JAN26""),38,0)+VLOOKUP(C74,IMPORTRANGE(""https://docs.google.com/spreadsheets/d/1ZLN5T8y7NSBIP1"&amp;"rvSj6TTUR_vTQbRwUKSt8zZJ_EfE4/edit?gid=461094331#gid=461094331"",""SCHEDULE_SDT_JAN26""),39,0)"),0)</f>
        <v>0</v>
      </c>
      <c r="AA74" s="61">
        <f ca="1">IFERROR(__xludf.DUMMYFUNCTION("VLOOKUP(C74,IMPORTRANGE(""https://docs.google.com/spreadsheets/d/1ZLN5T8y7NSBIP1rvSj6TTUR_vTQbRwUKSt8zZJ_EfE4/edit?gid=461094331#gid=461094331"",""SCHEDULE_SDT_JAN26""),40,0)"),0)</f>
        <v>0</v>
      </c>
      <c r="AB74" s="61">
        <f ca="1">IFERROR(__xludf.DUMMYFUNCTION("VLOOKUP(C74,IMPORTRANGE(""https://docs.google.com/spreadsheets/d/1ZLN5T8y7NSBIP1rvSj6TTUR_vTQbRwUKSt8zZJ_EfE4/edit?gid=461094331#gid=461094331"",""SCHEDULE_SDT_JAN26""),41,0)"),0)</f>
        <v>0</v>
      </c>
      <c r="AC74" s="61">
        <f ca="1">IFERROR(__xludf.DUMMYFUNCTION("VLOOKUP(C74,IMPORTRANGE(""https://docs.google.com/spreadsheets/d/1ZLN5T8y7NSBIP1rvSj6TTUR_vTQbRwUKSt8zZJ_EfE4/edit?gid=461094331#gid=461094331"",""SCHEDULE_SDT_JAN26""),42,0)"),0)</f>
        <v>0</v>
      </c>
      <c r="AD74" s="61">
        <f ca="1">IFERROR(__xludf.DUMMYFUNCTION("VLOOKUP(C74,IMPORTRANGE(""https://docs.google.com/spreadsheets/d/1ZLN5T8y7NSBIP1rvSj6TTUR_vTQbRwUKSt8zZJ_EfE4/edit?gid=461094331#gid=461094331"",""SCHEDULE_SDT_JAN26""),43,0)"),0)</f>
        <v>0</v>
      </c>
      <c r="AE74" s="69">
        <f t="shared" ca="1" si="8"/>
        <v>0</v>
      </c>
      <c r="AF74" s="20">
        <v>468468</v>
      </c>
      <c r="AG74" s="19">
        <v>253500</v>
      </c>
      <c r="AH74" s="302">
        <v>0</v>
      </c>
      <c r="AI74" s="302">
        <v>0</v>
      </c>
      <c r="AJ74" s="302">
        <v>0</v>
      </c>
      <c r="AK74" s="302">
        <f t="shared" si="9"/>
        <v>0</v>
      </c>
      <c r="AL74" s="302">
        <v>0</v>
      </c>
      <c r="AM74" s="302">
        <f t="shared" ca="1" si="10"/>
        <v>721968</v>
      </c>
      <c r="AN74" s="302">
        <f t="shared" ca="1" si="11"/>
        <v>5883076</v>
      </c>
      <c r="AO74" s="302">
        <f t="shared" ca="1" si="12"/>
        <v>63450.123703999998</v>
      </c>
      <c r="AP74" s="302">
        <f t="shared" ca="1" si="13"/>
        <v>5819625.8762959996</v>
      </c>
      <c r="AQ74" s="302">
        <f t="shared" ca="1" si="14"/>
        <v>5819625.8762959996</v>
      </c>
      <c r="AR74" s="302">
        <f t="shared" ca="1" si="15"/>
        <v>5819600</v>
      </c>
      <c r="AS74" s="301"/>
      <c r="AT74" s="73" t="s">
        <v>9</v>
      </c>
      <c r="AU74" s="303" t="s">
        <v>10</v>
      </c>
      <c r="AV74" s="302">
        <f t="shared" si="34"/>
        <v>5729876</v>
      </c>
      <c r="AW74" s="302">
        <f t="shared" ca="1" si="35"/>
        <v>105000</v>
      </c>
      <c r="AX74" s="302">
        <f t="shared" ca="1" si="36"/>
        <v>250000</v>
      </c>
      <c r="AY74" s="302">
        <v>0</v>
      </c>
      <c r="AZ74" s="300">
        <f t="shared" si="37"/>
        <v>13751.702399999998</v>
      </c>
      <c r="BA74" s="302">
        <f t="shared" si="38"/>
        <v>17189.628000000001</v>
      </c>
      <c r="BB74" s="302">
        <f t="shared" si="39"/>
        <v>229195.04</v>
      </c>
      <c r="BC74" s="302">
        <f t="shared" ca="1" si="40"/>
        <v>6345012.3703999994</v>
      </c>
      <c r="BD74" s="304">
        <f ca="1">IF(AU74="C",VLOOKUP(BC74,TER!$J$4:$L$50,3,TRUE),IF(AU74="B",VLOOKUP(BC74,TER!$F$4:$H$50,3,TRUE),IF(AU74="A",VLOOKUP(BC74,TER!$B$4:$D$50,3,TRUE),"ERROR")))</f>
        <v>0.01</v>
      </c>
      <c r="BE74" s="302">
        <f t="shared" ca="1" si="41"/>
        <v>63450.123703999998</v>
      </c>
      <c r="BF74" s="251"/>
      <c r="BG74" s="251"/>
    </row>
    <row r="75" spans="1:59" ht="15.75" customHeight="1" outlineLevel="1">
      <c r="A75" s="251"/>
      <c r="B75" s="224">
        <v>66</v>
      </c>
      <c r="C75" s="49" t="s">
        <v>1311</v>
      </c>
      <c r="D75" s="291" t="s">
        <v>1312</v>
      </c>
      <c r="E75" s="298" t="s">
        <v>57</v>
      </c>
      <c r="F75" s="265" t="s">
        <v>1313</v>
      </c>
      <c r="G75" s="296" t="s">
        <v>31</v>
      </c>
      <c r="H75" s="299" t="s">
        <v>32</v>
      </c>
      <c r="I75" s="69">
        <f t="shared" si="43"/>
        <v>5729876</v>
      </c>
      <c r="J75" s="300">
        <v>316368</v>
      </c>
      <c r="K75" s="300">
        <v>203800</v>
      </c>
      <c r="L75" s="300">
        <v>200000</v>
      </c>
      <c r="M75" s="302">
        <f t="shared" ca="1" si="44"/>
        <v>10000</v>
      </c>
      <c r="N75" s="125">
        <f ca="1">IFERROR(__xludf.DUMMYFUNCTION("VLOOKUP(C75,IMPORTRANGE(""https://docs.google.com/spreadsheets/d/1ZLN5T8y7NSBIP1rvSj6TTUR_vTQbRwUKSt8zZJ_EfE4/edit?gid=461094331#gid=461094331"",""SCHEDULE_SDT_JAN26""),35,0)"),18)</f>
        <v>18</v>
      </c>
      <c r="O75" s="125">
        <f ca="1">IFERROR(__xludf.DUMMYFUNCTION("VLOOKUP(C75,IMPORTRANGE(""https://docs.google.com/spreadsheets/d/1ZLN5T8y7NSBIP1rvSj6TTUR_vTQbRwUKSt8zZJ_EfE4/edit?gid=461094331#gid=461094331"",""SCHEDULE_SDT_JAN26""),34,0)"),20)</f>
        <v>20</v>
      </c>
      <c r="P75" s="61">
        <f t="shared" ca="1" si="2"/>
        <v>180000</v>
      </c>
      <c r="Q75" s="301"/>
      <c r="R75" s="302">
        <f t="shared" si="3"/>
        <v>6450044</v>
      </c>
      <c r="S75" s="302">
        <f t="shared" si="4"/>
        <v>6450044</v>
      </c>
      <c r="T75" s="303">
        <f t="shared" si="5"/>
        <v>0</v>
      </c>
      <c r="U75" s="300">
        <v>250000</v>
      </c>
      <c r="V75" s="61">
        <f ca="1">IFERROR(__xludf.DUMMYFUNCTION("VLOOKUP(C75,IMPORTRANGE(""https://docs.google.com/spreadsheets/d/1ZLN5T8y7NSBIP1rvSj6TTUR_vTQbRwUKSt8zZJ_EfE4/edit?gid=461094331#gid=461094331"",""SCHEDULE_SDT_JAN26""),36,0)"),1)</f>
        <v>1</v>
      </c>
      <c r="W75" s="69">
        <f t="shared" ca="1" si="6"/>
        <v>250000</v>
      </c>
      <c r="X75" s="302">
        <v>0</v>
      </c>
      <c r="Y75" s="302">
        <f t="shared" ca="1" si="7"/>
        <v>6680044</v>
      </c>
      <c r="Z75" s="61">
        <f ca="1">IFERROR(__xludf.DUMMYFUNCTION("VLOOKUP(C75,IMPORTRANGE(""https://docs.google.com/spreadsheets/d/1ZLN5T8y7NSBIP1rvSj6TTUR_vTQbRwUKSt8zZJ_EfE4/edit?gid=461094331#gid=461094331"",""SCHEDULE_SDT_JAN26""),38,0)+VLOOKUP(C75,IMPORTRANGE(""https://docs.google.com/spreadsheets/d/1ZLN5T8y7NSBIP1"&amp;"rvSj6TTUR_vTQbRwUKSt8zZJ_EfE4/edit?gid=461094331#gid=461094331"",""SCHEDULE_SDT_JAN26""),39,0)"),0)</f>
        <v>0</v>
      </c>
      <c r="AA75" s="61">
        <f ca="1">IFERROR(__xludf.DUMMYFUNCTION("VLOOKUP(C75,IMPORTRANGE(""https://docs.google.com/spreadsheets/d/1ZLN5T8y7NSBIP1rvSj6TTUR_vTQbRwUKSt8zZJ_EfE4/edit?gid=461094331#gid=461094331"",""SCHEDULE_SDT_JAN26""),40,0)"),2)</f>
        <v>2</v>
      </c>
      <c r="AB75" s="61">
        <f ca="1">IFERROR(__xludf.DUMMYFUNCTION("VLOOKUP(C75,IMPORTRANGE(""https://docs.google.com/spreadsheets/d/1ZLN5T8y7NSBIP1rvSj6TTUR_vTQbRwUKSt8zZJ_EfE4/edit?gid=461094331#gid=461094331"",""SCHEDULE_SDT_JAN26""),41,0)"),0)</f>
        <v>0</v>
      </c>
      <c r="AC75" s="61">
        <f ca="1">IFERROR(__xludf.DUMMYFUNCTION("VLOOKUP(C75,IMPORTRANGE(""https://docs.google.com/spreadsheets/d/1ZLN5T8y7NSBIP1rvSj6TTUR_vTQbRwUKSt8zZJ_EfE4/edit?gid=461094331#gid=461094331"",""SCHEDULE_SDT_JAN26""),42,0)"),0)</f>
        <v>0</v>
      </c>
      <c r="AD75" s="61">
        <f ca="1">IFERROR(__xludf.DUMMYFUNCTION("VLOOKUP(C75,IMPORTRANGE(""https://docs.google.com/spreadsheets/d/1ZLN5T8y7NSBIP1rvSj6TTUR_vTQbRwUKSt8zZJ_EfE4/edit?gid=461094331#gid=461094331"",""SCHEDULE_SDT_JAN26""),43,0)"),0)</f>
        <v>0</v>
      </c>
      <c r="AE75" s="69">
        <f t="shared" ca="1" si="8"/>
        <v>500000</v>
      </c>
      <c r="AF75" s="20">
        <v>468468</v>
      </c>
      <c r="AG75" s="19">
        <v>253500</v>
      </c>
      <c r="AH75" s="302">
        <v>0</v>
      </c>
      <c r="AI75" s="302">
        <v>0</v>
      </c>
      <c r="AJ75" s="302">
        <v>0</v>
      </c>
      <c r="AK75" s="302">
        <f t="shared" si="9"/>
        <v>0</v>
      </c>
      <c r="AL75" s="302">
        <v>0</v>
      </c>
      <c r="AM75" s="302">
        <f t="shared" ca="1" si="10"/>
        <v>1221968</v>
      </c>
      <c r="AN75" s="302">
        <f t="shared" ca="1" si="11"/>
        <v>5458076</v>
      </c>
      <c r="AO75" s="302">
        <f t="shared" ca="1" si="12"/>
        <v>64200.123703999998</v>
      </c>
      <c r="AP75" s="302">
        <f t="shared" ca="1" si="13"/>
        <v>5393875.8762959996</v>
      </c>
      <c r="AQ75" s="302">
        <f t="shared" ca="1" si="14"/>
        <v>5393875.8762959996</v>
      </c>
      <c r="AR75" s="302">
        <f t="shared" ca="1" si="15"/>
        <v>5393900</v>
      </c>
      <c r="AS75" s="301"/>
      <c r="AT75" s="73" t="s">
        <v>9</v>
      </c>
      <c r="AU75" s="303" t="s">
        <v>10</v>
      </c>
      <c r="AV75" s="302">
        <f t="shared" si="34"/>
        <v>5729876</v>
      </c>
      <c r="AW75" s="302">
        <f t="shared" ca="1" si="35"/>
        <v>180000</v>
      </c>
      <c r="AX75" s="302">
        <f t="shared" ca="1" si="36"/>
        <v>250000</v>
      </c>
      <c r="AY75" s="302">
        <v>0</v>
      </c>
      <c r="AZ75" s="300">
        <f t="shared" si="37"/>
        <v>13751.702399999998</v>
      </c>
      <c r="BA75" s="302">
        <f t="shared" si="38"/>
        <v>17189.628000000001</v>
      </c>
      <c r="BB75" s="302">
        <f t="shared" si="39"/>
        <v>229195.04</v>
      </c>
      <c r="BC75" s="302">
        <f t="shared" ca="1" si="40"/>
        <v>6420012.3703999994</v>
      </c>
      <c r="BD75" s="304">
        <f ca="1">IF(AU75="C",VLOOKUP(BC75,TER!$J$4:$L$50,3,TRUE),IF(AU75="B",VLOOKUP(BC75,TER!$F$4:$H$50,3,TRUE),IF(AU75="A",VLOOKUP(BC75,TER!$B$4:$D$50,3,TRUE),"ERROR")))</f>
        <v>0.01</v>
      </c>
      <c r="BE75" s="302">
        <f t="shared" ca="1" si="41"/>
        <v>64200.123703999998</v>
      </c>
      <c r="BF75" s="251"/>
      <c r="BG75" s="251"/>
    </row>
    <row r="76" spans="1:59" ht="15.75" customHeight="1" outlineLevel="1">
      <c r="A76" s="251"/>
      <c r="B76" s="224">
        <v>67</v>
      </c>
      <c r="C76" s="50" t="s">
        <v>1319</v>
      </c>
      <c r="D76" s="364" t="s">
        <v>1320</v>
      </c>
      <c r="E76" s="298" t="s">
        <v>57</v>
      </c>
      <c r="F76" s="365"/>
      <c r="G76" s="296" t="s">
        <v>31</v>
      </c>
      <c r="H76" s="299" t="s">
        <v>32</v>
      </c>
      <c r="I76" s="69">
        <f t="shared" si="43"/>
        <v>5729876</v>
      </c>
      <c r="J76" s="300">
        <v>316368</v>
      </c>
      <c r="K76" s="300">
        <v>203800</v>
      </c>
      <c r="L76" s="300">
        <v>200000</v>
      </c>
      <c r="M76" s="302">
        <f t="shared" ca="1" si="44"/>
        <v>10000</v>
      </c>
      <c r="N76" s="125">
        <f ca="1">IFERROR(__xludf.DUMMYFUNCTION("VLOOKUP(C76,IMPORTRANGE(""https://docs.google.com/spreadsheets/d/1ZLN5T8y7NSBIP1rvSj6TTUR_vTQbRwUKSt8zZJ_EfE4/edit?gid=461094331#gid=461094331"",""SCHEDULE_SDT_JAN26""),35,0)"),19)</f>
        <v>19</v>
      </c>
      <c r="O76" s="125">
        <f ca="1">IFERROR(__xludf.DUMMYFUNCTION("VLOOKUP(C76,IMPORTRANGE(""https://docs.google.com/spreadsheets/d/1ZLN5T8y7NSBIP1rvSj6TTUR_vTQbRwUKSt8zZJ_EfE4/edit?gid=461094331#gid=461094331"",""SCHEDULE_SDT_JAN26""),34,0)"),20)</f>
        <v>20</v>
      </c>
      <c r="P76" s="61">
        <f t="shared" ca="1" si="2"/>
        <v>190000</v>
      </c>
      <c r="Q76" s="301"/>
      <c r="R76" s="302">
        <f t="shared" si="3"/>
        <v>6450044</v>
      </c>
      <c r="S76" s="302">
        <f t="shared" si="4"/>
        <v>6450044</v>
      </c>
      <c r="T76" s="303">
        <f t="shared" si="5"/>
        <v>0</v>
      </c>
      <c r="U76" s="300">
        <v>250000</v>
      </c>
      <c r="V76" s="61">
        <f ca="1">IFERROR(__xludf.DUMMYFUNCTION("VLOOKUP(C76,IMPORTRANGE(""https://docs.google.com/spreadsheets/d/1ZLN5T8y7NSBIP1rvSj6TTUR_vTQbRwUKSt8zZJ_EfE4/edit?gid=461094331#gid=461094331"",""SCHEDULE_SDT_JAN26""),36,0)"),1)</f>
        <v>1</v>
      </c>
      <c r="W76" s="69">
        <f t="shared" ca="1" si="6"/>
        <v>250000</v>
      </c>
      <c r="X76" s="302">
        <v>0</v>
      </c>
      <c r="Y76" s="302">
        <f t="shared" ca="1" si="7"/>
        <v>6690044</v>
      </c>
      <c r="Z76" s="61">
        <f ca="1">IFERROR(__xludf.DUMMYFUNCTION("VLOOKUP(C76,IMPORTRANGE(""https://docs.google.com/spreadsheets/d/1ZLN5T8y7NSBIP1rvSj6TTUR_vTQbRwUKSt8zZJ_EfE4/edit?gid=461094331#gid=461094331"",""SCHEDULE_SDT_JAN26""),38,0)+VLOOKUP(C76,IMPORTRANGE(""https://docs.google.com/spreadsheets/d/1ZLN5T8y7NSBIP1"&amp;"rvSj6TTUR_vTQbRwUKSt8zZJ_EfE4/edit?gid=461094331#gid=461094331"",""SCHEDULE_SDT_JAN26""),39,0)"),1)</f>
        <v>1</v>
      </c>
      <c r="AA76" s="61">
        <f ca="1">IFERROR(__xludf.DUMMYFUNCTION("VLOOKUP(C76,IMPORTRANGE(""https://docs.google.com/spreadsheets/d/1ZLN5T8y7NSBIP1rvSj6TTUR_vTQbRwUKSt8zZJ_EfE4/edit?gid=461094331#gid=461094331"",""SCHEDULE_SDT_JAN26""),40,0)"),0)</f>
        <v>0</v>
      </c>
      <c r="AB76" s="61">
        <f ca="1">IFERROR(__xludf.DUMMYFUNCTION("VLOOKUP(C76,IMPORTRANGE(""https://docs.google.com/spreadsheets/d/1ZLN5T8y7NSBIP1rvSj6TTUR_vTQbRwUKSt8zZJ_EfE4/edit?gid=461094331#gid=461094331"",""SCHEDULE_SDT_JAN26""),41,0)"),0)</f>
        <v>0</v>
      </c>
      <c r="AC76" s="61">
        <f ca="1">IFERROR(__xludf.DUMMYFUNCTION("VLOOKUP(C76,IMPORTRANGE(""https://docs.google.com/spreadsheets/d/1ZLN5T8y7NSBIP1rvSj6TTUR_vTQbRwUKSt8zZJ_EfE4/edit?gid=461094331#gid=461094331"",""SCHEDULE_SDT_JAN26""),42,0)"),0)</f>
        <v>0</v>
      </c>
      <c r="AD76" s="61">
        <f ca="1">IFERROR(__xludf.DUMMYFUNCTION("VLOOKUP(C76,IMPORTRANGE(""https://docs.google.com/spreadsheets/d/1ZLN5T8y7NSBIP1rvSj6TTUR_vTQbRwUKSt8zZJ_EfE4/edit?gid=461094331#gid=461094331"",""SCHEDULE_SDT_JAN26""),43,0)"),0)</f>
        <v>0</v>
      </c>
      <c r="AE76" s="69">
        <f t="shared" ca="1" si="8"/>
        <v>250000</v>
      </c>
      <c r="AF76" s="20">
        <v>468468</v>
      </c>
      <c r="AG76" s="19">
        <v>253500</v>
      </c>
      <c r="AH76" s="302">
        <v>0</v>
      </c>
      <c r="AI76" s="302">
        <v>0</v>
      </c>
      <c r="AJ76" s="302">
        <v>0</v>
      </c>
      <c r="AK76" s="302">
        <f t="shared" si="9"/>
        <v>0</v>
      </c>
      <c r="AL76" s="302">
        <v>0</v>
      </c>
      <c r="AM76" s="302">
        <f t="shared" ca="1" si="10"/>
        <v>971968</v>
      </c>
      <c r="AN76" s="302">
        <f t="shared" ca="1" si="11"/>
        <v>5718076</v>
      </c>
      <c r="AO76" s="302">
        <f t="shared" ca="1" si="12"/>
        <v>64300.123703999998</v>
      </c>
      <c r="AP76" s="302">
        <f t="shared" ca="1" si="13"/>
        <v>5653775.8762959996</v>
      </c>
      <c r="AQ76" s="302">
        <f t="shared" ca="1" si="14"/>
        <v>5653775.8762959996</v>
      </c>
      <c r="AR76" s="302">
        <f t="shared" ca="1" si="15"/>
        <v>5653800</v>
      </c>
      <c r="AS76" s="301"/>
      <c r="AT76" s="73" t="s">
        <v>9</v>
      </c>
      <c r="AU76" s="303" t="s">
        <v>10</v>
      </c>
      <c r="AV76" s="302">
        <f t="shared" si="34"/>
        <v>5729876</v>
      </c>
      <c r="AW76" s="302">
        <f t="shared" ca="1" si="35"/>
        <v>190000</v>
      </c>
      <c r="AX76" s="302">
        <f t="shared" ca="1" si="36"/>
        <v>250000</v>
      </c>
      <c r="AY76" s="302">
        <v>0</v>
      </c>
      <c r="AZ76" s="300">
        <f t="shared" si="37"/>
        <v>13751.702399999998</v>
      </c>
      <c r="BA76" s="302">
        <f t="shared" si="38"/>
        <v>17189.628000000001</v>
      </c>
      <c r="BB76" s="302">
        <f t="shared" si="39"/>
        <v>229195.04</v>
      </c>
      <c r="BC76" s="302">
        <f t="shared" ca="1" si="40"/>
        <v>6430012.3703999994</v>
      </c>
      <c r="BD76" s="304">
        <f ca="1">IF(AU76="C",VLOOKUP(BC76,TER!$J$4:$L$50,3,TRUE),IF(AU76="B",VLOOKUP(BC76,TER!$F$4:$H$50,3,TRUE),IF(AU76="A",VLOOKUP(BC76,TER!$B$4:$D$50,3,TRUE),"ERROR")))</f>
        <v>0.01</v>
      </c>
      <c r="BE76" s="302">
        <f t="shared" ca="1" si="41"/>
        <v>64300.123703999998</v>
      </c>
      <c r="BF76" s="251"/>
      <c r="BG76" s="251"/>
    </row>
    <row r="77" spans="1:59" ht="15.75" customHeight="1" outlineLevel="1">
      <c r="A77" s="251"/>
      <c r="B77" s="224">
        <v>68</v>
      </c>
      <c r="C77" s="52" t="s">
        <v>1324</v>
      </c>
      <c r="D77" s="57" t="s">
        <v>1325</v>
      </c>
      <c r="E77" s="298" t="s">
        <v>57</v>
      </c>
      <c r="F77" s="305" t="s">
        <v>1326</v>
      </c>
      <c r="G77" s="296" t="s">
        <v>31</v>
      </c>
      <c r="H77" s="299" t="s">
        <v>32</v>
      </c>
      <c r="I77" s="69">
        <f t="shared" si="43"/>
        <v>5729876</v>
      </c>
      <c r="J77" s="300">
        <v>316368</v>
      </c>
      <c r="K77" s="300">
        <v>203800</v>
      </c>
      <c r="L77" s="300">
        <v>200000</v>
      </c>
      <c r="M77" s="302">
        <f t="shared" ca="1" si="44"/>
        <v>10000</v>
      </c>
      <c r="N77" s="125">
        <f ca="1">IFERROR(__xludf.DUMMYFUNCTION("VLOOKUP(C77,IMPORTRANGE(""https://docs.google.com/spreadsheets/d/1ZLN5T8y7NSBIP1rvSj6TTUR_vTQbRwUKSt8zZJ_EfE4/edit?gid=461094331#gid=461094331"",""SCHEDULE_SDT_JAN26""),35,0)"),21)</f>
        <v>21</v>
      </c>
      <c r="O77" s="125">
        <f ca="1">IFERROR(__xludf.DUMMYFUNCTION("VLOOKUP(C77,IMPORTRANGE(""https://docs.google.com/spreadsheets/d/1ZLN5T8y7NSBIP1rvSj6TTUR_vTQbRwUKSt8zZJ_EfE4/edit?gid=461094331#gid=461094331"",""SCHEDULE_SDT_JAN26""),34,0)"),21)</f>
        <v>21</v>
      </c>
      <c r="P77" s="61">
        <f t="shared" ca="1" si="2"/>
        <v>210000</v>
      </c>
      <c r="Q77" s="301"/>
      <c r="R77" s="302">
        <f t="shared" si="3"/>
        <v>6450044</v>
      </c>
      <c r="S77" s="302">
        <f t="shared" si="4"/>
        <v>6450044</v>
      </c>
      <c r="T77" s="303">
        <f t="shared" si="5"/>
        <v>0</v>
      </c>
      <c r="U77" s="300">
        <v>250000</v>
      </c>
      <c r="V77" s="61">
        <f ca="1">IFERROR(__xludf.DUMMYFUNCTION("VLOOKUP(C77,IMPORTRANGE(""https://docs.google.com/spreadsheets/d/1ZLN5T8y7NSBIP1rvSj6TTUR_vTQbRwUKSt8zZJ_EfE4/edit?gid=461094331#gid=461094331"",""SCHEDULE_SDT_JAN26""),36,0)"),0)</f>
        <v>0</v>
      </c>
      <c r="W77" s="69">
        <f t="shared" ca="1" si="6"/>
        <v>0</v>
      </c>
      <c r="X77" s="302">
        <v>0</v>
      </c>
      <c r="Y77" s="302">
        <f t="shared" ca="1" si="7"/>
        <v>6460044</v>
      </c>
      <c r="Z77" s="61">
        <f ca="1">IFERROR(__xludf.DUMMYFUNCTION("VLOOKUP(C77,IMPORTRANGE(""https://docs.google.com/spreadsheets/d/1ZLN5T8y7NSBIP1rvSj6TTUR_vTQbRwUKSt8zZJ_EfE4/edit?gid=461094331#gid=461094331"",""SCHEDULE_SDT_JAN26""),38,0)+VLOOKUP(C77,IMPORTRANGE(""https://docs.google.com/spreadsheets/d/1ZLN5T8y7NSBIP1"&amp;"rvSj6TTUR_vTQbRwUKSt8zZJ_EfE4/edit?gid=461094331#gid=461094331"",""SCHEDULE_SDT_JAN26""),39,0)"),0)</f>
        <v>0</v>
      </c>
      <c r="AA77" s="61">
        <f ca="1">IFERROR(__xludf.DUMMYFUNCTION("VLOOKUP(C77,IMPORTRANGE(""https://docs.google.com/spreadsheets/d/1ZLN5T8y7NSBIP1rvSj6TTUR_vTQbRwUKSt8zZJ_EfE4/edit?gid=461094331#gid=461094331"",""SCHEDULE_SDT_JAN26""),40,0)"),0)</f>
        <v>0</v>
      </c>
      <c r="AB77" s="61">
        <f ca="1">IFERROR(__xludf.DUMMYFUNCTION("VLOOKUP(C77,IMPORTRANGE(""https://docs.google.com/spreadsheets/d/1ZLN5T8y7NSBIP1rvSj6TTUR_vTQbRwUKSt8zZJ_EfE4/edit?gid=461094331#gid=461094331"",""SCHEDULE_SDT_JAN26""),41,0)"),0)</f>
        <v>0</v>
      </c>
      <c r="AC77" s="61">
        <f ca="1">IFERROR(__xludf.DUMMYFUNCTION("VLOOKUP(C77,IMPORTRANGE(""https://docs.google.com/spreadsheets/d/1ZLN5T8y7NSBIP1rvSj6TTUR_vTQbRwUKSt8zZJ_EfE4/edit?gid=461094331#gid=461094331"",""SCHEDULE_SDT_JAN26""),42,0)"),0)</f>
        <v>0</v>
      </c>
      <c r="AD77" s="61">
        <f ca="1">IFERROR(__xludf.DUMMYFUNCTION("VLOOKUP(C77,IMPORTRANGE(""https://docs.google.com/spreadsheets/d/1ZLN5T8y7NSBIP1rvSj6TTUR_vTQbRwUKSt8zZJ_EfE4/edit?gid=461094331#gid=461094331"",""SCHEDULE_SDT_JAN26""),43,0)"),0)</f>
        <v>0</v>
      </c>
      <c r="AE77" s="69">
        <f t="shared" ca="1" si="8"/>
        <v>0</v>
      </c>
      <c r="AF77" s="20">
        <v>468468</v>
      </c>
      <c r="AG77" s="19">
        <v>253500</v>
      </c>
      <c r="AH77" s="302">
        <v>0</v>
      </c>
      <c r="AI77" s="302">
        <v>0</v>
      </c>
      <c r="AJ77" s="302">
        <v>0</v>
      </c>
      <c r="AK77" s="302">
        <f t="shared" si="9"/>
        <v>0</v>
      </c>
      <c r="AL77" s="302">
        <v>0</v>
      </c>
      <c r="AM77" s="302">
        <f t="shared" ca="1" si="10"/>
        <v>721968</v>
      </c>
      <c r="AN77" s="302">
        <f t="shared" ca="1" si="11"/>
        <v>5738076</v>
      </c>
      <c r="AO77" s="302">
        <f t="shared" ca="1" si="12"/>
        <v>46500.092777999991</v>
      </c>
      <c r="AP77" s="302">
        <f t="shared" ca="1" si="13"/>
        <v>5691575.907222</v>
      </c>
      <c r="AQ77" s="302">
        <f t="shared" ca="1" si="14"/>
        <v>5691575.907222</v>
      </c>
      <c r="AR77" s="302">
        <f t="shared" ca="1" si="15"/>
        <v>5691600</v>
      </c>
      <c r="AS77" s="301"/>
      <c r="AT77" s="73" t="s">
        <v>9</v>
      </c>
      <c r="AU77" s="303" t="s">
        <v>10</v>
      </c>
      <c r="AV77" s="302">
        <f t="shared" si="34"/>
        <v>5729876</v>
      </c>
      <c r="AW77" s="302">
        <f t="shared" ca="1" si="35"/>
        <v>210000</v>
      </c>
      <c r="AX77" s="302">
        <f t="shared" ca="1" si="36"/>
        <v>0</v>
      </c>
      <c r="AY77" s="302">
        <v>0</v>
      </c>
      <c r="AZ77" s="300">
        <f t="shared" si="37"/>
        <v>13751.702399999998</v>
      </c>
      <c r="BA77" s="302">
        <f t="shared" si="38"/>
        <v>17189.628000000001</v>
      </c>
      <c r="BB77" s="302">
        <f t="shared" si="39"/>
        <v>229195.04</v>
      </c>
      <c r="BC77" s="302">
        <f t="shared" ca="1" si="40"/>
        <v>6200012.3703999994</v>
      </c>
      <c r="BD77" s="304">
        <f ca="1">IF(AU77="C",VLOOKUP(BC77,TER!$J$4:$L$50,3,TRUE),IF(AU77="B",VLOOKUP(BC77,TER!$F$4:$H$50,3,TRUE),IF(AU77="A",VLOOKUP(BC77,TER!$B$4:$D$50,3,TRUE),"ERROR")))</f>
        <v>7.4999999999999997E-3</v>
      </c>
      <c r="BE77" s="302">
        <f t="shared" ca="1" si="41"/>
        <v>46500.092777999991</v>
      </c>
      <c r="BF77" s="251"/>
      <c r="BG77" s="251"/>
    </row>
    <row r="78" spans="1:59" ht="15.75" customHeight="1" outlineLevel="1">
      <c r="A78" s="251"/>
      <c r="B78" s="224">
        <v>69</v>
      </c>
      <c r="C78" s="58" t="s">
        <v>1327</v>
      </c>
      <c r="D78" s="57" t="s">
        <v>1328</v>
      </c>
      <c r="E78" s="261" t="s">
        <v>30</v>
      </c>
      <c r="F78" s="298">
        <v>7611278202</v>
      </c>
      <c r="G78" s="296" t="s">
        <v>31</v>
      </c>
      <c r="H78" s="299" t="s">
        <v>32</v>
      </c>
      <c r="I78" s="69">
        <f t="shared" si="43"/>
        <v>5729876</v>
      </c>
      <c r="J78" s="300">
        <v>316368</v>
      </c>
      <c r="K78" s="300">
        <v>203800</v>
      </c>
      <c r="L78" s="300">
        <v>200000</v>
      </c>
      <c r="M78" s="302">
        <f t="shared" ca="1" si="44"/>
        <v>10000</v>
      </c>
      <c r="N78" s="125">
        <f ca="1">IFERROR(__xludf.DUMMYFUNCTION("VLOOKUP(C78,IMPORTRANGE(""https://docs.google.com/spreadsheets/d/1ZLN5T8y7NSBIP1rvSj6TTUR_vTQbRwUKSt8zZJ_EfE4/edit?gid=461094331#gid=461094331"",""SCHEDULE_SDT_JAN26""),35,0)"),21)</f>
        <v>21</v>
      </c>
      <c r="O78" s="125">
        <f ca="1">IFERROR(__xludf.DUMMYFUNCTION("VLOOKUP(C78,IMPORTRANGE(""https://docs.google.com/spreadsheets/d/1ZLN5T8y7NSBIP1rvSj6TTUR_vTQbRwUKSt8zZJ_EfE4/edit?gid=461094331#gid=461094331"",""SCHEDULE_SDT_JAN26""),34,0)"),21)</f>
        <v>21</v>
      </c>
      <c r="P78" s="61">
        <f t="shared" ca="1" si="2"/>
        <v>210000</v>
      </c>
      <c r="Q78" s="301"/>
      <c r="R78" s="302">
        <f t="shared" si="3"/>
        <v>6450044</v>
      </c>
      <c r="S78" s="302">
        <f t="shared" si="4"/>
        <v>6450044</v>
      </c>
      <c r="T78" s="303">
        <f t="shared" si="5"/>
        <v>0</v>
      </c>
      <c r="U78" s="300">
        <v>250000</v>
      </c>
      <c r="V78" s="61">
        <f ca="1">IFERROR(__xludf.DUMMYFUNCTION("VLOOKUP(C78,IMPORTRANGE(""https://docs.google.com/spreadsheets/d/1ZLN5T8y7NSBIP1rvSj6TTUR_vTQbRwUKSt8zZJ_EfE4/edit?gid=461094331#gid=461094331"",""SCHEDULE_SDT_JAN26""),36,0)"),1)</f>
        <v>1</v>
      </c>
      <c r="W78" s="69">
        <f t="shared" ca="1" si="6"/>
        <v>250000</v>
      </c>
      <c r="X78" s="302">
        <v>0</v>
      </c>
      <c r="Y78" s="302">
        <f t="shared" ca="1" si="7"/>
        <v>6710044</v>
      </c>
      <c r="Z78" s="61">
        <f ca="1">IFERROR(__xludf.DUMMYFUNCTION("VLOOKUP(C78,IMPORTRANGE(""https://docs.google.com/spreadsheets/d/1ZLN5T8y7NSBIP1rvSj6TTUR_vTQbRwUKSt8zZJ_EfE4/edit?gid=461094331#gid=461094331"",""SCHEDULE_SDT_JAN26""),38,0)+VLOOKUP(C78,IMPORTRANGE(""https://docs.google.com/spreadsheets/d/1ZLN5T8y7NSBIP1"&amp;"rvSj6TTUR_vTQbRwUKSt8zZJ_EfE4/edit?gid=461094331#gid=461094331"",""SCHEDULE_SDT_JAN26""),39,0)"),0)</f>
        <v>0</v>
      </c>
      <c r="AA78" s="61">
        <f ca="1">IFERROR(__xludf.DUMMYFUNCTION("VLOOKUP(C78,IMPORTRANGE(""https://docs.google.com/spreadsheets/d/1ZLN5T8y7NSBIP1rvSj6TTUR_vTQbRwUKSt8zZJ_EfE4/edit?gid=461094331#gid=461094331"",""SCHEDULE_SDT_JAN26""),40,0)"),0)</f>
        <v>0</v>
      </c>
      <c r="AB78" s="61">
        <f ca="1">IFERROR(__xludf.DUMMYFUNCTION("VLOOKUP(C78,IMPORTRANGE(""https://docs.google.com/spreadsheets/d/1ZLN5T8y7NSBIP1rvSj6TTUR_vTQbRwUKSt8zZJ_EfE4/edit?gid=461094331#gid=461094331"",""SCHEDULE_SDT_JAN26""),41,0)"),0)</f>
        <v>0</v>
      </c>
      <c r="AC78" s="61">
        <f ca="1">IFERROR(__xludf.DUMMYFUNCTION("VLOOKUP(C78,IMPORTRANGE(""https://docs.google.com/spreadsheets/d/1ZLN5T8y7NSBIP1rvSj6TTUR_vTQbRwUKSt8zZJ_EfE4/edit?gid=461094331#gid=461094331"",""SCHEDULE_SDT_JAN26""),42,0)"),0)</f>
        <v>0</v>
      </c>
      <c r="AD78" s="61">
        <f ca="1">IFERROR(__xludf.DUMMYFUNCTION("VLOOKUP(C78,IMPORTRANGE(""https://docs.google.com/spreadsheets/d/1ZLN5T8y7NSBIP1rvSj6TTUR_vTQbRwUKSt8zZJ_EfE4/edit?gid=461094331#gid=461094331"",""SCHEDULE_SDT_JAN26""),43,0)"),0)</f>
        <v>0</v>
      </c>
      <c r="AE78" s="69">
        <f t="shared" ca="1" si="8"/>
        <v>0</v>
      </c>
      <c r="AF78" s="20">
        <v>468468</v>
      </c>
      <c r="AG78" s="19">
        <v>253500</v>
      </c>
      <c r="AH78" s="302">
        <v>0</v>
      </c>
      <c r="AI78" s="302">
        <v>0</v>
      </c>
      <c r="AJ78" s="302">
        <v>0</v>
      </c>
      <c r="AK78" s="302">
        <f t="shared" si="9"/>
        <v>0</v>
      </c>
      <c r="AL78" s="302">
        <v>0</v>
      </c>
      <c r="AM78" s="302">
        <f t="shared" ca="1" si="10"/>
        <v>721968</v>
      </c>
      <c r="AN78" s="302">
        <f t="shared" ca="1" si="11"/>
        <v>5988076</v>
      </c>
      <c r="AO78" s="302">
        <f t="shared" ca="1" si="12"/>
        <v>64500.123703999998</v>
      </c>
      <c r="AP78" s="302">
        <f t="shared" ca="1" si="13"/>
        <v>5923575.8762959996</v>
      </c>
      <c r="AQ78" s="302">
        <f t="shared" ca="1" si="14"/>
        <v>5923575.8762959996</v>
      </c>
      <c r="AR78" s="302">
        <f t="shared" ca="1" si="15"/>
        <v>5923600</v>
      </c>
      <c r="AS78" s="301"/>
      <c r="AT78" s="73" t="s">
        <v>9</v>
      </c>
      <c r="AU78" s="303" t="s">
        <v>10</v>
      </c>
      <c r="AV78" s="302">
        <f t="shared" si="34"/>
        <v>5729876</v>
      </c>
      <c r="AW78" s="302">
        <f t="shared" ca="1" si="35"/>
        <v>210000</v>
      </c>
      <c r="AX78" s="302">
        <f t="shared" ca="1" si="36"/>
        <v>250000</v>
      </c>
      <c r="AY78" s="302">
        <v>0</v>
      </c>
      <c r="AZ78" s="300">
        <f t="shared" si="37"/>
        <v>13751.702399999998</v>
      </c>
      <c r="BA78" s="302">
        <f t="shared" si="38"/>
        <v>17189.628000000001</v>
      </c>
      <c r="BB78" s="302">
        <f t="shared" si="39"/>
        <v>229195.04</v>
      </c>
      <c r="BC78" s="302">
        <f t="shared" ca="1" si="40"/>
        <v>6450012.3703999994</v>
      </c>
      <c r="BD78" s="304">
        <f ca="1">IF(AU78="C",VLOOKUP(BC78,TER!$J$4:$L$50,3,TRUE),IF(AU78="B",VLOOKUP(BC78,TER!$F$4:$H$50,3,TRUE),IF(AU78="A",VLOOKUP(BC78,TER!$B$4:$D$50,3,TRUE),"ERROR")))</f>
        <v>0.01</v>
      </c>
      <c r="BE78" s="302">
        <f t="shared" ca="1" si="41"/>
        <v>64500.123703999998</v>
      </c>
      <c r="BF78" s="251"/>
      <c r="BG78" s="251"/>
    </row>
    <row r="79" spans="1:59" ht="15.75" customHeight="1" outlineLevel="1">
      <c r="A79" s="251"/>
      <c r="B79" s="224">
        <v>70</v>
      </c>
      <c r="C79" s="398" t="s">
        <v>1329</v>
      </c>
      <c r="D79" s="291" t="s">
        <v>1339</v>
      </c>
      <c r="E79" s="84"/>
      <c r="F79" s="84"/>
      <c r="G79" s="86" t="s">
        <v>31</v>
      </c>
      <c r="H79" s="369" t="s">
        <v>32</v>
      </c>
      <c r="I79" s="69">
        <f t="shared" si="43"/>
        <v>5729876</v>
      </c>
      <c r="J79" s="300">
        <v>316368</v>
      </c>
      <c r="K79" s="300">
        <v>203800</v>
      </c>
      <c r="L79" s="90">
        <v>200000</v>
      </c>
      <c r="M79" s="89">
        <f t="shared" ca="1" si="44"/>
        <v>10000</v>
      </c>
      <c r="N79" s="125">
        <f ca="1">IFERROR(__xludf.DUMMYFUNCTION("VLOOKUP(C79,IMPORTRANGE(""https://docs.google.com/spreadsheets/d/1ZLN5T8y7NSBIP1rvSj6TTUR_vTQbRwUKSt8zZJ_EfE4/edit?gid=461094331#gid=461094331"",""SCHEDULE_SDT_JAN26""),35,0)"),20)</f>
        <v>20</v>
      </c>
      <c r="O79" s="125">
        <f ca="1">IFERROR(__xludf.DUMMYFUNCTION("VLOOKUP(C79,IMPORTRANGE(""https://docs.google.com/spreadsheets/d/1ZLN5T8y7NSBIP1rvSj6TTUR_vTQbRwUKSt8zZJ_EfE4/edit?gid=461094331#gid=461094331"",""SCHEDULE_SDT_JAN26""),34,0)"),20)</f>
        <v>20</v>
      </c>
      <c r="P79" s="61">
        <f t="shared" ca="1" si="2"/>
        <v>200000</v>
      </c>
      <c r="Q79" s="94"/>
      <c r="R79" s="89">
        <f t="shared" si="3"/>
        <v>6450044</v>
      </c>
      <c r="S79" s="89">
        <f t="shared" si="4"/>
        <v>6450044</v>
      </c>
      <c r="T79" s="93">
        <f t="shared" si="5"/>
        <v>0</v>
      </c>
      <c r="U79" s="90">
        <v>250000</v>
      </c>
      <c r="V79" s="61">
        <f ca="1">IFERROR(__xludf.DUMMYFUNCTION("VLOOKUP(C79,IMPORTRANGE(""https://docs.google.com/spreadsheets/d/1ZLN5T8y7NSBIP1rvSj6TTUR_vTQbRwUKSt8zZJ_EfE4/edit?gid=461094331#gid=461094331"",""SCHEDULE_SDT_JAN26""),36,0)"),1)</f>
        <v>1</v>
      </c>
      <c r="W79" s="69">
        <f t="shared" ca="1" si="6"/>
        <v>250000</v>
      </c>
      <c r="X79" s="89">
        <v>0</v>
      </c>
      <c r="Y79" s="89">
        <f t="shared" ca="1" si="7"/>
        <v>6700044</v>
      </c>
      <c r="Z79" s="61">
        <f ca="1">IFERROR(__xludf.DUMMYFUNCTION("VLOOKUP(C79,IMPORTRANGE(""https://docs.google.com/spreadsheets/d/1ZLN5T8y7NSBIP1rvSj6TTUR_vTQbRwUKSt8zZJ_EfE4/edit?gid=461094331#gid=461094331"",""SCHEDULE_SDT_JAN26""),38,0)+VLOOKUP(C79,IMPORTRANGE(""https://docs.google.com/spreadsheets/d/1ZLN5T8y7NSBIP1"&amp;"rvSj6TTUR_vTQbRwUKSt8zZJ_EfE4/edit?gid=461094331#gid=461094331"",""SCHEDULE_SDT_JAN26""),39,0)"),0)</f>
        <v>0</v>
      </c>
      <c r="AA79" s="61">
        <f ca="1">IFERROR(__xludf.DUMMYFUNCTION("VLOOKUP(C79,IMPORTRANGE(""https://docs.google.com/spreadsheets/d/1ZLN5T8y7NSBIP1rvSj6TTUR_vTQbRwUKSt8zZJ_EfE4/edit?gid=461094331#gid=461094331"",""SCHEDULE_SDT_JAN26""),40,0)"),0)</f>
        <v>0</v>
      </c>
      <c r="AB79" s="61">
        <f ca="1">IFERROR(__xludf.DUMMYFUNCTION("VLOOKUP(C79,IMPORTRANGE(""https://docs.google.com/spreadsheets/d/1ZLN5T8y7NSBIP1rvSj6TTUR_vTQbRwUKSt8zZJ_EfE4/edit?gid=461094331#gid=461094331"",""SCHEDULE_SDT_JAN26""),41,0)"),0)</f>
        <v>0</v>
      </c>
      <c r="AC79" s="61">
        <f ca="1">IFERROR(__xludf.DUMMYFUNCTION("VLOOKUP(C79,IMPORTRANGE(""https://docs.google.com/spreadsheets/d/1ZLN5T8y7NSBIP1rvSj6TTUR_vTQbRwUKSt8zZJ_EfE4/edit?gid=461094331#gid=461094331"",""SCHEDULE_SDT_JAN26""),42,0)"),0)</f>
        <v>0</v>
      </c>
      <c r="AD79" s="61">
        <f ca="1">IFERROR(__xludf.DUMMYFUNCTION("VLOOKUP(C79,IMPORTRANGE(""https://docs.google.com/spreadsheets/d/1ZLN5T8y7NSBIP1rvSj6TTUR_vTQbRwUKSt8zZJ_EfE4/edit?gid=461094331#gid=461094331"",""SCHEDULE_SDT_JAN26""),43,0)"),0)</f>
        <v>0</v>
      </c>
      <c r="AE79" s="69">
        <f t="shared" ca="1" si="8"/>
        <v>0</v>
      </c>
      <c r="AF79" s="20">
        <v>468468</v>
      </c>
      <c r="AG79" s="19">
        <v>253500</v>
      </c>
      <c r="AH79" s="89">
        <v>0</v>
      </c>
      <c r="AI79" s="89">
        <v>0</v>
      </c>
      <c r="AJ79" s="89">
        <v>0</v>
      </c>
      <c r="AK79" s="89">
        <f t="shared" si="9"/>
        <v>0</v>
      </c>
      <c r="AL79" s="89">
        <v>0</v>
      </c>
      <c r="AM79" s="89">
        <f t="shared" ca="1" si="10"/>
        <v>721968</v>
      </c>
      <c r="AN79" s="89">
        <f t="shared" ca="1" si="11"/>
        <v>5978076</v>
      </c>
      <c r="AO79" s="89">
        <f t="shared" ca="1" si="12"/>
        <v>64400.123703999998</v>
      </c>
      <c r="AP79" s="89">
        <f t="shared" ca="1" si="13"/>
        <v>5913675.8762959996</v>
      </c>
      <c r="AQ79" s="89">
        <f t="shared" ca="1" si="14"/>
        <v>5913675.8762959996</v>
      </c>
      <c r="AR79" s="89">
        <f t="shared" ca="1" si="15"/>
        <v>5913700</v>
      </c>
      <c r="AS79" s="94"/>
      <c r="AT79" s="399" t="s">
        <v>1340</v>
      </c>
      <c r="AU79" s="93" t="s">
        <v>10</v>
      </c>
      <c r="AV79" s="89">
        <f t="shared" si="34"/>
        <v>5729876</v>
      </c>
      <c r="AW79" s="89">
        <f t="shared" ca="1" si="35"/>
        <v>200000</v>
      </c>
      <c r="AX79" s="89">
        <f t="shared" ca="1" si="36"/>
        <v>250000</v>
      </c>
      <c r="AY79" s="89">
        <v>0</v>
      </c>
      <c r="AZ79" s="90">
        <f t="shared" si="37"/>
        <v>13751.702399999998</v>
      </c>
      <c r="BA79" s="89">
        <f t="shared" si="38"/>
        <v>17189.628000000001</v>
      </c>
      <c r="BB79" s="89">
        <f t="shared" si="39"/>
        <v>229195.04</v>
      </c>
      <c r="BC79" s="89">
        <f t="shared" ca="1" si="40"/>
        <v>6440012.3703999994</v>
      </c>
      <c r="BD79" s="400">
        <f ca="1">IF(AU79="C",VLOOKUP(BC79,TER!$J$4:$L$50,3,TRUE),IF(AU79="B",VLOOKUP(BC79,TER!$F$4:$H$50,3,TRUE),IF(AU79="A",VLOOKUP(BC79,TER!$B$4:$D$50,3,TRUE),"ERROR")))</f>
        <v>0.01</v>
      </c>
      <c r="BE79" s="89">
        <f t="shared" ca="1" si="41"/>
        <v>64400.123703999998</v>
      </c>
      <c r="BF79" s="251"/>
      <c r="BG79" s="251"/>
    </row>
    <row r="80" spans="1:59" ht="15.75" customHeight="1" outlineLevel="1">
      <c r="A80" s="251"/>
      <c r="B80" s="224">
        <v>71</v>
      </c>
      <c r="C80" s="401" t="s">
        <v>1341</v>
      </c>
      <c r="D80" s="402" t="s">
        <v>1342</v>
      </c>
      <c r="E80" s="84"/>
      <c r="F80" s="84"/>
      <c r="G80" s="86" t="s">
        <v>31</v>
      </c>
      <c r="H80" s="369" t="s">
        <v>32</v>
      </c>
      <c r="I80" s="69">
        <f t="shared" si="43"/>
        <v>5729876</v>
      </c>
      <c r="J80" s="300">
        <v>316368</v>
      </c>
      <c r="K80" s="300">
        <v>203800</v>
      </c>
      <c r="L80" s="90">
        <v>200000</v>
      </c>
      <c r="M80" s="89">
        <f t="shared" ca="1" si="44"/>
        <v>10000</v>
      </c>
      <c r="N80" s="125">
        <f ca="1">IFERROR(__xludf.DUMMYFUNCTION("VLOOKUP(C80,IMPORTRANGE(""https://docs.google.com/spreadsheets/d/1ZLN5T8y7NSBIP1rvSj6TTUR_vTQbRwUKSt8zZJ_EfE4/edit?gid=461094331#gid=461094331"",""SCHEDULE_SDT_JAN26""),35,0)"),21)</f>
        <v>21</v>
      </c>
      <c r="O80" s="125">
        <f ca="1">IFERROR(__xludf.DUMMYFUNCTION("VLOOKUP(C80,IMPORTRANGE(""https://docs.google.com/spreadsheets/d/1ZLN5T8y7NSBIP1rvSj6TTUR_vTQbRwUKSt8zZJ_EfE4/edit?gid=461094331#gid=461094331"",""SCHEDULE_SDT_JAN26""),34,0)"),21)</f>
        <v>21</v>
      </c>
      <c r="P80" s="61">
        <f t="shared" ca="1" si="2"/>
        <v>210000</v>
      </c>
      <c r="Q80" s="94"/>
      <c r="R80" s="89">
        <f t="shared" si="3"/>
        <v>6450044</v>
      </c>
      <c r="S80" s="89">
        <f t="shared" si="4"/>
        <v>6450044</v>
      </c>
      <c r="T80" s="93">
        <f t="shared" si="5"/>
        <v>0</v>
      </c>
      <c r="U80" s="90">
        <v>250000</v>
      </c>
      <c r="V80" s="61">
        <f ca="1">IFERROR(__xludf.DUMMYFUNCTION("VLOOKUP(C80,IMPORTRANGE(""https://docs.google.com/spreadsheets/d/1ZLN5T8y7NSBIP1rvSj6TTUR_vTQbRwUKSt8zZJ_EfE4/edit?gid=461094331#gid=461094331"",""SCHEDULE_SDT_JAN26""),36,0)"),0)</f>
        <v>0</v>
      </c>
      <c r="W80" s="69">
        <f t="shared" ca="1" si="6"/>
        <v>0</v>
      </c>
      <c r="X80" s="89">
        <v>0</v>
      </c>
      <c r="Y80" s="89">
        <f t="shared" ca="1" si="7"/>
        <v>6460044</v>
      </c>
      <c r="Z80" s="61">
        <f ca="1">IFERROR(__xludf.DUMMYFUNCTION("VLOOKUP(C80,IMPORTRANGE(""https://docs.google.com/spreadsheets/d/1ZLN5T8y7NSBIP1rvSj6TTUR_vTQbRwUKSt8zZJ_EfE4/edit?gid=461094331#gid=461094331"",""SCHEDULE_SDT_JAN26""),38,0)+VLOOKUP(C80,IMPORTRANGE(""https://docs.google.com/spreadsheets/d/1ZLN5T8y7NSBIP1"&amp;"rvSj6TTUR_vTQbRwUKSt8zZJ_EfE4/edit?gid=461094331#gid=461094331"",""SCHEDULE_SDT_JAN26""),39,0)"),0)</f>
        <v>0</v>
      </c>
      <c r="AA80" s="61">
        <f ca="1">IFERROR(__xludf.DUMMYFUNCTION("VLOOKUP(C80,IMPORTRANGE(""https://docs.google.com/spreadsheets/d/1ZLN5T8y7NSBIP1rvSj6TTUR_vTQbRwUKSt8zZJ_EfE4/edit?gid=461094331#gid=461094331"",""SCHEDULE_SDT_JAN26""),40,0)"),0)</f>
        <v>0</v>
      </c>
      <c r="AB80" s="61">
        <f ca="1">IFERROR(__xludf.DUMMYFUNCTION("VLOOKUP(C80,IMPORTRANGE(""https://docs.google.com/spreadsheets/d/1ZLN5T8y7NSBIP1rvSj6TTUR_vTQbRwUKSt8zZJ_EfE4/edit?gid=461094331#gid=461094331"",""SCHEDULE_SDT_JAN26""),41,0)"),0)</f>
        <v>0</v>
      </c>
      <c r="AC80" s="61">
        <f ca="1">IFERROR(__xludf.DUMMYFUNCTION("VLOOKUP(C80,IMPORTRANGE(""https://docs.google.com/spreadsheets/d/1ZLN5T8y7NSBIP1rvSj6TTUR_vTQbRwUKSt8zZJ_EfE4/edit?gid=461094331#gid=461094331"",""SCHEDULE_SDT_JAN26""),42,0)"),0)</f>
        <v>0</v>
      </c>
      <c r="AD80" s="61">
        <f ca="1">IFERROR(__xludf.DUMMYFUNCTION("VLOOKUP(C80,IMPORTRANGE(""https://docs.google.com/spreadsheets/d/1ZLN5T8y7NSBIP1rvSj6TTUR_vTQbRwUKSt8zZJ_EfE4/edit?gid=461094331#gid=461094331"",""SCHEDULE_SDT_JAN26""),43,0)"),0)</f>
        <v>0</v>
      </c>
      <c r="AE80" s="69">
        <f t="shared" ca="1" si="8"/>
        <v>0</v>
      </c>
      <c r="AF80" s="20">
        <v>468468</v>
      </c>
      <c r="AG80" s="19">
        <v>253500</v>
      </c>
      <c r="AH80" s="89">
        <v>0</v>
      </c>
      <c r="AI80" s="89">
        <v>0</v>
      </c>
      <c r="AJ80" s="89">
        <v>0</v>
      </c>
      <c r="AK80" s="89">
        <f t="shared" si="9"/>
        <v>0</v>
      </c>
      <c r="AL80" s="89">
        <v>0</v>
      </c>
      <c r="AM80" s="89">
        <f t="shared" ca="1" si="10"/>
        <v>721968</v>
      </c>
      <c r="AN80" s="89">
        <f t="shared" ca="1" si="11"/>
        <v>5738076</v>
      </c>
      <c r="AO80" s="89">
        <f t="shared" ca="1" si="12"/>
        <v>46500.092777999991</v>
      </c>
      <c r="AP80" s="89">
        <f t="shared" ca="1" si="13"/>
        <v>5691575.907222</v>
      </c>
      <c r="AQ80" s="89">
        <f t="shared" ca="1" si="14"/>
        <v>5691575.907222</v>
      </c>
      <c r="AR80" s="89">
        <f t="shared" ca="1" si="15"/>
        <v>5691600</v>
      </c>
      <c r="AS80" s="94"/>
      <c r="AT80" s="399" t="s">
        <v>1338</v>
      </c>
      <c r="AU80" s="93" t="s">
        <v>10</v>
      </c>
      <c r="AV80" s="89">
        <f t="shared" si="34"/>
        <v>5729876</v>
      </c>
      <c r="AW80" s="89">
        <f t="shared" ca="1" si="35"/>
        <v>210000</v>
      </c>
      <c r="AX80" s="89">
        <f t="shared" ca="1" si="36"/>
        <v>0</v>
      </c>
      <c r="AY80" s="89">
        <v>0</v>
      </c>
      <c r="AZ80" s="90">
        <f t="shared" si="37"/>
        <v>13751.702399999998</v>
      </c>
      <c r="BA80" s="89">
        <f t="shared" si="38"/>
        <v>17189.628000000001</v>
      </c>
      <c r="BB80" s="89">
        <f t="shared" si="39"/>
        <v>229195.04</v>
      </c>
      <c r="BC80" s="89">
        <f t="shared" ca="1" si="40"/>
        <v>6200012.3703999994</v>
      </c>
      <c r="BD80" s="400">
        <f ca="1">IF(AU80="C",VLOOKUP(BC80,TER!$J$4:$L$50,3,TRUE),IF(AU80="B",VLOOKUP(BC80,TER!$F$4:$H$50,3,TRUE),IF(AU80="A",VLOOKUP(BC80,TER!$B$4:$D$50,3,TRUE),"ERROR")))</f>
        <v>7.4999999999999997E-3</v>
      </c>
      <c r="BE80" s="89">
        <f t="shared" ca="1" si="41"/>
        <v>46500.092777999991</v>
      </c>
      <c r="BF80" s="251"/>
      <c r="BG80" s="251"/>
    </row>
    <row r="81" spans="1:59" ht="15.75" customHeight="1" outlineLevel="1">
      <c r="A81" s="251"/>
      <c r="B81" s="224">
        <v>72</v>
      </c>
      <c r="C81" s="403" t="s">
        <v>1355</v>
      </c>
      <c r="D81" s="404" t="s">
        <v>1356</v>
      </c>
      <c r="E81" s="84"/>
      <c r="F81" s="84"/>
      <c r="G81" s="86"/>
      <c r="H81" s="369" t="s">
        <v>32</v>
      </c>
      <c r="I81" s="69">
        <f t="shared" si="43"/>
        <v>5729876</v>
      </c>
      <c r="J81" s="300">
        <v>316368</v>
      </c>
      <c r="K81" s="300">
        <v>203800</v>
      </c>
      <c r="L81" s="90">
        <v>200000</v>
      </c>
      <c r="M81" s="89">
        <f t="shared" ca="1" si="44"/>
        <v>10000</v>
      </c>
      <c r="N81" s="125">
        <f ca="1">IFERROR(__xludf.DUMMYFUNCTION("VLOOKUP(C81,IMPORTRANGE(""https://docs.google.com/spreadsheets/d/1ZLN5T8y7NSBIP1rvSj6TTUR_vTQbRwUKSt8zZJ_EfE4/edit?gid=461094331#gid=461094331"",""SCHEDULE_SDT_JAN26""),35,0)"),9)</f>
        <v>9</v>
      </c>
      <c r="O81" s="125">
        <f ca="1">IFERROR(__xludf.DUMMYFUNCTION("VLOOKUP(C81,IMPORTRANGE(""https://docs.google.com/spreadsheets/d/1ZLN5T8y7NSBIP1rvSj6TTUR_vTQbRwUKSt8zZJ_EfE4/edit?gid=461094331#gid=461094331"",""SCHEDULE_SDT_JAN26""),34,0)"),20)</f>
        <v>20</v>
      </c>
      <c r="P81" s="61">
        <f t="shared" ca="1" si="2"/>
        <v>90000</v>
      </c>
      <c r="Q81" s="94"/>
      <c r="R81" s="89">
        <f t="shared" si="3"/>
        <v>6450044</v>
      </c>
      <c r="S81" s="89">
        <f t="shared" si="4"/>
        <v>6450044</v>
      </c>
      <c r="T81" s="93">
        <f t="shared" si="5"/>
        <v>0</v>
      </c>
      <c r="U81" s="90">
        <v>250000</v>
      </c>
      <c r="V81" s="61">
        <f ca="1">IFERROR(__xludf.DUMMYFUNCTION("VLOOKUP(C81,IMPORTRANGE(""https://docs.google.com/spreadsheets/d/1ZLN5T8y7NSBIP1rvSj6TTUR_vTQbRwUKSt8zZJ_EfE4/edit?gid=461094331#gid=461094331"",""SCHEDULE_SDT_JAN26""),36,0)"),0)</f>
        <v>0</v>
      </c>
      <c r="W81" s="69">
        <f t="shared" ca="1" si="6"/>
        <v>0</v>
      </c>
      <c r="X81" s="89">
        <v>0</v>
      </c>
      <c r="Y81" s="89">
        <f t="shared" ca="1" si="7"/>
        <v>6340044</v>
      </c>
      <c r="Z81" s="61">
        <f ca="1">IFERROR(__xludf.DUMMYFUNCTION("VLOOKUP(C81,IMPORTRANGE(""https://docs.google.com/spreadsheets/d/1ZLN5T8y7NSBIP1rvSj6TTUR_vTQbRwUKSt8zZJ_EfE4/edit?gid=461094331#gid=461094331"",""SCHEDULE_SDT_JAN26""),38,0)+VLOOKUP(C81,IMPORTRANGE(""https://docs.google.com/spreadsheets/d/1ZLN5T8y7NSBIP1"&amp;"rvSj6TTUR_vTQbRwUKSt8zZJ_EfE4/edit?gid=461094331#gid=461094331"",""SCHEDULE_SDT_JAN26""),39,0)"),0)</f>
        <v>0</v>
      </c>
      <c r="AA81" s="61">
        <f ca="1">IFERROR(__xludf.DUMMYFUNCTION("VLOOKUP(C81,IMPORTRANGE(""https://docs.google.com/spreadsheets/d/1ZLN5T8y7NSBIP1rvSj6TTUR_vTQbRwUKSt8zZJ_EfE4/edit?gid=461094331#gid=461094331"",""SCHEDULE_SDT_JAN26""),40,0)"),0)</f>
        <v>0</v>
      </c>
      <c r="AB81" s="61">
        <f ca="1">IFERROR(__xludf.DUMMYFUNCTION("VLOOKUP(C81,IMPORTRANGE(""https://docs.google.com/spreadsheets/d/1ZLN5T8y7NSBIP1rvSj6TTUR_vTQbRwUKSt8zZJ_EfE4/edit?gid=461094331#gid=461094331"",""SCHEDULE_SDT_JAN26""),41,0)"),0)</f>
        <v>0</v>
      </c>
      <c r="AC81" s="61">
        <f ca="1">IFERROR(__xludf.DUMMYFUNCTION("VLOOKUP(C81,IMPORTRANGE(""https://docs.google.com/spreadsheets/d/1ZLN5T8y7NSBIP1rvSj6TTUR_vTQbRwUKSt8zZJ_EfE4/edit?gid=461094331#gid=461094331"",""SCHEDULE_SDT_JAN26""),42,0)"),0)</f>
        <v>0</v>
      </c>
      <c r="AD81" s="61">
        <f ca="1">IFERROR(__xludf.DUMMYFUNCTION("VLOOKUP(C81,IMPORTRANGE(""https://docs.google.com/spreadsheets/d/1ZLN5T8y7NSBIP1rvSj6TTUR_vTQbRwUKSt8zZJ_EfE4/edit?gid=461094331#gid=461094331"",""SCHEDULE_SDT_JAN26""),43,0)"),0)</f>
        <v>0</v>
      </c>
      <c r="AE81" s="69">
        <f t="shared" ca="1" si="8"/>
        <v>0</v>
      </c>
      <c r="AF81" s="20">
        <v>468468</v>
      </c>
      <c r="AG81" s="19">
        <v>253500</v>
      </c>
      <c r="AH81" s="89">
        <v>0</v>
      </c>
      <c r="AI81" s="89">
        <v>0</v>
      </c>
      <c r="AJ81" s="89">
        <v>0</v>
      </c>
      <c r="AK81" s="89">
        <f t="shared" si="9"/>
        <v>0</v>
      </c>
      <c r="AL81" s="89">
        <v>0</v>
      </c>
      <c r="AM81" s="89">
        <f t="shared" ca="1" si="10"/>
        <v>721968</v>
      </c>
      <c r="AN81" s="89">
        <f t="shared" ca="1" si="11"/>
        <v>5618076</v>
      </c>
      <c r="AO81" s="89">
        <f t="shared" ca="1" si="12"/>
        <v>45600.092777999991</v>
      </c>
      <c r="AP81" s="89">
        <f t="shared" ca="1" si="13"/>
        <v>5572475.907222</v>
      </c>
      <c r="AQ81" s="89">
        <f t="shared" ca="1" si="14"/>
        <v>5572475.907222</v>
      </c>
      <c r="AR81" s="89">
        <f t="shared" ca="1" si="15"/>
        <v>5572500</v>
      </c>
      <c r="AS81" s="94"/>
      <c r="AT81" s="399" t="s">
        <v>1338</v>
      </c>
      <c r="AU81" s="93" t="s">
        <v>10</v>
      </c>
      <c r="AV81" s="89">
        <f t="shared" si="34"/>
        <v>5729876</v>
      </c>
      <c r="AW81" s="89">
        <f t="shared" ca="1" si="35"/>
        <v>90000</v>
      </c>
      <c r="AX81" s="89">
        <f t="shared" ca="1" si="36"/>
        <v>0</v>
      </c>
      <c r="AY81" s="89">
        <v>0</v>
      </c>
      <c r="AZ81" s="90">
        <f t="shared" si="37"/>
        <v>13751.702399999998</v>
      </c>
      <c r="BA81" s="89">
        <f t="shared" si="38"/>
        <v>17189.628000000001</v>
      </c>
      <c r="BB81" s="89">
        <f t="shared" si="39"/>
        <v>229195.04</v>
      </c>
      <c r="BC81" s="89">
        <f t="shared" ca="1" si="40"/>
        <v>6080012.3703999994</v>
      </c>
      <c r="BD81" s="400">
        <f ca="1">IF(AU81="C",VLOOKUP(BC81,TER!$J$4:$L$50,3,TRUE),IF(AU81="B",VLOOKUP(BC81,TER!$F$4:$H$50,3,TRUE),IF(AU81="A",VLOOKUP(BC81,TER!$B$4:$D$50,3,TRUE),"ERROR")))</f>
        <v>7.4999999999999997E-3</v>
      </c>
      <c r="BE81" s="89">
        <f t="shared" ca="1" si="41"/>
        <v>45600.092777999991</v>
      </c>
      <c r="BF81" s="251"/>
      <c r="BG81" s="251"/>
    </row>
    <row r="82" spans="1:59" ht="15.75" customHeight="1" outlineLevel="1">
      <c r="A82" s="251"/>
      <c r="B82" s="224">
        <v>73</v>
      </c>
      <c r="C82" s="405"/>
      <c r="D82" s="406"/>
      <c r="E82" s="84"/>
      <c r="F82" s="84"/>
      <c r="G82" s="86"/>
      <c r="H82" s="369"/>
      <c r="I82" s="69"/>
      <c r="J82" s="90"/>
      <c r="K82" s="90"/>
      <c r="L82" s="90"/>
      <c r="M82" s="89"/>
      <c r="N82" s="125"/>
      <c r="O82" s="125"/>
      <c r="P82" s="61"/>
      <c r="Q82" s="94"/>
      <c r="R82" s="89"/>
      <c r="S82" s="89"/>
      <c r="T82" s="93"/>
      <c r="U82" s="90"/>
      <c r="V82" s="61"/>
      <c r="W82" s="69"/>
      <c r="X82" s="89"/>
      <c r="Y82" s="89"/>
      <c r="Z82" s="61"/>
      <c r="AA82" s="61"/>
      <c r="AB82" s="61"/>
      <c r="AC82" s="61"/>
      <c r="AD82" s="61"/>
      <c r="AE82" s="69"/>
      <c r="AF82" s="407"/>
      <c r="AG82" s="407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94"/>
      <c r="AT82" s="399"/>
      <c r="AU82" s="93"/>
      <c r="AV82" s="89"/>
      <c r="AW82" s="89"/>
      <c r="AX82" s="89"/>
      <c r="AY82" s="89"/>
      <c r="AZ82" s="90"/>
      <c r="BA82" s="89"/>
      <c r="BB82" s="89"/>
      <c r="BC82" s="89"/>
      <c r="BD82" s="86"/>
      <c r="BE82" s="89"/>
      <c r="BF82" s="251"/>
      <c r="BG82" s="251"/>
    </row>
    <row r="83" spans="1:59" ht="15.75" customHeight="1" outlineLevel="1">
      <c r="A83" s="251"/>
      <c r="B83" s="224">
        <v>74</v>
      </c>
      <c r="C83" s="405"/>
      <c r="D83" s="406"/>
      <c r="E83" s="84"/>
      <c r="F83" s="84"/>
      <c r="G83" s="86"/>
      <c r="H83" s="369"/>
      <c r="I83" s="69"/>
      <c r="J83" s="90"/>
      <c r="K83" s="90"/>
      <c r="L83" s="90"/>
      <c r="M83" s="89"/>
      <c r="N83" s="125"/>
      <c r="O83" s="125"/>
      <c r="P83" s="61"/>
      <c r="Q83" s="94"/>
      <c r="R83" s="89"/>
      <c r="S83" s="89"/>
      <c r="T83" s="93"/>
      <c r="U83" s="90"/>
      <c r="V83" s="61"/>
      <c r="W83" s="69"/>
      <c r="X83" s="89"/>
      <c r="Y83" s="89"/>
      <c r="Z83" s="61"/>
      <c r="AA83" s="61"/>
      <c r="AB83" s="61"/>
      <c r="AC83" s="61"/>
      <c r="AD83" s="61"/>
      <c r="AE83" s="69"/>
      <c r="AF83" s="407"/>
      <c r="AG83" s="407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94"/>
      <c r="AT83" s="399"/>
      <c r="AU83" s="93"/>
      <c r="AV83" s="89"/>
      <c r="AW83" s="89"/>
      <c r="AX83" s="89"/>
      <c r="AY83" s="89"/>
      <c r="AZ83" s="90"/>
      <c r="BA83" s="89"/>
      <c r="BB83" s="89"/>
      <c r="BC83" s="89"/>
      <c r="BD83" s="86"/>
      <c r="BE83" s="89"/>
      <c r="BF83" s="251"/>
      <c r="BG83" s="251"/>
    </row>
    <row r="84" spans="1:59" ht="15.75" customHeight="1" outlineLevel="1">
      <c r="A84" s="251"/>
      <c r="B84" s="256">
        <v>74</v>
      </c>
      <c r="C84" s="465" t="s">
        <v>1315</v>
      </c>
      <c r="D84" s="411"/>
      <c r="E84" s="296"/>
      <c r="F84" s="64"/>
      <c r="G84" s="296"/>
      <c r="H84" s="64"/>
      <c r="I84" s="311">
        <f>SUM(I6:I81)</f>
        <v>412551072</v>
      </c>
      <c r="J84" s="366">
        <f t="shared" ref="J84:K84" si="45">SUM(J6:J78)</f>
        <v>21196656</v>
      </c>
      <c r="K84" s="366">
        <f t="shared" si="45"/>
        <v>13858400</v>
      </c>
      <c r="L84" s="366"/>
      <c r="M84" s="408">
        <f t="shared" ref="M84:P84" ca="1" si="46">SUM(M6:M81)</f>
        <v>1832380.9523809515</v>
      </c>
      <c r="N84" s="408">
        <f t="shared" ca="1" si="46"/>
        <v>1431</v>
      </c>
      <c r="O84" s="408">
        <f t="shared" ca="1" si="46"/>
        <v>1562</v>
      </c>
      <c r="P84" s="408">
        <f t="shared" ca="1" si="46"/>
        <v>29637857.142857142</v>
      </c>
      <c r="Q84" s="301"/>
      <c r="R84" s="302"/>
      <c r="S84" s="302"/>
      <c r="T84" s="303"/>
      <c r="U84" s="300"/>
      <c r="V84" s="310">
        <f ca="1">SUM(V6:V80)</f>
        <v>89</v>
      </c>
      <c r="W84" s="310">
        <f t="shared" ref="W84:Y84" ca="1" si="47">SUM(W6:W78)</f>
        <v>22000000</v>
      </c>
      <c r="X84" s="310">
        <f t="shared" si="47"/>
        <v>0</v>
      </c>
      <c r="Y84" s="310">
        <f t="shared" ca="1" si="47"/>
        <v>481554357.14285713</v>
      </c>
      <c r="Z84" s="367">
        <f t="shared" ref="Z84:AD84" ca="1" si="48">SUM(Z6:Z80)</f>
        <v>5</v>
      </c>
      <c r="AA84" s="367">
        <f t="shared" ca="1" si="48"/>
        <v>14</v>
      </c>
      <c r="AB84" s="367">
        <f t="shared" ca="1" si="48"/>
        <v>13</v>
      </c>
      <c r="AC84" s="367">
        <f t="shared" ca="1" si="48"/>
        <v>0</v>
      </c>
      <c r="AD84" s="367">
        <f t="shared" ca="1" si="48"/>
        <v>0</v>
      </c>
      <c r="AE84" s="310">
        <f t="shared" ref="AE84:AG84" ca="1" si="49">SUM(AE6:AE78)</f>
        <v>4750000</v>
      </c>
      <c r="AF84" s="310">
        <f t="shared" si="49"/>
        <v>31387356</v>
      </c>
      <c r="AG84" s="310">
        <f t="shared" si="49"/>
        <v>17238000</v>
      </c>
      <c r="AH84" s="310"/>
      <c r="AI84" s="310">
        <f t="shared" ref="AI84:AR84" si="50">SUM(AG6:AG78)</f>
        <v>17238000</v>
      </c>
      <c r="AJ84" s="310">
        <f t="shared" si="50"/>
        <v>1000000</v>
      </c>
      <c r="AK84" s="310">
        <f t="shared" si="50"/>
        <v>0</v>
      </c>
      <c r="AL84" s="310">
        <f t="shared" si="50"/>
        <v>0</v>
      </c>
      <c r="AM84" s="310">
        <f t="shared" si="50"/>
        <v>0</v>
      </c>
      <c r="AN84" s="310">
        <f t="shared" si="50"/>
        <v>0</v>
      </c>
      <c r="AO84" s="310">
        <f t="shared" ca="1" si="50"/>
        <v>54375356</v>
      </c>
      <c r="AP84" s="310">
        <f t="shared" ca="1" si="50"/>
        <v>427179001.14285707</v>
      </c>
      <c r="AQ84" s="310">
        <f t="shared" ca="1" si="50"/>
        <v>4084278.0589433312</v>
      </c>
      <c r="AR84" s="310">
        <f t="shared" ca="1" si="50"/>
        <v>423094723.08391356</v>
      </c>
      <c r="AS84" s="310"/>
      <c r="AT84" s="310"/>
      <c r="AU84" s="303"/>
      <c r="AV84" s="302"/>
      <c r="AW84" s="302"/>
      <c r="AX84" s="302"/>
      <c r="AY84" s="302"/>
      <c r="AZ84" s="300"/>
      <c r="BA84" s="302"/>
      <c r="BB84" s="302"/>
      <c r="BC84" s="302"/>
      <c r="BD84" s="296"/>
      <c r="BE84" s="302"/>
      <c r="BF84" s="251"/>
      <c r="BG84" s="251"/>
    </row>
    <row r="85" spans="1:59" ht="15.75" customHeight="1">
      <c r="A85" s="138"/>
      <c r="B85" s="117"/>
      <c r="C85" s="116"/>
      <c r="D85" s="356" t="s">
        <v>1321</v>
      </c>
      <c r="E85" s="117"/>
      <c r="F85" s="116"/>
      <c r="G85" s="117"/>
      <c r="H85" s="117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254"/>
      <c r="T85" s="255" t="s">
        <v>1357</v>
      </c>
      <c r="U85" s="254"/>
      <c r="V85" s="118"/>
      <c r="W85" s="111"/>
      <c r="X85" s="111"/>
      <c r="Y85" s="111"/>
      <c r="Z85" s="111"/>
      <c r="AA85" s="111"/>
      <c r="AB85" s="111"/>
      <c r="AC85" s="111"/>
      <c r="AD85" s="111"/>
      <c r="AE85" s="115">
        <f ca="1">SUM(Z84+AA84+AB84+AC84+AD84)</f>
        <v>32</v>
      </c>
      <c r="AF85" s="111"/>
      <c r="AG85" s="111"/>
      <c r="AH85" s="111"/>
      <c r="AI85" s="111"/>
      <c r="AJ85" s="111"/>
      <c r="AK85" s="111"/>
      <c r="AL85" s="111"/>
      <c r="AM85" s="111"/>
      <c r="AN85" s="118"/>
      <c r="AO85" s="118"/>
      <c r="AP85" s="118"/>
      <c r="AQ85" s="118"/>
      <c r="AR85" s="118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38"/>
      <c r="BG85" s="113"/>
    </row>
    <row r="86" spans="1:59" ht="15.75" customHeight="1" outlineLevel="1">
      <c r="A86" s="138"/>
      <c r="B86" s="117"/>
      <c r="C86" s="116"/>
      <c r="D86" s="117"/>
      <c r="E86" s="117"/>
      <c r="F86" s="116"/>
      <c r="G86" s="117"/>
      <c r="H86" s="117"/>
      <c r="I86" s="111"/>
      <c r="J86" s="89"/>
      <c r="K86" s="119"/>
      <c r="L86" s="111"/>
      <c r="M86" s="111"/>
      <c r="N86" s="111"/>
      <c r="O86" s="111"/>
      <c r="P86" s="111"/>
      <c r="Q86" s="111"/>
      <c r="R86" s="111"/>
      <c r="S86" s="118" t="s">
        <v>1343</v>
      </c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89">
        <v>468.226</v>
      </c>
      <c r="AG86" s="119">
        <v>253.369</v>
      </c>
      <c r="AH86" s="111"/>
      <c r="AI86" s="111"/>
      <c r="AJ86" s="111"/>
      <c r="AK86" s="111"/>
      <c r="AL86" s="111"/>
      <c r="AM86" s="111"/>
      <c r="AN86" s="118"/>
      <c r="AO86" s="118"/>
      <c r="AP86" s="118"/>
      <c r="AQ86" s="118"/>
      <c r="AR86" s="118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20"/>
      <c r="BE86" s="111"/>
      <c r="BF86" s="138"/>
      <c r="BG86" s="113"/>
    </row>
    <row r="87" spans="1:59" ht="15.75" customHeight="1" outlineLevel="1">
      <c r="A87" s="138"/>
      <c r="B87" s="440" t="s">
        <v>20</v>
      </c>
      <c r="C87" s="452" t="s">
        <v>21</v>
      </c>
      <c r="D87" s="440" t="s">
        <v>22</v>
      </c>
      <c r="E87" s="456" t="s">
        <v>23</v>
      </c>
      <c r="F87" s="411"/>
      <c r="G87" s="440" t="s">
        <v>24</v>
      </c>
      <c r="H87" s="441" t="s">
        <v>4</v>
      </c>
      <c r="I87" s="436" t="s">
        <v>259</v>
      </c>
      <c r="J87" s="410"/>
      <c r="K87" s="410"/>
      <c r="L87" s="410"/>
      <c r="M87" s="410"/>
      <c r="N87" s="410"/>
      <c r="O87" s="410"/>
      <c r="P87" s="410"/>
      <c r="Q87" s="410"/>
      <c r="R87" s="410"/>
      <c r="S87" s="410"/>
      <c r="T87" s="410"/>
      <c r="U87" s="410"/>
      <c r="V87" s="410"/>
      <c r="W87" s="410"/>
      <c r="X87" s="410"/>
      <c r="Y87" s="411"/>
      <c r="Z87" s="436" t="s">
        <v>260</v>
      </c>
      <c r="AA87" s="410"/>
      <c r="AB87" s="410"/>
      <c r="AC87" s="410"/>
      <c r="AD87" s="410"/>
      <c r="AE87" s="410"/>
      <c r="AF87" s="410"/>
      <c r="AG87" s="410"/>
      <c r="AH87" s="410"/>
      <c r="AI87" s="410"/>
      <c r="AJ87" s="410"/>
      <c r="AK87" s="410"/>
      <c r="AL87" s="410"/>
      <c r="AM87" s="411"/>
      <c r="AN87" s="433" t="s">
        <v>261</v>
      </c>
      <c r="AO87" s="433" t="s">
        <v>262</v>
      </c>
      <c r="AP87" s="433" t="s">
        <v>1022</v>
      </c>
      <c r="AQ87" s="433" t="s">
        <v>1023</v>
      </c>
      <c r="AR87" s="434" t="s">
        <v>1024</v>
      </c>
      <c r="AS87" s="111"/>
      <c r="AT87" s="435" t="s">
        <v>262</v>
      </c>
      <c r="AU87" s="410"/>
      <c r="AV87" s="410"/>
      <c r="AW87" s="410"/>
      <c r="AX87" s="410"/>
      <c r="AY87" s="410"/>
      <c r="AZ87" s="410"/>
      <c r="BA87" s="410"/>
      <c r="BB87" s="410"/>
      <c r="BC87" s="410"/>
      <c r="BD87" s="410"/>
      <c r="BE87" s="411"/>
      <c r="BF87" s="138"/>
      <c r="BG87" s="113"/>
    </row>
    <row r="88" spans="1:59" ht="15.75" customHeight="1" outlineLevel="1">
      <c r="A88" s="138"/>
      <c r="B88" s="413"/>
      <c r="C88" s="413"/>
      <c r="D88" s="413"/>
      <c r="E88" s="448" t="s">
        <v>26</v>
      </c>
      <c r="F88" s="457" t="s">
        <v>27</v>
      </c>
      <c r="G88" s="413"/>
      <c r="H88" s="413"/>
      <c r="I88" s="431" t="s">
        <v>1025</v>
      </c>
      <c r="J88" s="437" t="s">
        <v>266</v>
      </c>
      <c r="K88" s="411"/>
      <c r="L88" s="436" t="s">
        <v>267</v>
      </c>
      <c r="M88" s="410"/>
      <c r="N88" s="410"/>
      <c r="O88" s="410"/>
      <c r="P88" s="411"/>
      <c r="Q88" s="122"/>
      <c r="R88" s="438" t="s">
        <v>268</v>
      </c>
      <c r="S88" s="410"/>
      <c r="T88" s="411"/>
      <c r="U88" s="436" t="s">
        <v>269</v>
      </c>
      <c r="V88" s="410"/>
      <c r="W88" s="411"/>
      <c r="X88" s="439" t="s">
        <v>270</v>
      </c>
      <c r="Y88" s="431" t="s">
        <v>271</v>
      </c>
      <c r="Z88" s="436" t="s">
        <v>272</v>
      </c>
      <c r="AA88" s="410"/>
      <c r="AB88" s="410"/>
      <c r="AC88" s="410"/>
      <c r="AD88" s="410"/>
      <c r="AE88" s="411"/>
      <c r="AF88" s="437" t="s">
        <v>266</v>
      </c>
      <c r="AG88" s="411"/>
      <c r="AH88" s="439" t="s">
        <v>273</v>
      </c>
      <c r="AI88" s="438" t="s">
        <v>274</v>
      </c>
      <c r="AJ88" s="410"/>
      <c r="AK88" s="411"/>
      <c r="AL88" s="439" t="s">
        <v>275</v>
      </c>
      <c r="AM88" s="431" t="s">
        <v>271</v>
      </c>
      <c r="AN88" s="413"/>
      <c r="AO88" s="413"/>
      <c r="AP88" s="413"/>
      <c r="AQ88" s="413"/>
      <c r="AR88" s="413"/>
      <c r="AS88" s="111"/>
      <c r="AT88" s="431" t="s">
        <v>4</v>
      </c>
      <c r="AU88" s="431" t="s">
        <v>276</v>
      </c>
      <c r="AV88" s="431" t="s">
        <v>277</v>
      </c>
      <c r="AW88" s="431" t="s">
        <v>278</v>
      </c>
      <c r="AX88" s="431" t="s">
        <v>269</v>
      </c>
      <c r="AY88" s="431" t="s">
        <v>270</v>
      </c>
      <c r="AZ88" s="436" t="s">
        <v>266</v>
      </c>
      <c r="BA88" s="410"/>
      <c r="BB88" s="411"/>
      <c r="BC88" s="431" t="s">
        <v>261</v>
      </c>
      <c r="BD88" s="432" t="s">
        <v>279</v>
      </c>
      <c r="BE88" s="431" t="s">
        <v>262</v>
      </c>
      <c r="BF88" s="138"/>
      <c r="BG88" s="113"/>
    </row>
    <row r="89" spans="1:59" ht="15.75" customHeight="1" outlineLevel="1">
      <c r="A89" s="138"/>
      <c r="B89" s="414"/>
      <c r="C89" s="414"/>
      <c r="D89" s="414"/>
      <c r="E89" s="414"/>
      <c r="F89" s="414"/>
      <c r="G89" s="414"/>
      <c r="H89" s="414"/>
      <c r="I89" s="414"/>
      <c r="J89" s="123" t="s">
        <v>280</v>
      </c>
      <c r="K89" s="123" t="s">
        <v>281</v>
      </c>
      <c r="L89" s="109" t="s">
        <v>282</v>
      </c>
      <c r="M89" s="109" t="s">
        <v>283</v>
      </c>
      <c r="N89" s="123" t="s">
        <v>284</v>
      </c>
      <c r="O89" s="172" t="s">
        <v>285</v>
      </c>
      <c r="P89" s="109" t="s">
        <v>286</v>
      </c>
      <c r="Q89" s="122"/>
      <c r="R89" s="122" t="s">
        <v>282</v>
      </c>
      <c r="S89" s="122" t="s">
        <v>287</v>
      </c>
      <c r="T89" s="122" t="s">
        <v>288</v>
      </c>
      <c r="U89" s="109" t="s">
        <v>289</v>
      </c>
      <c r="V89" s="123" t="s">
        <v>290</v>
      </c>
      <c r="W89" s="109" t="s">
        <v>286</v>
      </c>
      <c r="X89" s="414"/>
      <c r="Y89" s="414"/>
      <c r="Z89" s="123" t="s">
        <v>291</v>
      </c>
      <c r="AA89" s="123" t="s">
        <v>292</v>
      </c>
      <c r="AB89" s="123" t="s">
        <v>293</v>
      </c>
      <c r="AC89" s="123" t="s">
        <v>280</v>
      </c>
      <c r="AD89" s="123"/>
      <c r="AE89" s="109" t="s">
        <v>286</v>
      </c>
      <c r="AF89" s="123" t="s">
        <v>280</v>
      </c>
      <c r="AG89" s="123" t="s">
        <v>281</v>
      </c>
      <c r="AH89" s="414"/>
      <c r="AI89" s="122" t="s">
        <v>295</v>
      </c>
      <c r="AJ89" s="122" t="s">
        <v>296</v>
      </c>
      <c r="AK89" s="122" t="s">
        <v>297</v>
      </c>
      <c r="AL89" s="414"/>
      <c r="AM89" s="414"/>
      <c r="AN89" s="414"/>
      <c r="AO89" s="414"/>
      <c r="AP89" s="414"/>
      <c r="AQ89" s="414"/>
      <c r="AR89" s="414"/>
      <c r="AS89" s="111"/>
      <c r="AT89" s="414"/>
      <c r="AU89" s="414"/>
      <c r="AV89" s="414"/>
      <c r="AW89" s="414"/>
      <c r="AX89" s="414"/>
      <c r="AY89" s="414"/>
      <c r="AZ89" s="109" t="s">
        <v>298</v>
      </c>
      <c r="BA89" s="109" t="s">
        <v>299</v>
      </c>
      <c r="BB89" s="109" t="s">
        <v>281</v>
      </c>
      <c r="BC89" s="414"/>
      <c r="BD89" s="414"/>
      <c r="BE89" s="414"/>
      <c r="BF89" s="138"/>
      <c r="BG89" s="113"/>
    </row>
    <row r="90" spans="1:59" ht="15.75" customHeight="1" outlineLevel="1">
      <c r="A90" s="113"/>
      <c r="B90" s="60">
        <v>1</v>
      </c>
      <c r="C90" s="124" t="s">
        <v>380</v>
      </c>
      <c r="D90" s="66" t="s">
        <v>381</v>
      </c>
      <c r="E90" s="67" t="s">
        <v>57</v>
      </c>
      <c r="F90" s="68" t="s">
        <v>1199</v>
      </c>
      <c r="G90" s="67" t="s">
        <v>31</v>
      </c>
      <c r="H90" s="66" t="s">
        <v>32</v>
      </c>
      <c r="I90" s="69">
        <f t="shared" ref="I90:I127" si="51">IF(H90="FULL - EXISTING",5729876,5729876/30*N90)</f>
        <v>5729876</v>
      </c>
      <c r="J90" s="312">
        <v>316205</v>
      </c>
      <c r="K90" s="312">
        <v>202695</v>
      </c>
      <c r="L90" s="69">
        <f t="shared" ref="L90:M90" si="52">IF(G90&gt;=0,IF(G90="SUPERVISOR",2500000,IF(G90="SHIFT LEADER",1200000,0)))</f>
        <v>0</v>
      </c>
      <c r="M90" s="69">
        <f t="shared" si="52"/>
        <v>0</v>
      </c>
      <c r="N90" s="61">
        <f ca="1">IFERROR(__xludf.DUMMYFUNCTION("VLOOKUP(C90,IMPORTRANGE(""https://docs.google.com/spreadsheets/d/1bYzf4ItZuOkngvwjv6KE7rQwu8zocnnv24ijoZh_CLs/edit?gid=53702207#gid=53702207"",""SCHEDULE_HSP_JAN26""),35,0)"),21)</f>
        <v>21</v>
      </c>
      <c r="O90" s="258">
        <f ca="1">IFERROR(__xludf.DUMMYFUNCTION("VLOOKUP(C90,IMPORTRANGE(""https://docs.google.com/spreadsheets/d/1bYzf4ItZuOkngvwjv6KE7rQwu8zocnnv24ijoZh_CLs/edit?gid=53702207#gid=53702207"",""SCHEDULE_HSP_JAN26""),34,0)"),21)</f>
        <v>21</v>
      </c>
      <c r="P90" s="69">
        <f t="shared" ref="P90:P127" ca="1" si="53">M90*N90</f>
        <v>0</v>
      </c>
      <c r="Q90" s="71"/>
      <c r="R90" s="69">
        <f t="shared" ref="R90:R127" si="54">I90+J90+K90+L90</f>
        <v>6248776</v>
      </c>
      <c r="S90" s="69">
        <f t="shared" ref="S90:S127" si="55">I90+J90+K90+L90</f>
        <v>6248776</v>
      </c>
      <c r="T90" s="69">
        <v>0</v>
      </c>
      <c r="U90" s="19">
        <v>196400</v>
      </c>
      <c r="V90" s="125">
        <f ca="1">IFERROR(__xludf.DUMMYFUNCTION("VLOOKUP(C90,IMPORTRANGE(""https://docs.google.com/spreadsheets/d/1bYzf4ItZuOkngvwjv6KE7rQwu8zocnnv24ijoZh_CLs/edit?gid=53702207#gid=53702207"",""SCHEDULE_HSP_JAN26""),36,0)"),0)</f>
        <v>0</v>
      </c>
      <c r="W90" s="69">
        <f t="shared" ref="W90:W127" ca="1" si="56">U90*V90</f>
        <v>0</v>
      </c>
      <c r="X90" s="69">
        <v>0</v>
      </c>
      <c r="Y90" s="69">
        <f t="shared" ref="Y90:Y127" ca="1" si="57">I90+J90+K90+P90+W90+X90</f>
        <v>6248776</v>
      </c>
      <c r="Z90" s="125">
        <f ca="1">IFERROR(__xludf.DUMMYFUNCTION("VLOOKUP(C90,IMPORTRANGE(""https://docs.google.com/spreadsheets/d/1bYzf4ItZuOkngvwjv6KE7rQwu8zocnnv24ijoZh_CLs/edit?gid=53702207#gid=53702207"",""SCHEDULE_HSP_JAN26""),38,0)+VLOOKUP(C90,IMPORTRANGE(""https://docs.google.com/spreadsheets/d/1bYzf4ItZuOkngvwj"&amp;"v6KE7rQwu8zocnnv24ijoZh_CLs/edit?gid=53702207#gid=53702207"",""SCHEDULE_HSP_JAN26""),39,0)"),0)</f>
        <v>0</v>
      </c>
      <c r="AA90" s="61">
        <f ca="1">IFERROR(__xludf.DUMMYFUNCTION("VLOOKUP(C90,IMPORTRANGE(""https://docs.google.com/spreadsheets/d/1bYzf4ItZuOkngvwjv6KE7rQwu8zocnnv24ijoZh_CLs/edit?gid=53702207#gid=53702207"",""SCHEDULE_HSP_JAN26""),40,0)"),0)</f>
        <v>0</v>
      </c>
      <c r="AB90" s="61">
        <f ca="1">IFERROR(__xludf.DUMMYFUNCTION("VLOOKUP(C90,IMPORTRANGE(""https://docs.google.com/spreadsheets/d/1bYzf4ItZuOkngvwjv6KE7rQwu8zocnnv24ijoZh_CLs/edit?gid=53702207#gid=53702207"",""SCHEDULE_HSP_JAN26""),41,0)"),0)</f>
        <v>0</v>
      </c>
      <c r="AC90" s="61">
        <f ca="1">IFERROR(__xludf.DUMMYFUNCTION("VLOOKUP(C90,IMPORTRANGE(""https://docs.google.com/spreadsheets/d/1bYzf4ItZuOkngvwjv6KE7rQwu8zocnnv24ijoZh_CLs/edit?gid=53702207#gid=53702207"",""SCHEDULE_HSP_JAN26""),42,0)"),0)</f>
        <v>0</v>
      </c>
      <c r="AD90" s="61"/>
      <c r="AE90" s="69">
        <f t="shared" ref="AE90:AE127" ca="1" si="58">U90*(Z90+AA90+AD90+(AC90*2))</f>
        <v>0</v>
      </c>
      <c r="AF90" s="313">
        <v>468468</v>
      </c>
      <c r="AG90" s="313">
        <v>253500</v>
      </c>
      <c r="AH90" s="69">
        <v>0</v>
      </c>
      <c r="AI90" s="69">
        <v>0</v>
      </c>
      <c r="AJ90" s="69">
        <v>0</v>
      </c>
      <c r="AK90" s="69">
        <v>0</v>
      </c>
      <c r="AL90" s="69">
        <v>0</v>
      </c>
      <c r="AM90" s="69">
        <f t="shared" ref="AM90:AM127" ca="1" si="59">AE90+AF90+AG90+AH90+AJ90+AL90</f>
        <v>721968</v>
      </c>
      <c r="AN90" s="69">
        <f t="shared" ref="AN90:AN127" ca="1" si="60">Y90-AM90</f>
        <v>5526808</v>
      </c>
      <c r="AO90" s="69">
        <f t="shared" ref="AO90:AO127" ca="1" si="61">BE90</f>
        <v>0</v>
      </c>
      <c r="AP90" s="69">
        <f t="shared" ref="AP90:AP127" ca="1" si="62">AN90-AO90</f>
        <v>5526808</v>
      </c>
      <c r="AQ90" s="69">
        <f t="shared" ref="AQ90:AQ127" ca="1" si="63">AP90-X90</f>
        <v>5526808</v>
      </c>
      <c r="AR90" s="314">
        <f t="shared" ref="AR90:AR127" ca="1" si="64">IF(AQ90&gt;0,ROUND(AQ90,-2),0)</f>
        <v>5526800</v>
      </c>
      <c r="AS90" s="72"/>
      <c r="AT90" s="73" t="s">
        <v>18</v>
      </c>
      <c r="AU90" s="61" t="s">
        <v>15</v>
      </c>
      <c r="AV90" s="69">
        <f t="shared" ref="AV90:AV127" si="65">I90</f>
        <v>5729876</v>
      </c>
      <c r="AW90" s="69">
        <f t="shared" ref="AW90:AW127" ca="1" si="66">P90</f>
        <v>0</v>
      </c>
      <c r="AX90" s="69">
        <f t="shared" ref="AX90:AX127" ca="1" si="67">W90</f>
        <v>0</v>
      </c>
      <c r="AY90" s="69">
        <v>0</v>
      </c>
      <c r="AZ90" s="69">
        <f t="shared" ref="AZ90:AZ127" si="68">IF(J90=0,0,AV90*0.24%)</f>
        <v>13751.702399999998</v>
      </c>
      <c r="BA90" s="69">
        <f t="shared" ref="BA90:BA127" si="69">IF(J90=0,0,AV90*0.3%)</f>
        <v>17189.628000000001</v>
      </c>
      <c r="BB90" s="69">
        <f t="shared" ref="BB90:BB127" si="70">IF(K90=0,0,AV90*4%)</f>
        <v>229195.04</v>
      </c>
      <c r="BC90" s="69">
        <f t="shared" ref="BC90:BC127" ca="1" si="71">SUM(AV90:BB90)</f>
        <v>5990012.3703999994</v>
      </c>
      <c r="BD90" s="74">
        <f ca="1">IF(AU90="C",VLOOKUP(BC90,TER!$J$4:$L$50,3,TRUE),IF(AU90="B",VLOOKUP(BC90,TER!$F$4:$H$50,3,TRUE),IF(AU90="A",VLOOKUP(BC90,TER!$B$4:$D$50,3,TRUE),"ERROR")))</f>
        <v>0</v>
      </c>
      <c r="BE90" s="69">
        <f t="shared" ref="BE90:BE127" ca="1" si="72">BC90*BD90</f>
        <v>0</v>
      </c>
      <c r="BF90" s="113"/>
      <c r="BG90" s="113"/>
    </row>
    <row r="91" spans="1:59" ht="15.75" customHeight="1" outlineLevel="1">
      <c r="A91" s="113"/>
      <c r="B91" s="60">
        <v>2</v>
      </c>
      <c r="C91" s="124" t="s">
        <v>382</v>
      </c>
      <c r="D91" s="66" t="s">
        <v>383</v>
      </c>
      <c r="E91" s="67" t="s">
        <v>57</v>
      </c>
      <c r="F91" s="68" t="s">
        <v>1200</v>
      </c>
      <c r="G91" s="67" t="s">
        <v>31</v>
      </c>
      <c r="H91" s="66" t="s">
        <v>32</v>
      </c>
      <c r="I91" s="69">
        <f t="shared" si="51"/>
        <v>5729876</v>
      </c>
      <c r="J91" s="312">
        <v>316205</v>
      </c>
      <c r="K91" s="312">
        <v>202695</v>
      </c>
      <c r="L91" s="69">
        <f t="shared" ref="L91:L96" si="73">IF(G91&gt;=0,IF(G91="SUPERVISOR",2500000,IF(G91="SHIFT LEADER",1200000,0)))</f>
        <v>0</v>
      </c>
      <c r="M91" s="69">
        <f t="shared" ref="M91:M127" ca="1" si="74">L91/O91</f>
        <v>0</v>
      </c>
      <c r="N91" s="61">
        <f ca="1">IFERROR(__xludf.DUMMYFUNCTION("VLOOKUP(C91,IMPORTRANGE(""https://docs.google.com/spreadsheets/d/1bYzf4ItZuOkngvwjv6KE7rQwu8zocnnv24ijoZh_CLs/edit?gid=53702207#gid=53702207"",""SCHEDULE_HSP_JAN26""),35,0)"),21)</f>
        <v>21</v>
      </c>
      <c r="O91" s="258">
        <f ca="1">IFERROR(__xludf.DUMMYFUNCTION("VLOOKUP(C91,IMPORTRANGE(""https://docs.google.com/spreadsheets/d/1bYzf4ItZuOkngvwjv6KE7rQwu8zocnnv24ijoZh_CLs/edit?gid=53702207#gid=53702207"",""SCHEDULE_HSP_JAN26""),34,0)"),21)</f>
        <v>21</v>
      </c>
      <c r="P91" s="69">
        <f t="shared" ca="1" si="53"/>
        <v>0</v>
      </c>
      <c r="Q91" s="71"/>
      <c r="R91" s="69">
        <f t="shared" si="54"/>
        <v>6248776</v>
      </c>
      <c r="S91" s="69">
        <f t="shared" si="55"/>
        <v>6248776</v>
      </c>
      <c r="T91" s="69">
        <v>0</v>
      </c>
      <c r="U91" s="19">
        <v>196400</v>
      </c>
      <c r="V91" s="125">
        <f ca="1">IFERROR(__xludf.DUMMYFUNCTION("VLOOKUP(C91,IMPORTRANGE(""https://docs.google.com/spreadsheets/d/1bYzf4ItZuOkngvwjv6KE7rQwu8zocnnv24ijoZh_CLs/edit?gid=53702207#gid=53702207"",""SCHEDULE_HSP_JAN26""),36,0)"),0)</f>
        <v>0</v>
      </c>
      <c r="W91" s="69">
        <f t="shared" ca="1" si="56"/>
        <v>0</v>
      </c>
      <c r="X91" s="69">
        <v>0</v>
      </c>
      <c r="Y91" s="69">
        <f t="shared" ca="1" si="57"/>
        <v>6248776</v>
      </c>
      <c r="Z91" s="125">
        <f ca="1">IFERROR(__xludf.DUMMYFUNCTION("VLOOKUP(C91,IMPORTRANGE(""https://docs.google.com/spreadsheets/d/1bYzf4ItZuOkngvwjv6KE7rQwu8zocnnv24ijoZh_CLs/edit?gid=53702207#gid=53702207"",""SCHEDULE_HSP_JAN26""),38,0)+VLOOKUP(C91,IMPORTRANGE(""https://docs.google.com/spreadsheets/d/1bYzf4ItZuOkngvwj"&amp;"v6KE7rQwu8zocnnv24ijoZh_CLs/edit?gid=53702207#gid=53702207"",""SCHEDULE_HSP_JAN26""),39,0)"),0)</f>
        <v>0</v>
      </c>
      <c r="AA91" s="61">
        <f ca="1">IFERROR(__xludf.DUMMYFUNCTION("VLOOKUP(C91,IMPORTRANGE(""https://docs.google.com/spreadsheets/d/1bYzf4ItZuOkngvwjv6KE7rQwu8zocnnv24ijoZh_CLs/edit?gid=53702207#gid=53702207"",""SCHEDULE_HSP_JAN26""),40,0)"),0)</f>
        <v>0</v>
      </c>
      <c r="AB91" s="61">
        <f ca="1">IFERROR(__xludf.DUMMYFUNCTION("VLOOKUP(C91,IMPORTRANGE(""https://docs.google.com/spreadsheets/d/1bYzf4ItZuOkngvwjv6KE7rQwu8zocnnv24ijoZh_CLs/edit?gid=53702207#gid=53702207"",""SCHEDULE_HSP_JAN26""),41,0)"),0)</f>
        <v>0</v>
      </c>
      <c r="AC91" s="61">
        <f ca="1">IFERROR(__xludf.DUMMYFUNCTION("VLOOKUP(C91,IMPORTRANGE(""https://docs.google.com/spreadsheets/d/1bYzf4ItZuOkngvwjv6KE7rQwu8zocnnv24ijoZh_CLs/edit?gid=53702207#gid=53702207"",""SCHEDULE_HSP_JAN26""),42,0)"),0)</f>
        <v>0</v>
      </c>
      <c r="AD91" s="61"/>
      <c r="AE91" s="69">
        <f t="shared" ca="1" si="58"/>
        <v>0</v>
      </c>
      <c r="AF91" s="313">
        <v>468468</v>
      </c>
      <c r="AG91" s="313">
        <v>253500</v>
      </c>
      <c r="AH91" s="69">
        <v>0</v>
      </c>
      <c r="AI91" s="69">
        <v>0</v>
      </c>
      <c r="AJ91" s="69">
        <v>0</v>
      </c>
      <c r="AK91" s="69">
        <v>0</v>
      </c>
      <c r="AL91" s="69">
        <v>0</v>
      </c>
      <c r="AM91" s="69">
        <f t="shared" ca="1" si="59"/>
        <v>721968</v>
      </c>
      <c r="AN91" s="69">
        <f t="shared" ca="1" si="60"/>
        <v>5526808</v>
      </c>
      <c r="AO91" s="69">
        <f t="shared" ca="1" si="61"/>
        <v>44925.092777999991</v>
      </c>
      <c r="AP91" s="69">
        <f t="shared" ca="1" si="62"/>
        <v>5481882.907222</v>
      </c>
      <c r="AQ91" s="69">
        <f t="shared" ca="1" si="63"/>
        <v>5481882.907222</v>
      </c>
      <c r="AR91" s="314">
        <f t="shared" ca="1" si="64"/>
        <v>5481900</v>
      </c>
      <c r="AS91" s="72"/>
      <c r="AT91" s="73" t="s">
        <v>13</v>
      </c>
      <c r="AU91" s="61" t="s">
        <v>10</v>
      </c>
      <c r="AV91" s="69">
        <f t="shared" si="65"/>
        <v>5729876</v>
      </c>
      <c r="AW91" s="69">
        <f t="shared" ca="1" si="66"/>
        <v>0</v>
      </c>
      <c r="AX91" s="69">
        <f t="shared" ca="1" si="67"/>
        <v>0</v>
      </c>
      <c r="AY91" s="69">
        <v>0</v>
      </c>
      <c r="AZ91" s="69">
        <f t="shared" si="68"/>
        <v>13751.702399999998</v>
      </c>
      <c r="BA91" s="69">
        <f t="shared" si="69"/>
        <v>17189.628000000001</v>
      </c>
      <c r="BB91" s="69">
        <f t="shared" si="70"/>
        <v>229195.04</v>
      </c>
      <c r="BC91" s="69">
        <f t="shared" ca="1" si="71"/>
        <v>5990012.3703999994</v>
      </c>
      <c r="BD91" s="74">
        <f ca="1">IF(AU91="C",VLOOKUP(BC91,TER!$J$4:$L$50,3,TRUE),IF(AU91="B",VLOOKUP(BC91,TER!$F$4:$H$50,3,TRUE),IF(AU91="A",VLOOKUP(BC91,TER!$B$4:$D$50,3,TRUE),"ERROR")))</f>
        <v>7.4999999999999997E-3</v>
      </c>
      <c r="BE91" s="69">
        <f t="shared" ca="1" si="72"/>
        <v>44925.092777999991</v>
      </c>
      <c r="BF91" s="113"/>
      <c r="BG91" s="113"/>
    </row>
    <row r="92" spans="1:59" ht="15.75" customHeight="1" outlineLevel="1">
      <c r="A92" s="113"/>
      <c r="B92" s="60">
        <v>3</v>
      </c>
      <c r="C92" s="124" t="s">
        <v>384</v>
      </c>
      <c r="D92" s="66" t="s">
        <v>385</v>
      </c>
      <c r="E92" s="67" t="s">
        <v>57</v>
      </c>
      <c r="F92" s="68" t="s">
        <v>1201</v>
      </c>
      <c r="G92" s="67" t="s">
        <v>31</v>
      </c>
      <c r="H92" s="66" t="s">
        <v>32</v>
      </c>
      <c r="I92" s="69">
        <f t="shared" si="51"/>
        <v>5729876</v>
      </c>
      <c r="J92" s="312">
        <v>316205</v>
      </c>
      <c r="K92" s="312">
        <v>202695</v>
      </c>
      <c r="L92" s="69">
        <f t="shared" si="73"/>
        <v>0</v>
      </c>
      <c r="M92" s="69">
        <f t="shared" ca="1" si="74"/>
        <v>0</v>
      </c>
      <c r="N92" s="61">
        <f ca="1">IFERROR(__xludf.DUMMYFUNCTION("VLOOKUP(C92,IMPORTRANGE(""https://docs.google.com/spreadsheets/d/1bYzf4ItZuOkngvwjv6KE7rQwu8zocnnv24ijoZh_CLs/edit?gid=53702207#gid=53702207"",""SCHEDULE_HSP_JAN26""),35,0)"),21)</f>
        <v>21</v>
      </c>
      <c r="O92" s="258">
        <f ca="1">IFERROR(__xludf.DUMMYFUNCTION("VLOOKUP(C92,IMPORTRANGE(""https://docs.google.com/spreadsheets/d/1bYzf4ItZuOkngvwjv6KE7rQwu8zocnnv24ijoZh_CLs/edit?gid=53702207#gid=53702207"",""SCHEDULE_HSP_JAN26""),34,0)"),21)</f>
        <v>21</v>
      </c>
      <c r="P92" s="69">
        <f t="shared" ca="1" si="53"/>
        <v>0</v>
      </c>
      <c r="Q92" s="71"/>
      <c r="R92" s="69">
        <f t="shared" si="54"/>
        <v>6248776</v>
      </c>
      <c r="S92" s="69">
        <f t="shared" si="55"/>
        <v>6248776</v>
      </c>
      <c r="T92" s="69">
        <v>0</v>
      </c>
      <c r="U92" s="19">
        <v>196400</v>
      </c>
      <c r="V92" s="125">
        <f ca="1">IFERROR(__xludf.DUMMYFUNCTION("VLOOKUP(C92,IMPORTRANGE(""https://docs.google.com/spreadsheets/d/1bYzf4ItZuOkngvwjv6KE7rQwu8zocnnv24ijoZh_CLs/edit?gid=53702207#gid=53702207"",""SCHEDULE_HSP_JAN26""),36,0)"),0)</f>
        <v>0</v>
      </c>
      <c r="W92" s="69">
        <f t="shared" ca="1" si="56"/>
        <v>0</v>
      </c>
      <c r="X92" s="69">
        <v>0</v>
      </c>
      <c r="Y92" s="69">
        <f t="shared" ca="1" si="57"/>
        <v>6248776</v>
      </c>
      <c r="Z92" s="125">
        <f ca="1">IFERROR(__xludf.DUMMYFUNCTION("VLOOKUP(C92,IMPORTRANGE(""https://docs.google.com/spreadsheets/d/1bYzf4ItZuOkngvwjv6KE7rQwu8zocnnv24ijoZh_CLs/edit?gid=53702207#gid=53702207"",""SCHEDULE_HSP_JAN26""),38,0)+VLOOKUP(C92,IMPORTRANGE(""https://docs.google.com/spreadsheets/d/1bYzf4ItZuOkngvwj"&amp;"v6KE7rQwu8zocnnv24ijoZh_CLs/edit?gid=53702207#gid=53702207"",""SCHEDULE_HSP_JAN26""),39,0)"),0)</f>
        <v>0</v>
      </c>
      <c r="AA92" s="61">
        <f ca="1">IFERROR(__xludf.DUMMYFUNCTION("VLOOKUP(C92,IMPORTRANGE(""https://docs.google.com/spreadsheets/d/1bYzf4ItZuOkngvwjv6KE7rQwu8zocnnv24ijoZh_CLs/edit?gid=53702207#gid=53702207"",""SCHEDULE_HSP_JAN26""),40,0)"),0)</f>
        <v>0</v>
      </c>
      <c r="AB92" s="61">
        <f ca="1">IFERROR(__xludf.DUMMYFUNCTION("VLOOKUP(C92,IMPORTRANGE(""https://docs.google.com/spreadsheets/d/1bYzf4ItZuOkngvwjv6KE7rQwu8zocnnv24ijoZh_CLs/edit?gid=53702207#gid=53702207"",""SCHEDULE_HSP_JAN26""),41,0)"),0)</f>
        <v>0</v>
      </c>
      <c r="AC92" s="61">
        <f ca="1">IFERROR(__xludf.DUMMYFUNCTION("VLOOKUP(C92,IMPORTRANGE(""https://docs.google.com/spreadsheets/d/1bYzf4ItZuOkngvwjv6KE7rQwu8zocnnv24ijoZh_CLs/edit?gid=53702207#gid=53702207"",""SCHEDULE_HSP_JAN26""),42,0)"),0)</f>
        <v>0</v>
      </c>
      <c r="AD92" s="61"/>
      <c r="AE92" s="69">
        <f t="shared" ca="1" si="58"/>
        <v>0</v>
      </c>
      <c r="AF92" s="313">
        <v>468468</v>
      </c>
      <c r="AG92" s="313">
        <v>253500</v>
      </c>
      <c r="AH92" s="69">
        <v>0</v>
      </c>
      <c r="AI92" s="69">
        <v>0</v>
      </c>
      <c r="AJ92" s="69">
        <v>0</v>
      </c>
      <c r="AK92" s="69">
        <v>0</v>
      </c>
      <c r="AL92" s="69">
        <v>0</v>
      </c>
      <c r="AM92" s="69">
        <f t="shared" ca="1" si="59"/>
        <v>721968</v>
      </c>
      <c r="AN92" s="69">
        <f t="shared" ca="1" si="60"/>
        <v>5526808</v>
      </c>
      <c r="AO92" s="69">
        <f t="shared" ca="1" si="61"/>
        <v>44925.092777999991</v>
      </c>
      <c r="AP92" s="69">
        <f t="shared" ca="1" si="62"/>
        <v>5481882.907222</v>
      </c>
      <c r="AQ92" s="69">
        <f t="shared" ca="1" si="63"/>
        <v>5481882.907222</v>
      </c>
      <c r="AR92" s="314">
        <f t="shared" ca="1" si="64"/>
        <v>5481900</v>
      </c>
      <c r="AS92" s="72"/>
      <c r="AT92" s="73" t="s">
        <v>9</v>
      </c>
      <c r="AU92" s="61" t="s">
        <v>10</v>
      </c>
      <c r="AV92" s="69">
        <f t="shared" si="65"/>
        <v>5729876</v>
      </c>
      <c r="AW92" s="69">
        <f t="shared" ca="1" si="66"/>
        <v>0</v>
      </c>
      <c r="AX92" s="69">
        <f t="shared" ca="1" si="67"/>
        <v>0</v>
      </c>
      <c r="AY92" s="69">
        <v>0</v>
      </c>
      <c r="AZ92" s="69">
        <f t="shared" si="68"/>
        <v>13751.702399999998</v>
      </c>
      <c r="BA92" s="69">
        <f t="shared" si="69"/>
        <v>17189.628000000001</v>
      </c>
      <c r="BB92" s="69">
        <f t="shared" si="70"/>
        <v>229195.04</v>
      </c>
      <c r="BC92" s="69">
        <f t="shared" ca="1" si="71"/>
        <v>5990012.3703999994</v>
      </c>
      <c r="BD92" s="74">
        <f ca="1">IF(AU92="C",VLOOKUP(BC92,TER!$J$4:$L$50,3,TRUE),IF(AU92="B",VLOOKUP(BC92,TER!$F$4:$H$50,3,TRUE),IF(AU92="A",VLOOKUP(BC92,TER!$B$4:$D$50,3,TRUE),"ERROR")))</f>
        <v>7.4999999999999997E-3</v>
      </c>
      <c r="BE92" s="69">
        <f t="shared" ca="1" si="72"/>
        <v>44925.092777999991</v>
      </c>
      <c r="BF92" s="113"/>
      <c r="BG92" s="113"/>
    </row>
    <row r="93" spans="1:59" ht="15.75" customHeight="1" outlineLevel="1">
      <c r="A93" s="113"/>
      <c r="B93" s="60">
        <v>4</v>
      </c>
      <c r="C93" s="124" t="s">
        <v>386</v>
      </c>
      <c r="D93" s="66" t="s">
        <v>387</v>
      </c>
      <c r="E93" s="67" t="s">
        <v>57</v>
      </c>
      <c r="F93" s="68" t="s">
        <v>1202</v>
      </c>
      <c r="G93" s="67" t="s">
        <v>31</v>
      </c>
      <c r="H93" s="66" t="s">
        <v>32</v>
      </c>
      <c r="I93" s="69">
        <f t="shared" si="51"/>
        <v>5729876</v>
      </c>
      <c r="J93" s="312">
        <v>316205</v>
      </c>
      <c r="K93" s="312">
        <v>202695</v>
      </c>
      <c r="L93" s="69">
        <f t="shared" si="73"/>
        <v>0</v>
      </c>
      <c r="M93" s="69">
        <f t="shared" ca="1" si="74"/>
        <v>0</v>
      </c>
      <c r="N93" s="61">
        <f ca="1">IFERROR(__xludf.DUMMYFUNCTION("VLOOKUP(C93,IMPORTRANGE(""https://docs.google.com/spreadsheets/d/1bYzf4ItZuOkngvwjv6KE7rQwu8zocnnv24ijoZh_CLs/edit?gid=53702207#gid=53702207"",""SCHEDULE_HSP_JAN26""),35,0)"),21)</f>
        <v>21</v>
      </c>
      <c r="O93" s="258">
        <f ca="1">IFERROR(__xludf.DUMMYFUNCTION("VLOOKUP(C93,IMPORTRANGE(""https://docs.google.com/spreadsheets/d/1bYzf4ItZuOkngvwjv6KE7rQwu8zocnnv24ijoZh_CLs/edit?gid=53702207#gid=53702207"",""SCHEDULE_HSP_JAN26""),34,0)"),21)</f>
        <v>21</v>
      </c>
      <c r="P93" s="69">
        <f t="shared" ca="1" si="53"/>
        <v>0</v>
      </c>
      <c r="Q93" s="71"/>
      <c r="R93" s="69">
        <f t="shared" si="54"/>
        <v>6248776</v>
      </c>
      <c r="S93" s="69">
        <f t="shared" si="55"/>
        <v>6248776</v>
      </c>
      <c r="T93" s="69">
        <v>0</v>
      </c>
      <c r="U93" s="19">
        <v>196400</v>
      </c>
      <c r="V93" s="125">
        <f ca="1">IFERROR(__xludf.DUMMYFUNCTION("VLOOKUP(C93,IMPORTRANGE(""https://docs.google.com/spreadsheets/d/1bYzf4ItZuOkngvwjv6KE7rQwu8zocnnv24ijoZh_CLs/edit?gid=53702207#gid=53702207"",""SCHEDULE_HSP_JAN26""),36,0)"),0)</f>
        <v>0</v>
      </c>
      <c r="W93" s="69">
        <f t="shared" ca="1" si="56"/>
        <v>0</v>
      </c>
      <c r="X93" s="69">
        <v>0</v>
      </c>
      <c r="Y93" s="69">
        <f t="shared" ca="1" si="57"/>
        <v>6248776</v>
      </c>
      <c r="Z93" s="125">
        <f ca="1">IFERROR(__xludf.DUMMYFUNCTION("VLOOKUP(C93,IMPORTRANGE(""https://docs.google.com/spreadsheets/d/1bYzf4ItZuOkngvwjv6KE7rQwu8zocnnv24ijoZh_CLs/edit?gid=53702207#gid=53702207"",""SCHEDULE_HSP_JAN26""),38,0)+VLOOKUP(C93,IMPORTRANGE(""https://docs.google.com/spreadsheets/d/1bYzf4ItZuOkngvwj"&amp;"v6KE7rQwu8zocnnv24ijoZh_CLs/edit?gid=53702207#gid=53702207"",""SCHEDULE_HSP_JAN26""),39,0)"),0)</f>
        <v>0</v>
      </c>
      <c r="AA93" s="61">
        <f ca="1">IFERROR(__xludf.DUMMYFUNCTION("VLOOKUP(C93,IMPORTRANGE(""https://docs.google.com/spreadsheets/d/1bYzf4ItZuOkngvwjv6KE7rQwu8zocnnv24ijoZh_CLs/edit?gid=53702207#gid=53702207"",""SCHEDULE_HSP_JAN26""),40,0)"),0)</f>
        <v>0</v>
      </c>
      <c r="AB93" s="61">
        <f ca="1">IFERROR(__xludf.DUMMYFUNCTION("VLOOKUP(C93,IMPORTRANGE(""https://docs.google.com/spreadsheets/d/1bYzf4ItZuOkngvwjv6KE7rQwu8zocnnv24ijoZh_CLs/edit?gid=53702207#gid=53702207"",""SCHEDULE_HSP_JAN26""),41,0)"),0)</f>
        <v>0</v>
      </c>
      <c r="AC93" s="61">
        <f ca="1">IFERROR(__xludf.DUMMYFUNCTION("VLOOKUP(C93,IMPORTRANGE(""https://docs.google.com/spreadsheets/d/1bYzf4ItZuOkngvwjv6KE7rQwu8zocnnv24ijoZh_CLs/edit?gid=53702207#gid=53702207"",""SCHEDULE_HSP_JAN26""),42,0)"),0)</f>
        <v>0</v>
      </c>
      <c r="AD93" s="61"/>
      <c r="AE93" s="69">
        <f t="shared" ca="1" si="58"/>
        <v>0</v>
      </c>
      <c r="AF93" s="313">
        <v>468468</v>
      </c>
      <c r="AG93" s="313">
        <v>253500</v>
      </c>
      <c r="AH93" s="69">
        <v>0</v>
      </c>
      <c r="AI93" s="69">
        <v>0</v>
      </c>
      <c r="AJ93" s="69">
        <v>0</v>
      </c>
      <c r="AK93" s="69">
        <v>0</v>
      </c>
      <c r="AL93" s="69">
        <v>0</v>
      </c>
      <c r="AM93" s="69">
        <f t="shared" ca="1" si="59"/>
        <v>721968</v>
      </c>
      <c r="AN93" s="69">
        <f t="shared" ca="1" si="60"/>
        <v>5526808</v>
      </c>
      <c r="AO93" s="69">
        <f t="shared" ca="1" si="61"/>
        <v>44925.092777999991</v>
      </c>
      <c r="AP93" s="69">
        <f t="shared" ca="1" si="62"/>
        <v>5481882.907222</v>
      </c>
      <c r="AQ93" s="69">
        <f t="shared" ca="1" si="63"/>
        <v>5481882.907222</v>
      </c>
      <c r="AR93" s="314">
        <f t="shared" ca="1" si="64"/>
        <v>5481900</v>
      </c>
      <c r="AS93" s="72"/>
      <c r="AT93" s="73" t="s">
        <v>13</v>
      </c>
      <c r="AU93" s="61" t="s">
        <v>10</v>
      </c>
      <c r="AV93" s="69">
        <f t="shared" si="65"/>
        <v>5729876</v>
      </c>
      <c r="AW93" s="69">
        <f t="shared" ca="1" si="66"/>
        <v>0</v>
      </c>
      <c r="AX93" s="69">
        <f t="shared" ca="1" si="67"/>
        <v>0</v>
      </c>
      <c r="AY93" s="69">
        <v>0</v>
      </c>
      <c r="AZ93" s="69">
        <f t="shared" si="68"/>
        <v>13751.702399999998</v>
      </c>
      <c r="BA93" s="69">
        <f t="shared" si="69"/>
        <v>17189.628000000001</v>
      </c>
      <c r="BB93" s="69">
        <f t="shared" si="70"/>
        <v>229195.04</v>
      </c>
      <c r="BC93" s="69">
        <f t="shared" ca="1" si="71"/>
        <v>5990012.3703999994</v>
      </c>
      <c r="BD93" s="74">
        <f ca="1">IF(AU93="C",VLOOKUP(BC93,TER!$J$4:$L$50,3,TRUE),IF(AU93="B",VLOOKUP(BC93,TER!$F$4:$H$50,3,TRUE),IF(AU93="A",VLOOKUP(BC93,TER!$B$4:$D$50,3,TRUE),"ERROR")))</f>
        <v>7.4999999999999997E-3</v>
      </c>
      <c r="BE93" s="69">
        <f t="shared" ca="1" si="72"/>
        <v>44925.092777999991</v>
      </c>
      <c r="BF93" s="113"/>
      <c r="BG93" s="113"/>
    </row>
    <row r="94" spans="1:59" ht="15.75" customHeight="1" outlineLevel="1">
      <c r="A94" s="113"/>
      <c r="B94" s="60">
        <v>5</v>
      </c>
      <c r="C94" s="124" t="s">
        <v>388</v>
      </c>
      <c r="D94" s="66" t="s">
        <v>389</v>
      </c>
      <c r="E94" s="67" t="s">
        <v>57</v>
      </c>
      <c r="F94" s="68" t="s">
        <v>1203</v>
      </c>
      <c r="G94" s="67" t="s">
        <v>31</v>
      </c>
      <c r="H94" s="66" t="s">
        <v>32</v>
      </c>
      <c r="I94" s="69">
        <f t="shared" si="51"/>
        <v>5729876</v>
      </c>
      <c r="J94" s="312">
        <v>316205</v>
      </c>
      <c r="K94" s="312">
        <v>202695</v>
      </c>
      <c r="L94" s="69">
        <f t="shared" si="73"/>
        <v>0</v>
      </c>
      <c r="M94" s="69">
        <f t="shared" ca="1" si="74"/>
        <v>0</v>
      </c>
      <c r="N94" s="61">
        <f ca="1">IFERROR(__xludf.DUMMYFUNCTION("VLOOKUP(C94,IMPORTRANGE(""https://docs.google.com/spreadsheets/d/1bYzf4ItZuOkngvwjv6KE7rQwu8zocnnv24ijoZh_CLs/edit?gid=53702207#gid=53702207"",""SCHEDULE_HSP_JAN26""),35,0)"),21)</f>
        <v>21</v>
      </c>
      <c r="O94" s="258">
        <f ca="1">IFERROR(__xludf.DUMMYFUNCTION("VLOOKUP(C94,IMPORTRANGE(""https://docs.google.com/spreadsheets/d/1bYzf4ItZuOkngvwjv6KE7rQwu8zocnnv24ijoZh_CLs/edit?gid=53702207#gid=53702207"",""SCHEDULE_HSP_JAN26""),34,0)"),21)</f>
        <v>21</v>
      </c>
      <c r="P94" s="69">
        <f t="shared" ca="1" si="53"/>
        <v>0</v>
      </c>
      <c r="Q94" s="71"/>
      <c r="R94" s="69">
        <f t="shared" si="54"/>
        <v>6248776</v>
      </c>
      <c r="S94" s="69">
        <f t="shared" si="55"/>
        <v>6248776</v>
      </c>
      <c r="T94" s="69">
        <v>0</v>
      </c>
      <c r="U94" s="19">
        <v>196400</v>
      </c>
      <c r="V94" s="125">
        <f ca="1">IFERROR(__xludf.DUMMYFUNCTION("VLOOKUP(C94,IMPORTRANGE(""https://docs.google.com/spreadsheets/d/1bYzf4ItZuOkngvwjv6KE7rQwu8zocnnv24ijoZh_CLs/edit?gid=53702207#gid=53702207"",""SCHEDULE_HSP_JAN26""),36,0)"),1)</f>
        <v>1</v>
      </c>
      <c r="W94" s="69">
        <f t="shared" ca="1" si="56"/>
        <v>196400</v>
      </c>
      <c r="X94" s="69">
        <v>0</v>
      </c>
      <c r="Y94" s="69">
        <f t="shared" ca="1" si="57"/>
        <v>6445176</v>
      </c>
      <c r="Z94" s="125">
        <f ca="1">IFERROR(__xludf.DUMMYFUNCTION("VLOOKUP(C94,IMPORTRANGE(""https://docs.google.com/spreadsheets/d/1bYzf4ItZuOkngvwjv6KE7rQwu8zocnnv24ijoZh_CLs/edit?gid=53702207#gid=53702207"",""SCHEDULE_HSP_JAN26""),38,0)+VLOOKUP(C94,IMPORTRANGE(""https://docs.google.com/spreadsheets/d/1bYzf4ItZuOkngvwj"&amp;"v6KE7rQwu8zocnnv24ijoZh_CLs/edit?gid=53702207#gid=53702207"",""SCHEDULE_HSP_JAN26""),39,0)"),0)</f>
        <v>0</v>
      </c>
      <c r="AA94" s="61">
        <f ca="1">IFERROR(__xludf.DUMMYFUNCTION("VLOOKUP(C94,IMPORTRANGE(""https://docs.google.com/spreadsheets/d/1bYzf4ItZuOkngvwjv6KE7rQwu8zocnnv24ijoZh_CLs/edit?gid=53702207#gid=53702207"",""SCHEDULE_HSP_JAN26""),40,0)"),0)</f>
        <v>0</v>
      </c>
      <c r="AB94" s="61">
        <f ca="1">IFERROR(__xludf.DUMMYFUNCTION("VLOOKUP(C94,IMPORTRANGE(""https://docs.google.com/spreadsheets/d/1bYzf4ItZuOkngvwjv6KE7rQwu8zocnnv24ijoZh_CLs/edit?gid=53702207#gid=53702207"",""SCHEDULE_HSP_JAN26""),41,0)"),0)</f>
        <v>0</v>
      </c>
      <c r="AC94" s="61">
        <f ca="1">IFERROR(__xludf.DUMMYFUNCTION("VLOOKUP(C94,IMPORTRANGE(""https://docs.google.com/spreadsheets/d/1bYzf4ItZuOkngvwjv6KE7rQwu8zocnnv24ijoZh_CLs/edit?gid=53702207#gid=53702207"",""SCHEDULE_HSP_JAN26""),42,0)"),0)</f>
        <v>0</v>
      </c>
      <c r="AD94" s="61"/>
      <c r="AE94" s="69">
        <f t="shared" ca="1" si="58"/>
        <v>0</v>
      </c>
      <c r="AF94" s="313">
        <v>468468</v>
      </c>
      <c r="AG94" s="313">
        <v>253500</v>
      </c>
      <c r="AH94" s="69">
        <v>0</v>
      </c>
      <c r="AI94" s="69">
        <v>0</v>
      </c>
      <c r="AJ94" s="69">
        <v>0</v>
      </c>
      <c r="AK94" s="69">
        <v>0</v>
      </c>
      <c r="AL94" s="69">
        <v>0</v>
      </c>
      <c r="AM94" s="69">
        <f t="shared" ca="1" si="59"/>
        <v>721968</v>
      </c>
      <c r="AN94" s="69">
        <f t="shared" ca="1" si="60"/>
        <v>5723208</v>
      </c>
      <c r="AO94" s="69">
        <f t="shared" ca="1" si="61"/>
        <v>46398.092777999991</v>
      </c>
      <c r="AP94" s="69">
        <f t="shared" ca="1" si="62"/>
        <v>5676809.907222</v>
      </c>
      <c r="AQ94" s="69">
        <f t="shared" ca="1" si="63"/>
        <v>5676809.907222</v>
      </c>
      <c r="AR94" s="314">
        <f t="shared" ca="1" si="64"/>
        <v>5676800</v>
      </c>
      <c r="AS94" s="72"/>
      <c r="AT94" s="73" t="s">
        <v>9</v>
      </c>
      <c r="AU94" s="61" t="s">
        <v>10</v>
      </c>
      <c r="AV94" s="69">
        <f t="shared" si="65"/>
        <v>5729876</v>
      </c>
      <c r="AW94" s="69">
        <f t="shared" ca="1" si="66"/>
        <v>0</v>
      </c>
      <c r="AX94" s="69">
        <f t="shared" ca="1" si="67"/>
        <v>196400</v>
      </c>
      <c r="AY94" s="69">
        <v>0</v>
      </c>
      <c r="AZ94" s="69">
        <f t="shared" si="68"/>
        <v>13751.702399999998</v>
      </c>
      <c r="BA94" s="69">
        <f t="shared" si="69"/>
        <v>17189.628000000001</v>
      </c>
      <c r="BB94" s="69">
        <f t="shared" si="70"/>
        <v>229195.04</v>
      </c>
      <c r="BC94" s="69">
        <f t="shared" ca="1" si="71"/>
        <v>6186412.3703999994</v>
      </c>
      <c r="BD94" s="74">
        <f ca="1">IF(AU94="C",VLOOKUP(BC94,TER!$J$4:$L$50,3,TRUE),IF(AU94="B",VLOOKUP(BC94,TER!$F$4:$H$50,3,TRUE),IF(AU94="A",VLOOKUP(BC94,TER!$B$4:$D$50,3,TRUE),"ERROR")))</f>
        <v>7.4999999999999997E-3</v>
      </c>
      <c r="BE94" s="69">
        <f t="shared" ca="1" si="72"/>
        <v>46398.092777999991</v>
      </c>
      <c r="BF94" s="113"/>
      <c r="BG94" s="113"/>
    </row>
    <row r="95" spans="1:59" ht="15.75" customHeight="1" outlineLevel="1">
      <c r="A95" s="113"/>
      <c r="B95" s="60">
        <v>6</v>
      </c>
      <c r="C95" s="124" t="s">
        <v>390</v>
      </c>
      <c r="D95" s="66" t="s">
        <v>391</v>
      </c>
      <c r="E95" s="67" t="s">
        <v>57</v>
      </c>
      <c r="F95" s="68" t="s">
        <v>1204</v>
      </c>
      <c r="G95" s="67" t="s">
        <v>31</v>
      </c>
      <c r="H95" s="66" t="s">
        <v>32</v>
      </c>
      <c r="I95" s="69">
        <f t="shared" si="51"/>
        <v>5729876</v>
      </c>
      <c r="J95" s="312">
        <v>316205</v>
      </c>
      <c r="K95" s="312">
        <v>202695</v>
      </c>
      <c r="L95" s="69">
        <f t="shared" si="73"/>
        <v>0</v>
      </c>
      <c r="M95" s="69">
        <f t="shared" ca="1" si="74"/>
        <v>0</v>
      </c>
      <c r="N95" s="61">
        <f ca="1">IFERROR(__xludf.DUMMYFUNCTION("VLOOKUP(C95,IMPORTRANGE(""https://docs.google.com/spreadsheets/d/1bYzf4ItZuOkngvwjv6KE7rQwu8zocnnv24ijoZh_CLs/edit?gid=53702207#gid=53702207"",""SCHEDULE_HSP_JAN26""),35,0)"),20)</f>
        <v>20</v>
      </c>
      <c r="O95" s="258">
        <f ca="1">IFERROR(__xludf.DUMMYFUNCTION("VLOOKUP(C95,IMPORTRANGE(""https://docs.google.com/spreadsheets/d/1bYzf4ItZuOkngvwjv6KE7rQwu8zocnnv24ijoZh_CLs/edit?gid=53702207#gid=53702207"",""SCHEDULE_HSP_JAN26""),34,0)"),20)</f>
        <v>20</v>
      </c>
      <c r="P95" s="69">
        <f t="shared" ca="1" si="53"/>
        <v>0</v>
      </c>
      <c r="Q95" s="71"/>
      <c r="R95" s="69">
        <f t="shared" si="54"/>
        <v>6248776</v>
      </c>
      <c r="S95" s="69">
        <f t="shared" si="55"/>
        <v>6248776</v>
      </c>
      <c r="T95" s="69">
        <v>0</v>
      </c>
      <c r="U95" s="19">
        <v>196400</v>
      </c>
      <c r="V95" s="125">
        <f ca="1">IFERROR(__xludf.DUMMYFUNCTION("VLOOKUP(C95,IMPORTRANGE(""https://docs.google.com/spreadsheets/d/1bYzf4ItZuOkngvwjv6KE7rQwu8zocnnv24ijoZh_CLs/edit?gid=53702207#gid=53702207"",""SCHEDULE_HSP_JAN26""),36,0)"),0)</f>
        <v>0</v>
      </c>
      <c r="W95" s="69">
        <f t="shared" ca="1" si="56"/>
        <v>0</v>
      </c>
      <c r="X95" s="69">
        <v>0</v>
      </c>
      <c r="Y95" s="69">
        <f t="shared" ca="1" si="57"/>
        <v>6248776</v>
      </c>
      <c r="Z95" s="125">
        <f ca="1">IFERROR(__xludf.DUMMYFUNCTION("VLOOKUP(C95,IMPORTRANGE(""https://docs.google.com/spreadsheets/d/1bYzf4ItZuOkngvwjv6KE7rQwu8zocnnv24ijoZh_CLs/edit?gid=53702207#gid=53702207"",""SCHEDULE_HSP_JAN26""),38,0)+VLOOKUP(C95,IMPORTRANGE(""https://docs.google.com/spreadsheets/d/1bYzf4ItZuOkngvwj"&amp;"v6KE7rQwu8zocnnv24ijoZh_CLs/edit?gid=53702207#gid=53702207"",""SCHEDULE_HSP_JAN26""),39,0)"),0)</f>
        <v>0</v>
      </c>
      <c r="AA95" s="61">
        <f ca="1">IFERROR(__xludf.DUMMYFUNCTION("VLOOKUP(C95,IMPORTRANGE(""https://docs.google.com/spreadsheets/d/1bYzf4ItZuOkngvwjv6KE7rQwu8zocnnv24ijoZh_CLs/edit?gid=53702207#gid=53702207"",""SCHEDULE_HSP_JAN26""),40,0)"),0)</f>
        <v>0</v>
      </c>
      <c r="AB95" s="61">
        <f ca="1">IFERROR(__xludf.DUMMYFUNCTION("VLOOKUP(C95,IMPORTRANGE(""https://docs.google.com/spreadsheets/d/1bYzf4ItZuOkngvwjv6KE7rQwu8zocnnv24ijoZh_CLs/edit?gid=53702207#gid=53702207"",""SCHEDULE_HSP_JAN26""),41,0)"),0)</f>
        <v>0</v>
      </c>
      <c r="AC95" s="61">
        <f ca="1">IFERROR(__xludf.DUMMYFUNCTION("VLOOKUP(C95,IMPORTRANGE(""https://docs.google.com/spreadsheets/d/1bYzf4ItZuOkngvwjv6KE7rQwu8zocnnv24ijoZh_CLs/edit?gid=53702207#gid=53702207"",""SCHEDULE_HSP_JAN26""),42,0)"),0)</f>
        <v>0</v>
      </c>
      <c r="AD95" s="61"/>
      <c r="AE95" s="69">
        <f t="shared" ca="1" si="58"/>
        <v>0</v>
      </c>
      <c r="AF95" s="313">
        <v>468468</v>
      </c>
      <c r="AG95" s="313">
        <v>253500</v>
      </c>
      <c r="AH95" s="69">
        <v>0</v>
      </c>
      <c r="AI95" s="69">
        <v>0</v>
      </c>
      <c r="AJ95" s="69">
        <v>0</v>
      </c>
      <c r="AK95" s="69">
        <v>0</v>
      </c>
      <c r="AL95" s="69">
        <v>0</v>
      </c>
      <c r="AM95" s="69">
        <f t="shared" ca="1" si="59"/>
        <v>721968</v>
      </c>
      <c r="AN95" s="69">
        <f t="shared" ca="1" si="60"/>
        <v>5526808</v>
      </c>
      <c r="AO95" s="69">
        <f t="shared" ca="1" si="61"/>
        <v>44925.092777999991</v>
      </c>
      <c r="AP95" s="69">
        <f t="shared" ca="1" si="62"/>
        <v>5481882.907222</v>
      </c>
      <c r="AQ95" s="69">
        <f t="shared" ca="1" si="63"/>
        <v>5481882.907222</v>
      </c>
      <c r="AR95" s="314">
        <f t="shared" ca="1" si="64"/>
        <v>5481900</v>
      </c>
      <c r="AS95" s="72"/>
      <c r="AT95" s="73" t="s">
        <v>9</v>
      </c>
      <c r="AU95" s="61" t="s">
        <v>10</v>
      </c>
      <c r="AV95" s="69">
        <f t="shared" si="65"/>
        <v>5729876</v>
      </c>
      <c r="AW95" s="69">
        <f t="shared" ca="1" si="66"/>
        <v>0</v>
      </c>
      <c r="AX95" s="69">
        <f t="shared" ca="1" si="67"/>
        <v>0</v>
      </c>
      <c r="AY95" s="69">
        <v>0</v>
      </c>
      <c r="AZ95" s="69">
        <f t="shared" si="68"/>
        <v>13751.702399999998</v>
      </c>
      <c r="BA95" s="69">
        <f t="shared" si="69"/>
        <v>17189.628000000001</v>
      </c>
      <c r="BB95" s="69">
        <f t="shared" si="70"/>
        <v>229195.04</v>
      </c>
      <c r="BC95" s="69">
        <f t="shared" ca="1" si="71"/>
        <v>5990012.3703999994</v>
      </c>
      <c r="BD95" s="74">
        <f ca="1">IF(AU95="C",VLOOKUP(BC95,TER!$J$4:$L$50,3,TRUE),IF(AU95="B",VLOOKUP(BC95,TER!$F$4:$H$50,3,TRUE),IF(AU95="A",VLOOKUP(BC95,TER!$B$4:$D$50,3,TRUE),"ERROR")))</f>
        <v>7.4999999999999997E-3</v>
      </c>
      <c r="BE95" s="69">
        <f t="shared" ca="1" si="72"/>
        <v>44925.092777999991</v>
      </c>
      <c r="BF95" s="113"/>
      <c r="BG95" s="113"/>
    </row>
    <row r="96" spans="1:59" ht="15.75" customHeight="1" outlineLevel="1">
      <c r="A96" s="113"/>
      <c r="B96" s="60">
        <v>7</v>
      </c>
      <c r="C96" s="68" t="s">
        <v>392</v>
      </c>
      <c r="D96" s="66" t="s">
        <v>393</v>
      </c>
      <c r="E96" s="67" t="s">
        <v>57</v>
      </c>
      <c r="F96" s="68" t="s">
        <v>1205</v>
      </c>
      <c r="G96" s="67" t="s">
        <v>31</v>
      </c>
      <c r="H96" s="66" t="s">
        <v>32</v>
      </c>
      <c r="I96" s="69">
        <f t="shared" si="51"/>
        <v>5729876</v>
      </c>
      <c r="J96" s="312">
        <v>316205</v>
      </c>
      <c r="K96" s="312">
        <v>202695</v>
      </c>
      <c r="L96" s="69">
        <f t="shared" si="73"/>
        <v>0</v>
      </c>
      <c r="M96" s="69">
        <f t="shared" ca="1" si="74"/>
        <v>0</v>
      </c>
      <c r="N96" s="61">
        <f ca="1">IFERROR(__xludf.DUMMYFUNCTION("VLOOKUP(C96,IMPORTRANGE(""https://docs.google.com/spreadsheets/d/1bYzf4ItZuOkngvwjv6KE7rQwu8zocnnv24ijoZh_CLs/edit?gid=53702207#gid=53702207"",""SCHEDULE_HSP_JAN26""),35,0)"),20)</f>
        <v>20</v>
      </c>
      <c r="O96" s="258">
        <f ca="1">IFERROR(__xludf.DUMMYFUNCTION("VLOOKUP(C96,IMPORTRANGE(""https://docs.google.com/spreadsheets/d/1bYzf4ItZuOkngvwjv6KE7rQwu8zocnnv24ijoZh_CLs/edit?gid=53702207#gid=53702207"",""SCHEDULE_HSP_JAN26""),34,0)"),21)</f>
        <v>21</v>
      </c>
      <c r="P96" s="69">
        <f t="shared" ca="1" si="53"/>
        <v>0</v>
      </c>
      <c r="Q96" s="71"/>
      <c r="R96" s="69">
        <f t="shared" si="54"/>
        <v>6248776</v>
      </c>
      <c r="S96" s="69">
        <f t="shared" si="55"/>
        <v>6248776</v>
      </c>
      <c r="T96" s="69">
        <v>0</v>
      </c>
      <c r="U96" s="19">
        <v>196400</v>
      </c>
      <c r="V96" s="125">
        <f ca="1">IFERROR(__xludf.DUMMYFUNCTION("VLOOKUP(C96,IMPORTRANGE(""https://docs.google.com/spreadsheets/d/1bYzf4ItZuOkngvwjv6KE7rQwu8zocnnv24ijoZh_CLs/edit?gid=53702207#gid=53702207"",""SCHEDULE_HSP_JAN26""),36,0)"),0)</f>
        <v>0</v>
      </c>
      <c r="W96" s="69">
        <f t="shared" ca="1" si="56"/>
        <v>0</v>
      </c>
      <c r="X96" s="69">
        <v>0</v>
      </c>
      <c r="Y96" s="69">
        <f t="shared" ca="1" si="57"/>
        <v>6248776</v>
      </c>
      <c r="Z96" s="125">
        <f ca="1">IFERROR(__xludf.DUMMYFUNCTION("VLOOKUP(C96,IMPORTRANGE(""https://docs.google.com/spreadsheets/d/1bYzf4ItZuOkngvwjv6KE7rQwu8zocnnv24ijoZh_CLs/edit?gid=53702207#gid=53702207"",""SCHEDULE_HSP_JAN26""),38,0)+VLOOKUP(C96,IMPORTRANGE(""https://docs.google.com/spreadsheets/d/1bYzf4ItZuOkngvwj"&amp;"v6KE7rQwu8zocnnv24ijoZh_CLs/edit?gid=53702207#gid=53702207"",""SCHEDULE_HSP_JAN26""),39,0)"),0)</f>
        <v>0</v>
      </c>
      <c r="AA96" s="61">
        <f ca="1">IFERROR(__xludf.DUMMYFUNCTION("VLOOKUP(C96,IMPORTRANGE(""https://docs.google.com/spreadsheets/d/1bYzf4ItZuOkngvwjv6KE7rQwu8zocnnv24ijoZh_CLs/edit?gid=53702207#gid=53702207"",""SCHEDULE_HSP_JAN26""),40,0)"),1)</f>
        <v>1</v>
      </c>
      <c r="AB96" s="61">
        <f ca="1">IFERROR(__xludf.DUMMYFUNCTION("VLOOKUP(C96,IMPORTRANGE(""https://docs.google.com/spreadsheets/d/1bYzf4ItZuOkngvwjv6KE7rQwu8zocnnv24ijoZh_CLs/edit?gid=53702207#gid=53702207"",""SCHEDULE_HSP_JAN26""),41,0)"),0)</f>
        <v>0</v>
      </c>
      <c r="AC96" s="61">
        <f ca="1">IFERROR(__xludf.DUMMYFUNCTION("VLOOKUP(C96,IMPORTRANGE(""https://docs.google.com/spreadsheets/d/1bYzf4ItZuOkngvwjv6KE7rQwu8zocnnv24ijoZh_CLs/edit?gid=53702207#gid=53702207"",""SCHEDULE_HSP_JAN26""),42,0)"),0)</f>
        <v>0</v>
      </c>
      <c r="AD96" s="61"/>
      <c r="AE96" s="69">
        <f t="shared" ca="1" si="58"/>
        <v>196400</v>
      </c>
      <c r="AF96" s="313">
        <v>468468</v>
      </c>
      <c r="AG96" s="313">
        <v>253500</v>
      </c>
      <c r="AH96" s="69">
        <v>0</v>
      </c>
      <c r="AI96" s="69">
        <v>0</v>
      </c>
      <c r="AJ96" s="69">
        <v>0</v>
      </c>
      <c r="AK96" s="69">
        <v>0</v>
      </c>
      <c r="AL96" s="69">
        <v>0</v>
      </c>
      <c r="AM96" s="69">
        <f t="shared" ca="1" si="59"/>
        <v>918368</v>
      </c>
      <c r="AN96" s="69">
        <f t="shared" ca="1" si="60"/>
        <v>5330408</v>
      </c>
      <c r="AO96" s="69">
        <f t="shared" ca="1" si="61"/>
        <v>44925.092777999991</v>
      </c>
      <c r="AP96" s="69">
        <f t="shared" ca="1" si="62"/>
        <v>5285482.907222</v>
      </c>
      <c r="AQ96" s="69">
        <f t="shared" ca="1" si="63"/>
        <v>5285482.907222</v>
      </c>
      <c r="AR96" s="314">
        <f t="shared" ca="1" si="64"/>
        <v>5285500</v>
      </c>
      <c r="AS96" s="72"/>
      <c r="AT96" s="73" t="s">
        <v>9</v>
      </c>
      <c r="AU96" s="61" t="s">
        <v>10</v>
      </c>
      <c r="AV96" s="69">
        <f t="shared" si="65"/>
        <v>5729876</v>
      </c>
      <c r="AW96" s="69">
        <f t="shared" ca="1" si="66"/>
        <v>0</v>
      </c>
      <c r="AX96" s="69">
        <f t="shared" ca="1" si="67"/>
        <v>0</v>
      </c>
      <c r="AY96" s="69">
        <v>0</v>
      </c>
      <c r="AZ96" s="69">
        <f t="shared" si="68"/>
        <v>13751.702399999998</v>
      </c>
      <c r="BA96" s="69">
        <f t="shared" si="69"/>
        <v>17189.628000000001</v>
      </c>
      <c r="BB96" s="69">
        <f t="shared" si="70"/>
        <v>229195.04</v>
      </c>
      <c r="BC96" s="69">
        <f t="shared" ca="1" si="71"/>
        <v>5990012.3703999994</v>
      </c>
      <c r="BD96" s="74">
        <f ca="1">IF(AU96="C",VLOOKUP(BC96,TER!$J$4:$L$50,3,TRUE),IF(AU96="B",VLOOKUP(BC96,TER!$F$4:$H$50,3,TRUE),IF(AU96="A",VLOOKUP(BC96,TER!$B$4:$D$50,3,TRUE),"ERROR")))</f>
        <v>7.4999999999999997E-3</v>
      </c>
      <c r="BE96" s="69">
        <f t="shared" ca="1" si="72"/>
        <v>44925.092777999991</v>
      </c>
      <c r="BF96" s="113"/>
      <c r="BG96" s="113"/>
    </row>
    <row r="97" spans="1:59" ht="15.75" customHeight="1" outlineLevel="1">
      <c r="A97" s="113"/>
      <c r="B97" s="60">
        <v>8</v>
      </c>
      <c r="C97" s="68" t="s">
        <v>394</v>
      </c>
      <c r="D97" s="66" t="s">
        <v>395</v>
      </c>
      <c r="E97" s="67" t="s">
        <v>57</v>
      </c>
      <c r="F97" s="68" t="s">
        <v>1206</v>
      </c>
      <c r="G97" s="67" t="s">
        <v>31</v>
      </c>
      <c r="H97" s="66" t="s">
        <v>32</v>
      </c>
      <c r="I97" s="69">
        <f t="shared" si="51"/>
        <v>5729876</v>
      </c>
      <c r="J97" s="312">
        <v>316205</v>
      </c>
      <c r="K97" s="312">
        <v>202695</v>
      </c>
      <c r="L97" s="19">
        <v>500000</v>
      </c>
      <c r="M97" s="69">
        <f t="shared" ca="1" si="74"/>
        <v>23809.523809523809</v>
      </c>
      <c r="N97" s="61">
        <f ca="1">IFERROR(__xludf.DUMMYFUNCTION("VLOOKUP(C97,IMPORTRANGE(""https://docs.google.com/spreadsheets/d/1bYzf4ItZuOkngvwjv6KE7rQwu8zocnnv24ijoZh_CLs/edit?gid=53702207#gid=53702207"",""SCHEDULE_HSP_JAN26""),35,0)"),17)</f>
        <v>17</v>
      </c>
      <c r="O97" s="258">
        <f ca="1">IFERROR(__xludf.DUMMYFUNCTION("VLOOKUP(C97,IMPORTRANGE(""https://docs.google.com/spreadsheets/d/1bYzf4ItZuOkngvwjv6KE7rQwu8zocnnv24ijoZh_CLs/edit?gid=53702207#gid=53702207"",""SCHEDULE_HSP_JAN26""),34,0)"),21)</f>
        <v>21</v>
      </c>
      <c r="P97" s="69">
        <f t="shared" ca="1" si="53"/>
        <v>404761.90476190473</v>
      </c>
      <c r="Q97" s="71"/>
      <c r="R97" s="69">
        <f t="shared" si="54"/>
        <v>6748776</v>
      </c>
      <c r="S97" s="69">
        <f t="shared" si="55"/>
        <v>6748776</v>
      </c>
      <c r="T97" s="69">
        <v>0</v>
      </c>
      <c r="U97" s="19">
        <v>196400</v>
      </c>
      <c r="V97" s="125">
        <f ca="1">IFERROR(__xludf.DUMMYFUNCTION("VLOOKUP(C97,IMPORTRANGE(""https://docs.google.com/spreadsheets/d/1bYzf4ItZuOkngvwjv6KE7rQwu8zocnnv24ijoZh_CLs/edit?gid=53702207#gid=53702207"",""SCHEDULE_HSP_JAN26""),36,0)"),0)</f>
        <v>0</v>
      </c>
      <c r="W97" s="69">
        <f t="shared" ca="1" si="56"/>
        <v>0</v>
      </c>
      <c r="X97" s="69">
        <v>0</v>
      </c>
      <c r="Y97" s="69">
        <f t="shared" ca="1" si="57"/>
        <v>6653537.9047619049</v>
      </c>
      <c r="Z97" s="125">
        <f ca="1">IFERROR(__xludf.DUMMYFUNCTION("VLOOKUP(C97,IMPORTRANGE(""https://docs.google.com/spreadsheets/d/1bYzf4ItZuOkngvwjv6KE7rQwu8zocnnv24ijoZh_CLs/edit?gid=53702207#gid=53702207"",""SCHEDULE_HSP_JAN26""),38,0)+VLOOKUP(C97,IMPORTRANGE(""https://docs.google.com/spreadsheets/d/1bYzf4ItZuOkngvwj"&amp;"v6KE7rQwu8zocnnv24ijoZh_CLs/edit?gid=53702207#gid=53702207"",""SCHEDULE_HSP_JAN26""),39,0)"),0)</f>
        <v>0</v>
      </c>
      <c r="AA97" s="61">
        <f ca="1">IFERROR(__xludf.DUMMYFUNCTION("VLOOKUP(C97,IMPORTRANGE(""https://docs.google.com/spreadsheets/d/1bYzf4ItZuOkngvwjv6KE7rQwu8zocnnv24ijoZh_CLs/edit?gid=53702207#gid=53702207"",""SCHEDULE_HSP_JAN26""),40,0)"),0)</f>
        <v>0</v>
      </c>
      <c r="AB97" s="61">
        <f ca="1">IFERROR(__xludf.DUMMYFUNCTION("VLOOKUP(C97,IMPORTRANGE(""https://docs.google.com/spreadsheets/d/1bYzf4ItZuOkngvwjv6KE7rQwu8zocnnv24ijoZh_CLs/edit?gid=53702207#gid=53702207"",""SCHEDULE_HSP_JAN26""),41,0)"),4)</f>
        <v>4</v>
      </c>
      <c r="AC97" s="61">
        <f ca="1">IFERROR(__xludf.DUMMYFUNCTION("VLOOKUP(C97,IMPORTRANGE(""https://docs.google.com/spreadsheets/d/1bYzf4ItZuOkngvwjv6KE7rQwu8zocnnv24ijoZh_CLs/edit?gid=53702207#gid=53702207"",""SCHEDULE_HSP_JAN26""),42,0)"),0)</f>
        <v>0</v>
      </c>
      <c r="AD97" s="61"/>
      <c r="AE97" s="69">
        <f t="shared" ca="1" si="58"/>
        <v>0</v>
      </c>
      <c r="AF97" s="313">
        <v>468468</v>
      </c>
      <c r="AG97" s="313">
        <v>253500</v>
      </c>
      <c r="AH97" s="69">
        <v>0</v>
      </c>
      <c r="AI97" s="69">
        <v>0</v>
      </c>
      <c r="AJ97" s="69">
        <v>0</v>
      </c>
      <c r="AK97" s="69">
        <v>0</v>
      </c>
      <c r="AL97" s="69">
        <v>0</v>
      </c>
      <c r="AM97" s="69">
        <f t="shared" ca="1" si="59"/>
        <v>721968</v>
      </c>
      <c r="AN97" s="69">
        <f t="shared" ca="1" si="60"/>
        <v>5931569.9047619049</v>
      </c>
      <c r="AO97" s="69">
        <f t="shared" ca="1" si="61"/>
        <v>63947.742751619044</v>
      </c>
      <c r="AP97" s="69">
        <f t="shared" ca="1" si="62"/>
        <v>5867622.162010286</v>
      </c>
      <c r="AQ97" s="69">
        <f t="shared" ca="1" si="63"/>
        <v>5867622.162010286</v>
      </c>
      <c r="AR97" s="314">
        <f t="shared" ca="1" si="64"/>
        <v>5867600</v>
      </c>
      <c r="AS97" s="72"/>
      <c r="AT97" s="73" t="s">
        <v>9</v>
      </c>
      <c r="AU97" s="61" t="s">
        <v>10</v>
      </c>
      <c r="AV97" s="69">
        <f t="shared" si="65"/>
        <v>5729876</v>
      </c>
      <c r="AW97" s="69">
        <f t="shared" ca="1" si="66"/>
        <v>404761.90476190473</v>
      </c>
      <c r="AX97" s="69">
        <f t="shared" ca="1" si="67"/>
        <v>0</v>
      </c>
      <c r="AY97" s="69">
        <v>0</v>
      </c>
      <c r="AZ97" s="69">
        <f t="shared" si="68"/>
        <v>13751.702399999998</v>
      </c>
      <c r="BA97" s="69">
        <f t="shared" si="69"/>
        <v>17189.628000000001</v>
      </c>
      <c r="BB97" s="69">
        <f t="shared" si="70"/>
        <v>229195.04</v>
      </c>
      <c r="BC97" s="69">
        <f t="shared" ca="1" si="71"/>
        <v>6394774.2751619043</v>
      </c>
      <c r="BD97" s="74">
        <f ca="1">IF(AU97="C",VLOOKUP(BC97,TER!$J$4:$L$50,3,TRUE),IF(AU97="B",VLOOKUP(BC97,TER!$F$4:$H$50,3,TRUE),IF(AU97="A",VLOOKUP(BC97,TER!$B$4:$D$50,3,TRUE),"ERROR")))</f>
        <v>0.01</v>
      </c>
      <c r="BE97" s="69">
        <f t="shared" ca="1" si="72"/>
        <v>63947.742751619044</v>
      </c>
      <c r="BF97" s="113"/>
      <c r="BG97" s="113"/>
    </row>
    <row r="98" spans="1:59" ht="15.75" customHeight="1" outlineLevel="1">
      <c r="A98" s="113"/>
      <c r="B98" s="60">
        <v>9</v>
      </c>
      <c r="C98" s="68" t="s">
        <v>396</v>
      </c>
      <c r="D98" s="66" t="s">
        <v>397</v>
      </c>
      <c r="E98" s="67" t="s">
        <v>57</v>
      </c>
      <c r="F98" s="68" t="s">
        <v>1207</v>
      </c>
      <c r="G98" s="67" t="s">
        <v>398</v>
      </c>
      <c r="H98" s="66" t="s">
        <v>32</v>
      </c>
      <c r="I98" s="69">
        <f t="shared" si="51"/>
        <v>5729876</v>
      </c>
      <c r="J98" s="312">
        <v>316205</v>
      </c>
      <c r="K98" s="312">
        <v>202695</v>
      </c>
      <c r="L98" s="69">
        <f t="shared" ref="L98:L112" si="75">IF(G98&gt;=0,IF(G98="SUPERVISOR",2500000,IF(G98="SHIFT LEADER",1200000,0)))</f>
        <v>0</v>
      </c>
      <c r="M98" s="69">
        <f t="shared" ca="1" si="74"/>
        <v>0</v>
      </c>
      <c r="N98" s="61">
        <f ca="1">IFERROR(__xludf.DUMMYFUNCTION("VLOOKUP(C98,IMPORTRANGE(""https://docs.google.com/spreadsheets/d/1bYzf4ItZuOkngvwjv6KE7rQwu8zocnnv24ijoZh_CLs/edit?gid=53702207#gid=53702207"",""SCHEDULE_HSP_JAN26""),35,0)"),20)</f>
        <v>20</v>
      </c>
      <c r="O98" s="258">
        <f ca="1">IFERROR(__xludf.DUMMYFUNCTION("VLOOKUP(C98,IMPORTRANGE(""https://docs.google.com/spreadsheets/d/1bYzf4ItZuOkngvwjv6KE7rQwu8zocnnv24ijoZh_CLs/edit?gid=53702207#gid=53702207"",""SCHEDULE_HSP_JAN26""),34,0)"),21)</f>
        <v>21</v>
      </c>
      <c r="P98" s="69">
        <f t="shared" ca="1" si="53"/>
        <v>0</v>
      </c>
      <c r="Q98" s="71"/>
      <c r="R98" s="69">
        <f t="shared" si="54"/>
        <v>6248776</v>
      </c>
      <c r="S98" s="69">
        <f t="shared" si="55"/>
        <v>6248776</v>
      </c>
      <c r="T98" s="69">
        <v>0</v>
      </c>
      <c r="U98" s="19">
        <v>196400</v>
      </c>
      <c r="V98" s="125">
        <f ca="1">IFERROR(__xludf.DUMMYFUNCTION("VLOOKUP(C98,IMPORTRANGE(""https://docs.google.com/spreadsheets/d/1bYzf4ItZuOkngvwjv6KE7rQwu8zocnnv24ijoZh_CLs/edit?gid=53702207#gid=53702207"",""SCHEDULE_HSP_JAN26""),36,0)"),0)</f>
        <v>0</v>
      </c>
      <c r="W98" s="69">
        <f t="shared" ca="1" si="56"/>
        <v>0</v>
      </c>
      <c r="X98" s="69">
        <v>0</v>
      </c>
      <c r="Y98" s="69">
        <f t="shared" ca="1" si="57"/>
        <v>6248776</v>
      </c>
      <c r="Z98" s="125">
        <f ca="1">IFERROR(__xludf.DUMMYFUNCTION("VLOOKUP(C98,IMPORTRANGE(""https://docs.google.com/spreadsheets/d/1bYzf4ItZuOkngvwjv6KE7rQwu8zocnnv24ijoZh_CLs/edit?gid=53702207#gid=53702207"",""SCHEDULE_HSP_JAN26""),38,0)+VLOOKUP(C98,IMPORTRANGE(""https://docs.google.com/spreadsheets/d/1bYzf4ItZuOkngvwj"&amp;"v6KE7rQwu8zocnnv24ijoZh_CLs/edit?gid=53702207#gid=53702207"",""SCHEDULE_HSP_JAN26""),39,0)"),1)</f>
        <v>1</v>
      </c>
      <c r="AA98" s="61">
        <f ca="1">IFERROR(__xludf.DUMMYFUNCTION("VLOOKUP(C98,IMPORTRANGE(""https://docs.google.com/spreadsheets/d/1bYzf4ItZuOkngvwjv6KE7rQwu8zocnnv24ijoZh_CLs/edit?gid=53702207#gid=53702207"",""SCHEDULE_HSP_JAN26""),40,0)"),0)</f>
        <v>0</v>
      </c>
      <c r="AB98" s="61">
        <f ca="1">IFERROR(__xludf.DUMMYFUNCTION("VLOOKUP(C98,IMPORTRANGE(""https://docs.google.com/spreadsheets/d/1bYzf4ItZuOkngvwjv6KE7rQwu8zocnnv24ijoZh_CLs/edit?gid=53702207#gid=53702207"",""SCHEDULE_HSP_JAN26""),41,0)"),0)</f>
        <v>0</v>
      </c>
      <c r="AC98" s="61">
        <f ca="1">IFERROR(__xludf.DUMMYFUNCTION("VLOOKUP(C98,IMPORTRANGE(""https://docs.google.com/spreadsheets/d/1bYzf4ItZuOkngvwjv6KE7rQwu8zocnnv24ijoZh_CLs/edit?gid=53702207#gid=53702207"",""SCHEDULE_HSP_JAN26""),42,0)"),0)</f>
        <v>0</v>
      </c>
      <c r="AD98" s="61"/>
      <c r="AE98" s="69">
        <f t="shared" ca="1" si="58"/>
        <v>196400</v>
      </c>
      <c r="AF98" s="313">
        <v>468468</v>
      </c>
      <c r="AG98" s="313">
        <v>253500</v>
      </c>
      <c r="AH98" s="69">
        <v>0</v>
      </c>
      <c r="AI98" s="69">
        <v>0</v>
      </c>
      <c r="AJ98" s="69">
        <v>0</v>
      </c>
      <c r="AK98" s="69">
        <v>0</v>
      </c>
      <c r="AL98" s="69">
        <v>0</v>
      </c>
      <c r="AM98" s="69">
        <f t="shared" ca="1" si="59"/>
        <v>918368</v>
      </c>
      <c r="AN98" s="69">
        <f t="shared" ca="1" si="60"/>
        <v>5330408</v>
      </c>
      <c r="AO98" s="69">
        <f t="shared" ca="1" si="61"/>
        <v>44925.092777999991</v>
      </c>
      <c r="AP98" s="69">
        <f t="shared" ca="1" si="62"/>
        <v>5285482.907222</v>
      </c>
      <c r="AQ98" s="69">
        <f t="shared" ca="1" si="63"/>
        <v>5285482.907222</v>
      </c>
      <c r="AR98" s="314">
        <f t="shared" ca="1" si="64"/>
        <v>5285500</v>
      </c>
      <c r="AS98" s="72"/>
      <c r="AT98" s="73" t="s">
        <v>12</v>
      </c>
      <c r="AU98" s="61" t="s">
        <v>10</v>
      </c>
      <c r="AV98" s="69">
        <f t="shared" si="65"/>
        <v>5729876</v>
      </c>
      <c r="AW98" s="69">
        <f t="shared" ca="1" si="66"/>
        <v>0</v>
      </c>
      <c r="AX98" s="69">
        <f t="shared" ca="1" si="67"/>
        <v>0</v>
      </c>
      <c r="AY98" s="69">
        <v>0</v>
      </c>
      <c r="AZ98" s="69">
        <f t="shared" si="68"/>
        <v>13751.702399999998</v>
      </c>
      <c r="BA98" s="69">
        <f t="shared" si="69"/>
        <v>17189.628000000001</v>
      </c>
      <c r="BB98" s="69">
        <f t="shared" si="70"/>
        <v>229195.04</v>
      </c>
      <c r="BC98" s="69">
        <f t="shared" ca="1" si="71"/>
        <v>5990012.3703999994</v>
      </c>
      <c r="BD98" s="74">
        <f ca="1">IF(AU98="C",VLOOKUP(BC98,TER!$J$4:$L$50,3,TRUE),IF(AU98="B",VLOOKUP(BC98,TER!$F$4:$H$50,3,TRUE),IF(AU98="A",VLOOKUP(BC98,TER!$B$4:$D$50,3,TRUE),"ERROR")))</f>
        <v>7.4999999999999997E-3</v>
      </c>
      <c r="BE98" s="69">
        <f t="shared" ca="1" si="72"/>
        <v>44925.092777999991</v>
      </c>
      <c r="BF98" s="113"/>
      <c r="BG98" s="113"/>
    </row>
    <row r="99" spans="1:59" ht="15.75" customHeight="1" outlineLevel="1">
      <c r="A99" s="113"/>
      <c r="B99" s="60">
        <v>10</v>
      </c>
      <c r="C99" s="99" t="s">
        <v>399</v>
      </c>
      <c r="D99" s="66" t="s">
        <v>400</v>
      </c>
      <c r="E99" s="67" t="s">
        <v>57</v>
      </c>
      <c r="F99" s="68" t="s">
        <v>1208</v>
      </c>
      <c r="G99" s="67" t="s">
        <v>31</v>
      </c>
      <c r="H99" s="66" t="s">
        <v>32</v>
      </c>
      <c r="I99" s="69">
        <f t="shared" si="51"/>
        <v>5729876</v>
      </c>
      <c r="J99" s="312">
        <v>316205</v>
      </c>
      <c r="K99" s="312">
        <v>202695</v>
      </c>
      <c r="L99" s="69">
        <f t="shared" si="75"/>
        <v>0</v>
      </c>
      <c r="M99" s="69">
        <f t="shared" ca="1" si="74"/>
        <v>0</v>
      </c>
      <c r="N99" s="61">
        <f ca="1">IFERROR(__xludf.DUMMYFUNCTION("VLOOKUP(C99,IMPORTRANGE(""https://docs.google.com/spreadsheets/d/1bYzf4ItZuOkngvwjv6KE7rQwu8zocnnv24ijoZh_CLs/edit?gid=53702207#gid=53702207"",""SCHEDULE_HSP_JAN26""),35,0)"),20)</f>
        <v>20</v>
      </c>
      <c r="O99" s="258">
        <f ca="1">IFERROR(__xludf.DUMMYFUNCTION("VLOOKUP(C99,IMPORTRANGE(""https://docs.google.com/spreadsheets/d/1bYzf4ItZuOkngvwjv6KE7rQwu8zocnnv24ijoZh_CLs/edit?gid=53702207#gid=53702207"",""SCHEDULE_HSP_JAN26""),34,0)"),20)</f>
        <v>20</v>
      </c>
      <c r="P99" s="69">
        <f t="shared" ca="1" si="53"/>
        <v>0</v>
      </c>
      <c r="Q99" s="71"/>
      <c r="R99" s="69">
        <f t="shared" si="54"/>
        <v>6248776</v>
      </c>
      <c r="S99" s="69">
        <f t="shared" si="55"/>
        <v>6248776</v>
      </c>
      <c r="T99" s="69">
        <v>0</v>
      </c>
      <c r="U99" s="19">
        <v>196400</v>
      </c>
      <c r="V99" s="125">
        <f ca="1">IFERROR(__xludf.DUMMYFUNCTION("VLOOKUP(C99,IMPORTRANGE(""https://docs.google.com/spreadsheets/d/1bYzf4ItZuOkngvwjv6KE7rQwu8zocnnv24ijoZh_CLs/edit?gid=53702207#gid=53702207"",""SCHEDULE_HSP_JAN26""),36,0)"),0)</f>
        <v>0</v>
      </c>
      <c r="W99" s="69">
        <f t="shared" ca="1" si="56"/>
        <v>0</v>
      </c>
      <c r="X99" s="69">
        <v>0</v>
      </c>
      <c r="Y99" s="69">
        <f t="shared" ca="1" si="57"/>
        <v>6248776</v>
      </c>
      <c r="Z99" s="125">
        <f ca="1">IFERROR(__xludf.DUMMYFUNCTION("VLOOKUP(C99,IMPORTRANGE(""https://docs.google.com/spreadsheets/d/1bYzf4ItZuOkngvwjv6KE7rQwu8zocnnv24ijoZh_CLs/edit?gid=53702207#gid=53702207"",""SCHEDULE_HSP_JAN26""),38,0)+VLOOKUP(C99,IMPORTRANGE(""https://docs.google.com/spreadsheets/d/1bYzf4ItZuOkngvwj"&amp;"v6KE7rQwu8zocnnv24ijoZh_CLs/edit?gid=53702207#gid=53702207"",""SCHEDULE_HSP_JAN26""),39,0)"),0)</f>
        <v>0</v>
      </c>
      <c r="AA99" s="61">
        <f ca="1">IFERROR(__xludf.DUMMYFUNCTION("VLOOKUP(C99,IMPORTRANGE(""https://docs.google.com/spreadsheets/d/1bYzf4ItZuOkngvwjv6KE7rQwu8zocnnv24ijoZh_CLs/edit?gid=53702207#gid=53702207"",""SCHEDULE_HSP_JAN26""),40,0)"),0)</f>
        <v>0</v>
      </c>
      <c r="AB99" s="61">
        <f ca="1">IFERROR(__xludf.DUMMYFUNCTION("VLOOKUP(C99,IMPORTRANGE(""https://docs.google.com/spreadsheets/d/1bYzf4ItZuOkngvwjv6KE7rQwu8zocnnv24ijoZh_CLs/edit?gid=53702207#gid=53702207"",""SCHEDULE_HSP_JAN26""),41,0)"),0)</f>
        <v>0</v>
      </c>
      <c r="AC99" s="61">
        <f ca="1">IFERROR(__xludf.DUMMYFUNCTION("VLOOKUP(C99,IMPORTRANGE(""https://docs.google.com/spreadsheets/d/1bYzf4ItZuOkngvwjv6KE7rQwu8zocnnv24ijoZh_CLs/edit?gid=53702207#gid=53702207"",""SCHEDULE_HSP_JAN26""),42,0)"),0)</f>
        <v>0</v>
      </c>
      <c r="AD99" s="61"/>
      <c r="AE99" s="69">
        <f t="shared" ca="1" si="58"/>
        <v>0</v>
      </c>
      <c r="AF99" s="313">
        <v>468468</v>
      </c>
      <c r="AG99" s="313">
        <v>253500</v>
      </c>
      <c r="AH99" s="69">
        <v>0</v>
      </c>
      <c r="AI99" s="69">
        <v>0</v>
      </c>
      <c r="AJ99" s="69">
        <v>0</v>
      </c>
      <c r="AK99" s="69">
        <v>0</v>
      </c>
      <c r="AL99" s="69">
        <v>0</v>
      </c>
      <c r="AM99" s="69">
        <f t="shared" ca="1" si="59"/>
        <v>721968</v>
      </c>
      <c r="AN99" s="69">
        <f t="shared" ca="1" si="60"/>
        <v>5526808</v>
      </c>
      <c r="AO99" s="69">
        <f t="shared" ca="1" si="61"/>
        <v>44925.092777999991</v>
      </c>
      <c r="AP99" s="69">
        <f t="shared" ca="1" si="62"/>
        <v>5481882.907222</v>
      </c>
      <c r="AQ99" s="69">
        <f t="shared" ca="1" si="63"/>
        <v>5481882.907222</v>
      </c>
      <c r="AR99" s="314">
        <f t="shared" ca="1" si="64"/>
        <v>5481900</v>
      </c>
      <c r="AS99" s="72"/>
      <c r="AT99" s="73" t="s">
        <v>9</v>
      </c>
      <c r="AU99" s="61" t="s">
        <v>10</v>
      </c>
      <c r="AV99" s="69">
        <f t="shared" si="65"/>
        <v>5729876</v>
      </c>
      <c r="AW99" s="69">
        <f t="shared" ca="1" si="66"/>
        <v>0</v>
      </c>
      <c r="AX99" s="69">
        <f t="shared" ca="1" si="67"/>
        <v>0</v>
      </c>
      <c r="AY99" s="69">
        <v>0</v>
      </c>
      <c r="AZ99" s="69">
        <f t="shared" si="68"/>
        <v>13751.702399999998</v>
      </c>
      <c r="BA99" s="69">
        <f t="shared" si="69"/>
        <v>17189.628000000001</v>
      </c>
      <c r="BB99" s="69">
        <f t="shared" si="70"/>
        <v>229195.04</v>
      </c>
      <c r="BC99" s="69">
        <f t="shared" ca="1" si="71"/>
        <v>5990012.3703999994</v>
      </c>
      <c r="BD99" s="74">
        <f ca="1">IF(AU99="C",VLOOKUP(BC99,TER!$J$4:$L$50,3,TRUE),IF(AU99="B",VLOOKUP(BC99,TER!$F$4:$H$50,3,TRUE),IF(AU99="A",VLOOKUP(BC99,TER!$B$4:$D$50,3,TRUE),"ERROR")))</f>
        <v>7.4999999999999997E-3</v>
      </c>
      <c r="BE99" s="69">
        <f t="shared" ca="1" si="72"/>
        <v>44925.092777999991</v>
      </c>
      <c r="BF99" s="113"/>
      <c r="BG99" s="113"/>
    </row>
    <row r="100" spans="1:59" ht="15.75" customHeight="1" outlineLevel="1">
      <c r="A100" s="113"/>
      <c r="B100" s="60">
        <v>11</v>
      </c>
      <c r="C100" s="68" t="s">
        <v>401</v>
      </c>
      <c r="D100" s="66" t="s">
        <v>402</v>
      </c>
      <c r="E100" s="67" t="s">
        <v>57</v>
      </c>
      <c r="F100" s="68" t="s">
        <v>1209</v>
      </c>
      <c r="G100" s="67" t="s">
        <v>31</v>
      </c>
      <c r="H100" s="66" t="s">
        <v>32</v>
      </c>
      <c r="I100" s="69">
        <f t="shared" si="51"/>
        <v>5729876</v>
      </c>
      <c r="J100" s="312">
        <v>316205</v>
      </c>
      <c r="K100" s="312">
        <v>202695</v>
      </c>
      <c r="L100" s="69">
        <f t="shared" si="75"/>
        <v>0</v>
      </c>
      <c r="M100" s="69">
        <f t="shared" ca="1" si="74"/>
        <v>0</v>
      </c>
      <c r="N100" s="61">
        <f ca="1">IFERROR(__xludf.DUMMYFUNCTION("VLOOKUP(C100,IMPORTRANGE(""https://docs.google.com/spreadsheets/d/1bYzf4ItZuOkngvwjv6KE7rQwu8zocnnv24ijoZh_CLs/edit?gid=53702207#gid=53702207"",""SCHEDULE_HSP_JAN26""),35,0)"),20)</f>
        <v>20</v>
      </c>
      <c r="O100" s="258">
        <f ca="1">IFERROR(__xludf.DUMMYFUNCTION("VLOOKUP(C100,IMPORTRANGE(""https://docs.google.com/spreadsheets/d/1bYzf4ItZuOkngvwjv6KE7rQwu8zocnnv24ijoZh_CLs/edit?gid=53702207#gid=53702207"",""SCHEDULE_HSP_JAN26""),34,0)"),20)</f>
        <v>20</v>
      </c>
      <c r="P100" s="69">
        <f t="shared" ca="1" si="53"/>
        <v>0</v>
      </c>
      <c r="Q100" s="71"/>
      <c r="R100" s="69">
        <f t="shared" si="54"/>
        <v>6248776</v>
      </c>
      <c r="S100" s="69">
        <f t="shared" si="55"/>
        <v>6248776</v>
      </c>
      <c r="T100" s="69">
        <v>0</v>
      </c>
      <c r="U100" s="19">
        <v>196400</v>
      </c>
      <c r="V100" s="125">
        <f ca="1">IFERROR(__xludf.DUMMYFUNCTION("VLOOKUP(C100,IMPORTRANGE(""https://docs.google.com/spreadsheets/d/1bYzf4ItZuOkngvwjv6KE7rQwu8zocnnv24ijoZh_CLs/edit?gid=53702207#gid=53702207"",""SCHEDULE_HSP_JAN26""),36,0)"),0)</f>
        <v>0</v>
      </c>
      <c r="W100" s="69">
        <f t="shared" ca="1" si="56"/>
        <v>0</v>
      </c>
      <c r="X100" s="69">
        <v>0</v>
      </c>
      <c r="Y100" s="69">
        <f t="shared" ca="1" si="57"/>
        <v>6248776</v>
      </c>
      <c r="Z100" s="125">
        <f ca="1">IFERROR(__xludf.DUMMYFUNCTION("VLOOKUP(C100,IMPORTRANGE(""https://docs.google.com/spreadsheets/d/1bYzf4ItZuOkngvwjv6KE7rQwu8zocnnv24ijoZh_CLs/edit?gid=53702207#gid=53702207"",""SCHEDULE_HSP_JAN26""),38,0)+VLOOKUP(C100,IMPORTRANGE(""https://docs.google.com/spreadsheets/d/1bYzf4ItZuOkngv"&amp;"wjv6KE7rQwu8zocnnv24ijoZh_CLs/edit?gid=53702207#gid=53702207"",""SCHEDULE_HSP_JAN26""),39,0)"),0)</f>
        <v>0</v>
      </c>
      <c r="AA100" s="61">
        <f ca="1">IFERROR(__xludf.DUMMYFUNCTION("VLOOKUP(C100,IMPORTRANGE(""https://docs.google.com/spreadsheets/d/1bYzf4ItZuOkngvwjv6KE7rQwu8zocnnv24ijoZh_CLs/edit?gid=53702207#gid=53702207"",""SCHEDULE_HSP_JAN26""),40,0)"),0)</f>
        <v>0</v>
      </c>
      <c r="AB100" s="61">
        <f ca="1">IFERROR(__xludf.DUMMYFUNCTION("VLOOKUP(C100,IMPORTRANGE(""https://docs.google.com/spreadsheets/d/1bYzf4ItZuOkngvwjv6KE7rQwu8zocnnv24ijoZh_CLs/edit?gid=53702207#gid=53702207"",""SCHEDULE_HSP_JAN26""),41,0)"),0)</f>
        <v>0</v>
      </c>
      <c r="AC100" s="61">
        <f ca="1">IFERROR(__xludf.DUMMYFUNCTION("VLOOKUP(C100,IMPORTRANGE(""https://docs.google.com/spreadsheets/d/1bYzf4ItZuOkngvwjv6KE7rQwu8zocnnv24ijoZh_CLs/edit?gid=53702207#gid=53702207"",""SCHEDULE_HSP_JAN26""),42,0)"),0)</f>
        <v>0</v>
      </c>
      <c r="AD100" s="61"/>
      <c r="AE100" s="69">
        <f t="shared" ca="1" si="58"/>
        <v>0</v>
      </c>
      <c r="AF100" s="313">
        <v>468468</v>
      </c>
      <c r="AG100" s="313">
        <v>253500</v>
      </c>
      <c r="AH100" s="69">
        <v>0</v>
      </c>
      <c r="AI100" s="69">
        <v>0</v>
      </c>
      <c r="AJ100" s="69">
        <v>0</v>
      </c>
      <c r="AK100" s="69">
        <v>0</v>
      </c>
      <c r="AL100" s="69">
        <v>0</v>
      </c>
      <c r="AM100" s="69">
        <f t="shared" ca="1" si="59"/>
        <v>721968</v>
      </c>
      <c r="AN100" s="69">
        <f t="shared" ca="1" si="60"/>
        <v>5526808</v>
      </c>
      <c r="AO100" s="69">
        <f t="shared" ca="1" si="61"/>
        <v>44925.092777999991</v>
      </c>
      <c r="AP100" s="69">
        <f t="shared" ca="1" si="62"/>
        <v>5481882.907222</v>
      </c>
      <c r="AQ100" s="69">
        <f t="shared" ca="1" si="63"/>
        <v>5481882.907222</v>
      </c>
      <c r="AR100" s="314">
        <f t="shared" ca="1" si="64"/>
        <v>5481900</v>
      </c>
      <c r="AS100" s="72"/>
      <c r="AT100" s="73" t="s">
        <v>9</v>
      </c>
      <c r="AU100" s="61" t="s">
        <v>10</v>
      </c>
      <c r="AV100" s="69">
        <f t="shared" si="65"/>
        <v>5729876</v>
      </c>
      <c r="AW100" s="69">
        <f t="shared" ca="1" si="66"/>
        <v>0</v>
      </c>
      <c r="AX100" s="69">
        <f t="shared" ca="1" si="67"/>
        <v>0</v>
      </c>
      <c r="AY100" s="69">
        <v>0</v>
      </c>
      <c r="AZ100" s="69">
        <f t="shared" si="68"/>
        <v>13751.702399999998</v>
      </c>
      <c r="BA100" s="69">
        <f t="shared" si="69"/>
        <v>17189.628000000001</v>
      </c>
      <c r="BB100" s="69">
        <f t="shared" si="70"/>
        <v>229195.04</v>
      </c>
      <c r="BC100" s="69">
        <f t="shared" ca="1" si="71"/>
        <v>5990012.3703999994</v>
      </c>
      <c r="BD100" s="74">
        <f ca="1">IF(AU100="C",VLOOKUP(BC100,TER!$J$4:$L$50,3,TRUE),IF(AU100="B",VLOOKUP(BC100,TER!$F$4:$H$50,3,TRUE),IF(AU100="A",VLOOKUP(BC100,TER!$B$4:$D$50,3,TRUE),"ERROR")))</f>
        <v>7.4999999999999997E-3</v>
      </c>
      <c r="BE100" s="69">
        <f t="shared" ca="1" si="72"/>
        <v>44925.092777999991</v>
      </c>
      <c r="BF100" s="113"/>
      <c r="BG100" s="113"/>
    </row>
    <row r="101" spans="1:59" ht="15.75" customHeight="1" outlineLevel="1">
      <c r="A101" s="113"/>
      <c r="B101" s="60">
        <v>12</v>
      </c>
      <c r="C101" s="68" t="s">
        <v>403</v>
      </c>
      <c r="D101" s="66" t="s">
        <v>404</v>
      </c>
      <c r="E101" s="67" t="s">
        <v>57</v>
      </c>
      <c r="F101" s="68" t="s">
        <v>1210</v>
      </c>
      <c r="G101" s="67" t="s">
        <v>31</v>
      </c>
      <c r="H101" s="66" t="s">
        <v>32</v>
      </c>
      <c r="I101" s="69">
        <f t="shared" si="51"/>
        <v>5729876</v>
      </c>
      <c r="J101" s="312">
        <v>316205</v>
      </c>
      <c r="K101" s="312">
        <v>202695</v>
      </c>
      <c r="L101" s="69">
        <f t="shared" si="75"/>
        <v>0</v>
      </c>
      <c r="M101" s="69">
        <f t="shared" ca="1" si="74"/>
        <v>0</v>
      </c>
      <c r="N101" s="61">
        <f ca="1">IFERROR(__xludf.DUMMYFUNCTION("VLOOKUP(C101,IMPORTRANGE(""https://docs.google.com/spreadsheets/d/1bYzf4ItZuOkngvwjv6KE7rQwu8zocnnv24ijoZh_CLs/edit?gid=53702207#gid=53702207"",""SCHEDULE_HSP_JAN26""),35,0)"),21)</f>
        <v>21</v>
      </c>
      <c r="O101" s="258">
        <f ca="1">IFERROR(__xludf.DUMMYFUNCTION("VLOOKUP(C101,IMPORTRANGE(""https://docs.google.com/spreadsheets/d/1bYzf4ItZuOkngvwjv6KE7rQwu8zocnnv24ijoZh_CLs/edit?gid=53702207#gid=53702207"",""SCHEDULE_HSP_JAN26""),34,0)"),21)</f>
        <v>21</v>
      </c>
      <c r="P101" s="69">
        <f t="shared" ca="1" si="53"/>
        <v>0</v>
      </c>
      <c r="Q101" s="71"/>
      <c r="R101" s="69">
        <f t="shared" si="54"/>
        <v>6248776</v>
      </c>
      <c r="S101" s="69">
        <f t="shared" si="55"/>
        <v>6248776</v>
      </c>
      <c r="T101" s="69">
        <v>0</v>
      </c>
      <c r="U101" s="19">
        <v>196400</v>
      </c>
      <c r="V101" s="125">
        <f ca="1">IFERROR(__xludf.DUMMYFUNCTION("VLOOKUP(C101,IMPORTRANGE(""https://docs.google.com/spreadsheets/d/1bYzf4ItZuOkngvwjv6KE7rQwu8zocnnv24ijoZh_CLs/edit?gid=53702207#gid=53702207"",""SCHEDULE_HSP_JAN26""),36,0)"),1)</f>
        <v>1</v>
      </c>
      <c r="W101" s="69">
        <f t="shared" ca="1" si="56"/>
        <v>196400</v>
      </c>
      <c r="X101" s="69">
        <v>0</v>
      </c>
      <c r="Y101" s="69">
        <f t="shared" ca="1" si="57"/>
        <v>6445176</v>
      </c>
      <c r="Z101" s="125">
        <f ca="1">IFERROR(__xludf.DUMMYFUNCTION("VLOOKUP(C101,IMPORTRANGE(""https://docs.google.com/spreadsheets/d/1bYzf4ItZuOkngvwjv6KE7rQwu8zocnnv24ijoZh_CLs/edit?gid=53702207#gid=53702207"",""SCHEDULE_HSP_JAN26""),38,0)+VLOOKUP(C101,IMPORTRANGE(""https://docs.google.com/spreadsheets/d/1bYzf4ItZuOkngv"&amp;"wjv6KE7rQwu8zocnnv24ijoZh_CLs/edit?gid=53702207#gid=53702207"",""SCHEDULE_HSP_JAN26""),39,0)"),0)</f>
        <v>0</v>
      </c>
      <c r="AA101" s="61">
        <f ca="1">IFERROR(__xludf.DUMMYFUNCTION("VLOOKUP(C101,IMPORTRANGE(""https://docs.google.com/spreadsheets/d/1bYzf4ItZuOkngvwjv6KE7rQwu8zocnnv24ijoZh_CLs/edit?gid=53702207#gid=53702207"",""SCHEDULE_HSP_JAN26""),40,0)"),0)</f>
        <v>0</v>
      </c>
      <c r="AB101" s="61">
        <f ca="1">IFERROR(__xludf.DUMMYFUNCTION("VLOOKUP(C101,IMPORTRANGE(""https://docs.google.com/spreadsheets/d/1bYzf4ItZuOkngvwjv6KE7rQwu8zocnnv24ijoZh_CLs/edit?gid=53702207#gid=53702207"",""SCHEDULE_HSP_JAN26""),41,0)"),0)</f>
        <v>0</v>
      </c>
      <c r="AC101" s="61">
        <f ca="1">IFERROR(__xludf.DUMMYFUNCTION("VLOOKUP(C101,IMPORTRANGE(""https://docs.google.com/spreadsheets/d/1bYzf4ItZuOkngvwjv6KE7rQwu8zocnnv24ijoZh_CLs/edit?gid=53702207#gid=53702207"",""SCHEDULE_HSP_JAN26""),42,0)"),0)</f>
        <v>0</v>
      </c>
      <c r="AD101" s="61"/>
      <c r="AE101" s="69">
        <f t="shared" ca="1" si="58"/>
        <v>0</v>
      </c>
      <c r="AF101" s="313">
        <v>468468</v>
      </c>
      <c r="AG101" s="313">
        <v>253500</v>
      </c>
      <c r="AH101" s="69">
        <v>0</v>
      </c>
      <c r="AI101" s="69">
        <v>0</v>
      </c>
      <c r="AJ101" s="69">
        <v>0</v>
      </c>
      <c r="AK101" s="69">
        <v>0</v>
      </c>
      <c r="AL101" s="69">
        <v>0</v>
      </c>
      <c r="AM101" s="69">
        <f t="shared" ca="1" si="59"/>
        <v>721968</v>
      </c>
      <c r="AN101" s="69">
        <f t="shared" ca="1" si="60"/>
        <v>5723208</v>
      </c>
      <c r="AO101" s="69">
        <f t="shared" ca="1" si="61"/>
        <v>46398.092777999991</v>
      </c>
      <c r="AP101" s="69">
        <f t="shared" ca="1" si="62"/>
        <v>5676809.907222</v>
      </c>
      <c r="AQ101" s="69">
        <f t="shared" ca="1" si="63"/>
        <v>5676809.907222</v>
      </c>
      <c r="AR101" s="314">
        <f t="shared" ca="1" si="64"/>
        <v>5676800</v>
      </c>
      <c r="AS101" s="72"/>
      <c r="AT101" s="73" t="s">
        <v>9</v>
      </c>
      <c r="AU101" s="61" t="s">
        <v>10</v>
      </c>
      <c r="AV101" s="69">
        <f t="shared" si="65"/>
        <v>5729876</v>
      </c>
      <c r="AW101" s="69">
        <f t="shared" ca="1" si="66"/>
        <v>0</v>
      </c>
      <c r="AX101" s="69">
        <f t="shared" ca="1" si="67"/>
        <v>196400</v>
      </c>
      <c r="AY101" s="69">
        <v>0</v>
      </c>
      <c r="AZ101" s="69">
        <f t="shared" si="68"/>
        <v>13751.702399999998</v>
      </c>
      <c r="BA101" s="69">
        <f t="shared" si="69"/>
        <v>17189.628000000001</v>
      </c>
      <c r="BB101" s="69">
        <f t="shared" si="70"/>
        <v>229195.04</v>
      </c>
      <c r="BC101" s="69">
        <f t="shared" ca="1" si="71"/>
        <v>6186412.3703999994</v>
      </c>
      <c r="BD101" s="74">
        <f ca="1">IF(AU101="C",VLOOKUP(BC101,TER!$J$4:$L$50,3,TRUE),IF(AU101="B",VLOOKUP(BC101,TER!$F$4:$H$50,3,TRUE),IF(AU101="A",VLOOKUP(BC101,TER!$B$4:$D$50,3,TRUE),"ERROR")))</f>
        <v>7.4999999999999997E-3</v>
      </c>
      <c r="BE101" s="69">
        <f t="shared" ca="1" si="72"/>
        <v>46398.092777999991</v>
      </c>
      <c r="BF101" s="113"/>
      <c r="BG101" s="113"/>
    </row>
    <row r="102" spans="1:59" ht="15.75" customHeight="1" outlineLevel="1">
      <c r="A102" s="113"/>
      <c r="B102" s="60">
        <v>13</v>
      </c>
      <c r="C102" s="68" t="s">
        <v>405</v>
      </c>
      <c r="D102" s="66" t="s">
        <v>406</v>
      </c>
      <c r="E102" s="67" t="s">
        <v>57</v>
      </c>
      <c r="F102" s="68" t="s">
        <v>1211</v>
      </c>
      <c r="G102" s="67" t="s">
        <v>31</v>
      </c>
      <c r="H102" s="66" t="s">
        <v>32</v>
      </c>
      <c r="I102" s="69">
        <f t="shared" si="51"/>
        <v>5729876</v>
      </c>
      <c r="J102" s="312">
        <v>316205</v>
      </c>
      <c r="K102" s="312">
        <v>202695</v>
      </c>
      <c r="L102" s="69">
        <f t="shared" si="75"/>
        <v>0</v>
      </c>
      <c r="M102" s="69">
        <f t="shared" ca="1" si="74"/>
        <v>0</v>
      </c>
      <c r="N102" s="61">
        <f ca="1">IFERROR(__xludf.DUMMYFUNCTION("VLOOKUP(C102,IMPORTRANGE(""https://docs.google.com/spreadsheets/d/1bYzf4ItZuOkngvwjv6KE7rQwu8zocnnv24ijoZh_CLs/edit?gid=53702207#gid=53702207"",""SCHEDULE_HSP_JAN26""),35,0)"),20)</f>
        <v>20</v>
      </c>
      <c r="O102" s="258">
        <f ca="1">IFERROR(__xludf.DUMMYFUNCTION("VLOOKUP(C102,IMPORTRANGE(""https://docs.google.com/spreadsheets/d/1bYzf4ItZuOkngvwjv6KE7rQwu8zocnnv24ijoZh_CLs/edit?gid=53702207#gid=53702207"",""SCHEDULE_HSP_JAN26""),34,0)"),20)</f>
        <v>20</v>
      </c>
      <c r="P102" s="69">
        <f t="shared" ca="1" si="53"/>
        <v>0</v>
      </c>
      <c r="Q102" s="71"/>
      <c r="R102" s="69">
        <f t="shared" si="54"/>
        <v>6248776</v>
      </c>
      <c r="S102" s="69">
        <f t="shared" si="55"/>
        <v>6248776</v>
      </c>
      <c r="T102" s="69">
        <v>0</v>
      </c>
      <c r="U102" s="19">
        <v>196400</v>
      </c>
      <c r="V102" s="125">
        <f ca="1">IFERROR(__xludf.DUMMYFUNCTION("VLOOKUP(C102,IMPORTRANGE(""https://docs.google.com/spreadsheets/d/1bYzf4ItZuOkngvwjv6KE7rQwu8zocnnv24ijoZh_CLs/edit?gid=53702207#gid=53702207"",""SCHEDULE_HSP_JAN26""),36,0)"),1)</f>
        <v>1</v>
      </c>
      <c r="W102" s="69">
        <f t="shared" ca="1" si="56"/>
        <v>196400</v>
      </c>
      <c r="X102" s="69">
        <v>0</v>
      </c>
      <c r="Y102" s="69">
        <f t="shared" ca="1" si="57"/>
        <v>6445176</v>
      </c>
      <c r="Z102" s="125">
        <f ca="1">IFERROR(__xludf.DUMMYFUNCTION("VLOOKUP(C102,IMPORTRANGE(""https://docs.google.com/spreadsheets/d/1bYzf4ItZuOkngvwjv6KE7rQwu8zocnnv24ijoZh_CLs/edit?gid=53702207#gid=53702207"",""SCHEDULE_HSP_JAN26""),38,0)+VLOOKUP(C102,IMPORTRANGE(""https://docs.google.com/spreadsheets/d/1bYzf4ItZuOkngv"&amp;"wjv6KE7rQwu8zocnnv24ijoZh_CLs/edit?gid=53702207#gid=53702207"",""SCHEDULE_HSP_JAN26""),39,0)"),0)</f>
        <v>0</v>
      </c>
      <c r="AA102" s="61">
        <f ca="1">IFERROR(__xludf.DUMMYFUNCTION("VLOOKUP(C102,IMPORTRANGE(""https://docs.google.com/spreadsheets/d/1bYzf4ItZuOkngvwjv6KE7rQwu8zocnnv24ijoZh_CLs/edit?gid=53702207#gid=53702207"",""SCHEDULE_HSP_JAN26""),40,0)"),0)</f>
        <v>0</v>
      </c>
      <c r="AB102" s="61">
        <f ca="1">IFERROR(__xludf.DUMMYFUNCTION("VLOOKUP(C102,IMPORTRANGE(""https://docs.google.com/spreadsheets/d/1bYzf4ItZuOkngvwjv6KE7rQwu8zocnnv24ijoZh_CLs/edit?gid=53702207#gid=53702207"",""SCHEDULE_HSP_JAN26""),41,0)"),0)</f>
        <v>0</v>
      </c>
      <c r="AC102" s="61">
        <f ca="1">IFERROR(__xludf.DUMMYFUNCTION("VLOOKUP(C102,IMPORTRANGE(""https://docs.google.com/spreadsheets/d/1bYzf4ItZuOkngvwjv6KE7rQwu8zocnnv24ijoZh_CLs/edit?gid=53702207#gid=53702207"",""SCHEDULE_HSP_JAN26""),42,0)"),0)</f>
        <v>0</v>
      </c>
      <c r="AD102" s="61"/>
      <c r="AE102" s="69">
        <f t="shared" ca="1" si="58"/>
        <v>0</v>
      </c>
      <c r="AF102" s="313">
        <v>468468</v>
      </c>
      <c r="AG102" s="313">
        <v>253500</v>
      </c>
      <c r="AH102" s="69">
        <v>0</v>
      </c>
      <c r="AI102" s="69">
        <v>0</v>
      </c>
      <c r="AJ102" s="69">
        <v>0</v>
      </c>
      <c r="AK102" s="69">
        <v>0</v>
      </c>
      <c r="AL102" s="69">
        <v>0</v>
      </c>
      <c r="AM102" s="69">
        <f t="shared" ca="1" si="59"/>
        <v>721968</v>
      </c>
      <c r="AN102" s="69">
        <f t="shared" ca="1" si="60"/>
        <v>5723208</v>
      </c>
      <c r="AO102" s="69">
        <f t="shared" ca="1" si="61"/>
        <v>0</v>
      </c>
      <c r="AP102" s="69">
        <f t="shared" ca="1" si="62"/>
        <v>5723208</v>
      </c>
      <c r="AQ102" s="69">
        <f t="shared" ca="1" si="63"/>
        <v>5723208</v>
      </c>
      <c r="AR102" s="314">
        <f t="shared" ca="1" si="64"/>
        <v>5723200</v>
      </c>
      <c r="AS102" s="72"/>
      <c r="AT102" s="73" t="s">
        <v>8</v>
      </c>
      <c r="AU102" s="61" t="s">
        <v>19</v>
      </c>
      <c r="AV102" s="69">
        <f t="shared" si="65"/>
        <v>5729876</v>
      </c>
      <c r="AW102" s="69">
        <f t="shared" ca="1" si="66"/>
        <v>0</v>
      </c>
      <c r="AX102" s="69">
        <f t="shared" ca="1" si="67"/>
        <v>196400</v>
      </c>
      <c r="AY102" s="69">
        <v>0</v>
      </c>
      <c r="AZ102" s="69">
        <f t="shared" si="68"/>
        <v>13751.702399999998</v>
      </c>
      <c r="BA102" s="69">
        <f t="shared" si="69"/>
        <v>17189.628000000001</v>
      </c>
      <c r="BB102" s="69">
        <f t="shared" si="70"/>
        <v>229195.04</v>
      </c>
      <c r="BC102" s="69">
        <f t="shared" ca="1" si="71"/>
        <v>6186412.3703999994</v>
      </c>
      <c r="BD102" s="74">
        <f ca="1">IF(AU102="C",VLOOKUP(BC102,TER!$J$4:$L$50,3,TRUE),IF(AU102="B",VLOOKUP(BC102,TER!$F$4:$H$50,3,TRUE),IF(AU102="A",VLOOKUP(BC102,TER!$B$4:$D$50,3,TRUE),"ERROR")))</f>
        <v>0</v>
      </c>
      <c r="BE102" s="69">
        <f t="shared" ca="1" si="72"/>
        <v>0</v>
      </c>
      <c r="BF102" s="113"/>
      <c r="BG102" s="113"/>
    </row>
    <row r="103" spans="1:59" ht="15.75" customHeight="1" outlineLevel="1">
      <c r="A103" s="113"/>
      <c r="B103" s="60">
        <v>14</v>
      </c>
      <c r="C103" s="68" t="s">
        <v>407</v>
      </c>
      <c r="D103" s="66" t="s">
        <v>408</v>
      </c>
      <c r="E103" s="67" t="s">
        <v>57</v>
      </c>
      <c r="F103" s="68" t="s">
        <v>1212</v>
      </c>
      <c r="G103" s="67" t="s">
        <v>31</v>
      </c>
      <c r="H103" s="66" t="s">
        <v>32</v>
      </c>
      <c r="I103" s="69">
        <f t="shared" si="51"/>
        <v>5729876</v>
      </c>
      <c r="J103" s="312">
        <v>316205</v>
      </c>
      <c r="K103" s="312">
        <v>202695</v>
      </c>
      <c r="L103" s="69">
        <f t="shared" si="75"/>
        <v>0</v>
      </c>
      <c r="M103" s="69">
        <f t="shared" ca="1" si="74"/>
        <v>0</v>
      </c>
      <c r="N103" s="61">
        <f ca="1">IFERROR(__xludf.DUMMYFUNCTION("VLOOKUP(C103,IMPORTRANGE(""https://docs.google.com/spreadsheets/d/1bYzf4ItZuOkngvwjv6KE7rQwu8zocnnv24ijoZh_CLs/edit?gid=53702207#gid=53702207"",""SCHEDULE_HSP_JAN26""),35,0)"),20)</f>
        <v>20</v>
      </c>
      <c r="O103" s="258">
        <f ca="1">IFERROR(__xludf.DUMMYFUNCTION("VLOOKUP(C103,IMPORTRANGE(""https://docs.google.com/spreadsheets/d/1bYzf4ItZuOkngvwjv6KE7rQwu8zocnnv24ijoZh_CLs/edit?gid=53702207#gid=53702207"",""SCHEDULE_HSP_JAN26""),34,0)"),20)</f>
        <v>20</v>
      </c>
      <c r="P103" s="69">
        <f t="shared" ca="1" si="53"/>
        <v>0</v>
      </c>
      <c r="Q103" s="71"/>
      <c r="R103" s="69">
        <f t="shared" si="54"/>
        <v>6248776</v>
      </c>
      <c r="S103" s="69">
        <f t="shared" si="55"/>
        <v>6248776</v>
      </c>
      <c r="T103" s="69">
        <v>0</v>
      </c>
      <c r="U103" s="19">
        <v>196400</v>
      </c>
      <c r="V103" s="125">
        <f ca="1">IFERROR(__xludf.DUMMYFUNCTION("VLOOKUP(C103,IMPORTRANGE(""https://docs.google.com/spreadsheets/d/1bYzf4ItZuOkngvwjv6KE7rQwu8zocnnv24ijoZh_CLs/edit?gid=53702207#gid=53702207"",""SCHEDULE_HSP_JAN26""),36,0)"),1)</f>
        <v>1</v>
      </c>
      <c r="W103" s="69">
        <f t="shared" ca="1" si="56"/>
        <v>196400</v>
      </c>
      <c r="X103" s="69">
        <v>0</v>
      </c>
      <c r="Y103" s="69">
        <f t="shared" ca="1" si="57"/>
        <v>6445176</v>
      </c>
      <c r="Z103" s="125">
        <f ca="1">IFERROR(__xludf.DUMMYFUNCTION("VLOOKUP(C103,IMPORTRANGE(""https://docs.google.com/spreadsheets/d/1bYzf4ItZuOkngvwjv6KE7rQwu8zocnnv24ijoZh_CLs/edit?gid=53702207#gid=53702207"",""SCHEDULE_HSP_JAN26""),38,0)+VLOOKUP(C103,IMPORTRANGE(""https://docs.google.com/spreadsheets/d/1bYzf4ItZuOkngv"&amp;"wjv6KE7rQwu8zocnnv24ijoZh_CLs/edit?gid=53702207#gid=53702207"",""SCHEDULE_HSP_JAN26""),39,0)"),0)</f>
        <v>0</v>
      </c>
      <c r="AA103" s="61">
        <f ca="1">IFERROR(__xludf.DUMMYFUNCTION("VLOOKUP(C103,IMPORTRANGE(""https://docs.google.com/spreadsheets/d/1bYzf4ItZuOkngvwjv6KE7rQwu8zocnnv24ijoZh_CLs/edit?gid=53702207#gid=53702207"",""SCHEDULE_HSP_JAN26""),40,0)"),0)</f>
        <v>0</v>
      </c>
      <c r="AB103" s="61">
        <f ca="1">IFERROR(__xludf.DUMMYFUNCTION("VLOOKUP(C103,IMPORTRANGE(""https://docs.google.com/spreadsheets/d/1bYzf4ItZuOkngvwjv6KE7rQwu8zocnnv24ijoZh_CLs/edit?gid=53702207#gid=53702207"",""SCHEDULE_HSP_JAN26""),41,0)"),0)</f>
        <v>0</v>
      </c>
      <c r="AC103" s="61">
        <f ca="1">IFERROR(__xludf.DUMMYFUNCTION("VLOOKUP(C103,IMPORTRANGE(""https://docs.google.com/spreadsheets/d/1bYzf4ItZuOkngvwjv6KE7rQwu8zocnnv24ijoZh_CLs/edit?gid=53702207#gid=53702207"",""SCHEDULE_HSP_JAN26""),42,0)"),0)</f>
        <v>0</v>
      </c>
      <c r="AD103" s="61"/>
      <c r="AE103" s="69">
        <f t="shared" ca="1" si="58"/>
        <v>0</v>
      </c>
      <c r="AF103" s="313">
        <v>468468</v>
      </c>
      <c r="AG103" s="313">
        <v>253500</v>
      </c>
      <c r="AH103" s="69">
        <v>0</v>
      </c>
      <c r="AI103" s="69">
        <v>0</v>
      </c>
      <c r="AJ103" s="69">
        <v>0</v>
      </c>
      <c r="AK103" s="69">
        <v>0</v>
      </c>
      <c r="AL103" s="69">
        <v>0</v>
      </c>
      <c r="AM103" s="69">
        <f t="shared" ca="1" si="59"/>
        <v>721968</v>
      </c>
      <c r="AN103" s="69">
        <f t="shared" ca="1" si="60"/>
        <v>5723208</v>
      </c>
      <c r="AO103" s="69">
        <f t="shared" ca="1" si="61"/>
        <v>46398.092777999991</v>
      </c>
      <c r="AP103" s="69">
        <f t="shared" ca="1" si="62"/>
        <v>5676809.907222</v>
      </c>
      <c r="AQ103" s="69">
        <f t="shared" ca="1" si="63"/>
        <v>5676809.907222</v>
      </c>
      <c r="AR103" s="314">
        <f t="shared" ca="1" si="64"/>
        <v>5676800</v>
      </c>
      <c r="AS103" s="72"/>
      <c r="AT103" s="73" t="s">
        <v>9</v>
      </c>
      <c r="AU103" s="61" t="s">
        <v>10</v>
      </c>
      <c r="AV103" s="69">
        <f t="shared" si="65"/>
        <v>5729876</v>
      </c>
      <c r="AW103" s="69">
        <f t="shared" ca="1" si="66"/>
        <v>0</v>
      </c>
      <c r="AX103" s="69">
        <f t="shared" ca="1" si="67"/>
        <v>196400</v>
      </c>
      <c r="AY103" s="69">
        <v>0</v>
      </c>
      <c r="AZ103" s="69">
        <f t="shared" si="68"/>
        <v>13751.702399999998</v>
      </c>
      <c r="BA103" s="69">
        <f t="shared" si="69"/>
        <v>17189.628000000001</v>
      </c>
      <c r="BB103" s="69">
        <f t="shared" si="70"/>
        <v>229195.04</v>
      </c>
      <c r="BC103" s="69">
        <f t="shared" ca="1" si="71"/>
        <v>6186412.3703999994</v>
      </c>
      <c r="BD103" s="74">
        <f ca="1">IF(AU103="C",VLOOKUP(BC103,TER!$J$4:$L$50,3,TRUE),IF(AU103="B",VLOOKUP(BC103,TER!$F$4:$H$50,3,TRUE),IF(AU103="A",VLOOKUP(BC103,TER!$B$4:$D$50,3,TRUE),"ERROR")))</f>
        <v>7.4999999999999997E-3</v>
      </c>
      <c r="BE103" s="69">
        <f t="shared" ca="1" si="72"/>
        <v>46398.092777999991</v>
      </c>
      <c r="BF103" s="113"/>
      <c r="BG103" s="113"/>
    </row>
    <row r="104" spans="1:59" ht="15.75" customHeight="1" outlineLevel="1">
      <c r="A104" s="113"/>
      <c r="B104" s="60">
        <v>15</v>
      </c>
      <c r="C104" s="276" t="s">
        <v>409</v>
      </c>
      <c r="D104" s="66" t="s">
        <v>410</v>
      </c>
      <c r="E104" s="67" t="s">
        <v>57</v>
      </c>
      <c r="F104" s="68" t="s">
        <v>1213</v>
      </c>
      <c r="G104" s="67" t="s">
        <v>31</v>
      </c>
      <c r="H104" s="66" t="s">
        <v>32</v>
      </c>
      <c r="I104" s="69">
        <f t="shared" si="51"/>
        <v>5729876</v>
      </c>
      <c r="J104" s="312">
        <v>316205</v>
      </c>
      <c r="K104" s="312">
        <v>202695</v>
      </c>
      <c r="L104" s="69">
        <f t="shared" si="75"/>
        <v>0</v>
      </c>
      <c r="M104" s="69">
        <f t="shared" ca="1" si="74"/>
        <v>0</v>
      </c>
      <c r="N104" s="61">
        <f ca="1">IFERROR(__xludf.DUMMYFUNCTION("VLOOKUP(C104,IMPORTRANGE(""https://docs.google.com/spreadsheets/d/1bYzf4ItZuOkngvwjv6KE7rQwu8zocnnv24ijoZh_CLs/edit?gid=53702207#gid=53702207"",""SCHEDULE_HSP_JAN26""),35,0)"),20)</f>
        <v>20</v>
      </c>
      <c r="O104" s="258">
        <f ca="1">IFERROR(__xludf.DUMMYFUNCTION("VLOOKUP(C104,IMPORTRANGE(""https://docs.google.com/spreadsheets/d/1bYzf4ItZuOkngvwjv6KE7rQwu8zocnnv24ijoZh_CLs/edit?gid=53702207#gid=53702207"",""SCHEDULE_HSP_JAN26""),34,0)"),20)</f>
        <v>20</v>
      </c>
      <c r="P104" s="69">
        <f t="shared" ca="1" si="53"/>
        <v>0</v>
      </c>
      <c r="Q104" s="71"/>
      <c r="R104" s="69">
        <f t="shared" si="54"/>
        <v>6248776</v>
      </c>
      <c r="S104" s="69">
        <f t="shared" si="55"/>
        <v>6248776</v>
      </c>
      <c r="T104" s="69">
        <v>0</v>
      </c>
      <c r="U104" s="19">
        <v>196400</v>
      </c>
      <c r="V104" s="125">
        <f ca="1">IFERROR(__xludf.DUMMYFUNCTION("VLOOKUP(C104,IMPORTRANGE(""https://docs.google.com/spreadsheets/d/1bYzf4ItZuOkngvwjv6KE7rQwu8zocnnv24ijoZh_CLs/edit?gid=53702207#gid=53702207"",""SCHEDULE_HSP_JAN26""),36,0)"),0)</f>
        <v>0</v>
      </c>
      <c r="W104" s="69">
        <f t="shared" ca="1" si="56"/>
        <v>0</v>
      </c>
      <c r="X104" s="69">
        <v>0</v>
      </c>
      <c r="Y104" s="69">
        <f t="shared" ca="1" si="57"/>
        <v>6248776</v>
      </c>
      <c r="Z104" s="125">
        <f ca="1">IFERROR(__xludf.DUMMYFUNCTION("VLOOKUP(C104,IMPORTRANGE(""https://docs.google.com/spreadsheets/d/1bYzf4ItZuOkngvwjv6KE7rQwu8zocnnv24ijoZh_CLs/edit?gid=53702207#gid=53702207"",""SCHEDULE_HSP_JAN26""),38,0)+VLOOKUP(C104,IMPORTRANGE(""https://docs.google.com/spreadsheets/d/1bYzf4ItZuOkngv"&amp;"wjv6KE7rQwu8zocnnv24ijoZh_CLs/edit?gid=53702207#gid=53702207"",""SCHEDULE_HSP_JAN26""),39,0)"),0)</f>
        <v>0</v>
      </c>
      <c r="AA104" s="61">
        <f ca="1">IFERROR(__xludf.DUMMYFUNCTION("VLOOKUP(C104,IMPORTRANGE(""https://docs.google.com/spreadsheets/d/1bYzf4ItZuOkngvwjv6KE7rQwu8zocnnv24ijoZh_CLs/edit?gid=53702207#gid=53702207"",""SCHEDULE_HSP_JAN26""),40,0)"),0)</f>
        <v>0</v>
      </c>
      <c r="AB104" s="61">
        <f ca="1">IFERROR(__xludf.DUMMYFUNCTION("VLOOKUP(C104,IMPORTRANGE(""https://docs.google.com/spreadsheets/d/1bYzf4ItZuOkngvwjv6KE7rQwu8zocnnv24ijoZh_CLs/edit?gid=53702207#gid=53702207"",""SCHEDULE_HSP_JAN26""),41,0)"),0)</f>
        <v>0</v>
      </c>
      <c r="AC104" s="61">
        <f ca="1">IFERROR(__xludf.DUMMYFUNCTION("VLOOKUP(C104,IMPORTRANGE(""https://docs.google.com/spreadsheets/d/1bYzf4ItZuOkngvwjv6KE7rQwu8zocnnv24ijoZh_CLs/edit?gid=53702207#gid=53702207"",""SCHEDULE_HSP_JAN26""),42,0)"),0)</f>
        <v>0</v>
      </c>
      <c r="AD104" s="61"/>
      <c r="AE104" s="69">
        <f t="shared" ca="1" si="58"/>
        <v>0</v>
      </c>
      <c r="AF104" s="313">
        <v>468468</v>
      </c>
      <c r="AG104" s="313">
        <v>253500</v>
      </c>
      <c r="AH104" s="69">
        <v>0</v>
      </c>
      <c r="AI104" s="69">
        <v>0</v>
      </c>
      <c r="AJ104" s="69">
        <v>0</v>
      </c>
      <c r="AK104" s="69">
        <v>0</v>
      </c>
      <c r="AL104" s="69">
        <v>0</v>
      </c>
      <c r="AM104" s="69">
        <f t="shared" ca="1" si="59"/>
        <v>721968</v>
      </c>
      <c r="AN104" s="69">
        <f t="shared" ca="1" si="60"/>
        <v>5526808</v>
      </c>
      <c r="AO104" s="69">
        <f t="shared" ca="1" si="61"/>
        <v>44925.092777999991</v>
      </c>
      <c r="AP104" s="69">
        <f t="shared" ca="1" si="62"/>
        <v>5481882.907222</v>
      </c>
      <c r="AQ104" s="69">
        <f t="shared" ca="1" si="63"/>
        <v>5481882.907222</v>
      </c>
      <c r="AR104" s="314">
        <f t="shared" ca="1" si="64"/>
        <v>5481900</v>
      </c>
      <c r="AS104" s="72"/>
      <c r="AT104" s="73" t="s">
        <v>9</v>
      </c>
      <c r="AU104" s="61" t="s">
        <v>10</v>
      </c>
      <c r="AV104" s="69">
        <f t="shared" si="65"/>
        <v>5729876</v>
      </c>
      <c r="AW104" s="69">
        <f t="shared" ca="1" si="66"/>
        <v>0</v>
      </c>
      <c r="AX104" s="69">
        <f t="shared" ca="1" si="67"/>
        <v>0</v>
      </c>
      <c r="AY104" s="69">
        <v>0</v>
      </c>
      <c r="AZ104" s="69">
        <f t="shared" si="68"/>
        <v>13751.702399999998</v>
      </c>
      <c r="BA104" s="69">
        <f t="shared" si="69"/>
        <v>17189.628000000001</v>
      </c>
      <c r="BB104" s="69">
        <f t="shared" si="70"/>
        <v>229195.04</v>
      </c>
      <c r="BC104" s="69">
        <f t="shared" ca="1" si="71"/>
        <v>5990012.3703999994</v>
      </c>
      <c r="BD104" s="74">
        <f ca="1">IF(AU104="C",VLOOKUP(BC104,TER!$J$4:$L$50,3,TRUE),IF(AU104="B",VLOOKUP(BC104,TER!$F$4:$H$50,3,TRUE),IF(AU104="A",VLOOKUP(BC104,TER!$B$4:$D$50,3,TRUE),"ERROR")))</f>
        <v>7.4999999999999997E-3</v>
      </c>
      <c r="BE104" s="69">
        <f t="shared" ca="1" si="72"/>
        <v>44925.092777999991</v>
      </c>
      <c r="BF104" s="113"/>
      <c r="BG104" s="113"/>
    </row>
    <row r="105" spans="1:59" ht="15.75" customHeight="1" outlineLevel="1">
      <c r="A105" s="113"/>
      <c r="B105" s="60">
        <v>16</v>
      </c>
      <c r="C105" s="68" t="s">
        <v>411</v>
      </c>
      <c r="D105" s="66" t="s">
        <v>412</v>
      </c>
      <c r="E105" s="67" t="s">
        <v>57</v>
      </c>
      <c r="F105" s="68" t="s">
        <v>1214</v>
      </c>
      <c r="G105" s="67" t="s">
        <v>31</v>
      </c>
      <c r="H105" s="66" t="s">
        <v>32</v>
      </c>
      <c r="I105" s="69">
        <f t="shared" si="51"/>
        <v>5729876</v>
      </c>
      <c r="J105" s="312">
        <v>316205</v>
      </c>
      <c r="K105" s="312">
        <v>202695</v>
      </c>
      <c r="L105" s="69">
        <f t="shared" si="75"/>
        <v>0</v>
      </c>
      <c r="M105" s="69">
        <f t="shared" ca="1" si="74"/>
        <v>0</v>
      </c>
      <c r="N105" s="61">
        <f ca="1">IFERROR(__xludf.DUMMYFUNCTION("VLOOKUP(C105,IMPORTRANGE(""https://docs.google.com/spreadsheets/d/1bYzf4ItZuOkngvwjv6KE7rQwu8zocnnv24ijoZh_CLs/edit?gid=53702207#gid=53702207"",""SCHEDULE_HSP_JAN26""),35,0)"),20)</f>
        <v>20</v>
      </c>
      <c r="O105" s="258">
        <f ca="1">IFERROR(__xludf.DUMMYFUNCTION("VLOOKUP(C105,IMPORTRANGE(""https://docs.google.com/spreadsheets/d/1bYzf4ItZuOkngvwjv6KE7rQwu8zocnnv24ijoZh_CLs/edit?gid=53702207#gid=53702207"",""SCHEDULE_HSP_JAN26""),34,0)"),20)</f>
        <v>20</v>
      </c>
      <c r="P105" s="69">
        <f t="shared" ca="1" si="53"/>
        <v>0</v>
      </c>
      <c r="Q105" s="71"/>
      <c r="R105" s="69">
        <f t="shared" si="54"/>
        <v>6248776</v>
      </c>
      <c r="S105" s="69">
        <f t="shared" si="55"/>
        <v>6248776</v>
      </c>
      <c r="T105" s="69">
        <v>0</v>
      </c>
      <c r="U105" s="19">
        <v>196400</v>
      </c>
      <c r="V105" s="125">
        <f ca="1">IFERROR(__xludf.DUMMYFUNCTION("VLOOKUP(C105,IMPORTRANGE(""https://docs.google.com/spreadsheets/d/1bYzf4ItZuOkngvwjv6KE7rQwu8zocnnv24ijoZh_CLs/edit?gid=53702207#gid=53702207"",""SCHEDULE_HSP_JAN26""),36,0)"),0)</f>
        <v>0</v>
      </c>
      <c r="W105" s="69">
        <f t="shared" ca="1" si="56"/>
        <v>0</v>
      </c>
      <c r="X105" s="69">
        <v>0</v>
      </c>
      <c r="Y105" s="69">
        <f t="shared" ca="1" si="57"/>
        <v>6248776</v>
      </c>
      <c r="Z105" s="125">
        <f ca="1">IFERROR(__xludf.DUMMYFUNCTION("VLOOKUP(C105,IMPORTRANGE(""https://docs.google.com/spreadsheets/d/1bYzf4ItZuOkngvwjv6KE7rQwu8zocnnv24ijoZh_CLs/edit?gid=53702207#gid=53702207"",""SCHEDULE_HSP_JAN26""),38,0)+VLOOKUP(C105,IMPORTRANGE(""https://docs.google.com/spreadsheets/d/1bYzf4ItZuOkngv"&amp;"wjv6KE7rQwu8zocnnv24ijoZh_CLs/edit?gid=53702207#gid=53702207"",""SCHEDULE_HSP_JAN26""),39,0)"),0)</f>
        <v>0</v>
      </c>
      <c r="AA105" s="61">
        <f ca="1">IFERROR(__xludf.DUMMYFUNCTION("VLOOKUP(C105,IMPORTRANGE(""https://docs.google.com/spreadsheets/d/1bYzf4ItZuOkngvwjv6KE7rQwu8zocnnv24ijoZh_CLs/edit?gid=53702207#gid=53702207"",""SCHEDULE_HSP_JAN26""),40,0)"),0)</f>
        <v>0</v>
      </c>
      <c r="AB105" s="61">
        <f ca="1">IFERROR(__xludf.DUMMYFUNCTION("VLOOKUP(C105,IMPORTRANGE(""https://docs.google.com/spreadsheets/d/1bYzf4ItZuOkngvwjv6KE7rQwu8zocnnv24ijoZh_CLs/edit?gid=53702207#gid=53702207"",""SCHEDULE_HSP_JAN26""),41,0)"),0)</f>
        <v>0</v>
      </c>
      <c r="AC105" s="61">
        <f ca="1">IFERROR(__xludf.DUMMYFUNCTION("VLOOKUP(C105,IMPORTRANGE(""https://docs.google.com/spreadsheets/d/1bYzf4ItZuOkngvwjv6KE7rQwu8zocnnv24ijoZh_CLs/edit?gid=53702207#gid=53702207"",""SCHEDULE_HSP_JAN26""),42,0)"),0)</f>
        <v>0</v>
      </c>
      <c r="AD105" s="61"/>
      <c r="AE105" s="69">
        <f t="shared" ca="1" si="58"/>
        <v>0</v>
      </c>
      <c r="AF105" s="313">
        <v>468468</v>
      </c>
      <c r="AG105" s="313">
        <v>253500</v>
      </c>
      <c r="AH105" s="69">
        <v>0</v>
      </c>
      <c r="AI105" s="69">
        <v>0</v>
      </c>
      <c r="AJ105" s="69">
        <v>0</v>
      </c>
      <c r="AK105" s="69">
        <v>0</v>
      </c>
      <c r="AL105" s="69">
        <v>0</v>
      </c>
      <c r="AM105" s="69">
        <f t="shared" ca="1" si="59"/>
        <v>721968</v>
      </c>
      <c r="AN105" s="69">
        <f t="shared" ca="1" si="60"/>
        <v>5526808</v>
      </c>
      <c r="AO105" s="69">
        <f t="shared" ca="1" si="61"/>
        <v>0</v>
      </c>
      <c r="AP105" s="69">
        <f t="shared" ca="1" si="62"/>
        <v>5526808</v>
      </c>
      <c r="AQ105" s="69">
        <f t="shared" ca="1" si="63"/>
        <v>5526808</v>
      </c>
      <c r="AR105" s="314">
        <f t="shared" ca="1" si="64"/>
        <v>5526800</v>
      </c>
      <c r="AS105" s="72"/>
      <c r="AT105" s="73" t="s">
        <v>17</v>
      </c>
      <c r="AU105" s="61" t="s">
        <v>15</v>
      </c>
      <c r="AV105" s="69">
        <f t="shared" si="65"/>
        <v>5729876</v>
      </c>
      <c r="AW105" s="69">
        <f t="shared" ca="1" si="66"/>
        <v>0</v>
      </c>
      <c r="AX105" s="69">
        <f t="shared" ca="1" si="67"/>
        <v>0</v>
      </c>
      <c r="AY105" s="69">
        <v>0</v>
      </c>
      <c r="AZ105" s="69">
        <f t="shared" si="68"/>
        <v>13751.702399999998</v>
      </c>
      <c r="BA105" s="69">
        <f t="shared" si="69"/>
        <v>17189.628000000001</v>
      </c>
      <c r="BB105" s="69">
        <f t="shared" si="70"/>
        <v>229195.04</v>
      </c>
      <c r="BC105" s="69">
        <f t="shared" ca="1" si="71"/>
        <v>5990012.3703999994</v>
      </c>
      <c r="BD105" s="74">
        <f ca="1">IF(AU105="C",VLOOKUP(BC105,TER!$J$4:$L$50,3,TRUE),IF(AU105="B",VLOOKUP(BC105,TER!$F$4:$H$50,3,TRUE),IF(AU105="A",VLOOKUP(BC105,TER!$B$4:$D$50,3,TRUE),"ERROR")))</f>
        <v>0</v>
      </c>
      <c r="BE105" s="69">
        <f t="shared" ca="1" si="72"/>
        <v>0</v>
      </c>
      <c r="BF105" s="113"/>
      <c r="BG105" s="113"/>
    </row>
    <row r="106" spans="1:59" ht="15.75" customHeight="1" outlineLevel="1">
      <c r="A106" s="113"/>
      <c r="B106" s="60">
        <v>17</v>
      </c>
      <c r="C106" s="68" t="s">
        <v>413</v>
      </c>
      <c r="D106" s="66" t="s">
        <v>414</v>
      </c>
      <c r="E106" s="67" t="s">
        <v>57</v>
      </c>
      <c r="F106" s="68" t="s">
        <v>1215</v>
      </c>
      <c r="G106" s="67" t="s">
        <v>31</v>
      </c>
      <c r="H106" s="66" t="s">
        <v>32</v>
      </c>
      <c r="I106" s="69">
        <f t="shared" si="51"/>
        <v>5729876</v>
      </c>
      <c r="J106" s="312">
        <v>316205</v>
      </c>
      <c r="K106" s="312">
        <v>202695</v>
      </c>
      <c r="L106" s="69">
        <f t="shared" si="75"/>
        <v>0</v>
      </c>
      <c r="M106" s="69">
        <f t="shared" ca="1" si="74"/>
        <v>0</v>
      </c>
      <c r="N106" s="61">
        <f ca="1">IFERROR(__xludf.DUMMYFUNCTION("VLOOKUP(C106,IMPORTRANGE(""https://docs.google.com/spreadsheets/d/1bYzf4ItZuOkngvwjv6KE7rQwu8zocnnv24ijoZh_CLs/edit?gid=53702207#gid=53702207"",""SCHEDULE_HSP_JAN26""),35,0)"),20)</f>
        <v>20</v>
      </c>
      <c r="O106" s="258">
        <f ca="1">IFERROR(__xludf.DUMMYFUNCTION("VLOOKUP(C106,IMPORTRANGE(""https://docs.google.com/spreadsheets/d/1bYzf4ItZuOkngvwjv6KE7rQwu8zocnnv24ijoZh_CLs/edit?gid=53702207#gid=53702207"",""SCHEDULE_HSP_JAN26""),34,0)"),20)</f>
        <v>20</v>
      </c>
      <c r="P106" s="69">
        <f t="shared" ca="1" si="53"/>
        <v>0</v>
      </c>
      <c r="Q106" s="71"/>
      <c r="R106" s="69">
        <f t="shared" si="54"/>
        <v>6248776</v>
      </c>
      <c r="S106" s="69">
        <f t="shared" si="55"/>
        <v>6248776</v>
      </c>
      <c r="T106" s="69">
        <v>0</v>
      </c>
      <c r="U106" s="19">
        <v>196400</v>
      </c>
      <c r="V106" s="125">
        <f ca="1">IFERROR(__xludf.DUMMYFUNCTION("VLOOKUP(C106,IMPORTRANGE(""https://docs.google.com/spreadsheets/d/1bYzf4ItZuOkngvwjv6KE7rQwu8zocnnv24ijoZh_CLs/edit?gid=53702207#gid=53702207"",""SCHEDULE_HSP_JAN26""),36,0)"),0)</f>
        <v>0</v>
      </c>
      <c r="W106" s="69">
        <f t="shared" ca="1" si="56"/>
        <v>0</v>
      </c>
      <c r="X106" s="69">
        <v>0</v>
      </c>
      <c r="Y106" s="69">
        <f t="shared" ca="1" si="57"/>
        <v>6248776</v>
      </c>
      <c r="Z106" s="125">
        <f ca="1">IFERROR(__xludf.DUMMYFUNCTION("VLOOKUP(C106,IMPORTRANGE(""https://docs.google.com/spreadsheets/d/1bYzf4ItZuOkngvwjv6KE7rQwu8zocnnv24ijoZh_CLs/edit?gid=53702207#gid=53702207"",""SCHEDULE_HSP_JAN26""),38,0)+VLOOKUP(C106,IMPORTRANGE(""https://docs.google.com/spreadsheets/d/1bYzf4ItZuOkngv"&amp;"wjv6KE7rQwu8zocnnv24ijoZh_CLs/edit?gid=53702207#gid=53702207"",""SCHEDULE_HSP_JAN26""),39,0)"),0)</f>
        <v>0</v>
      </c>
      <c r="AA106" s="61">
        <f ca="1">IFERROR(__xludf.DUMMYFUNCTION("VLOOKUP(C106,IMPORTRANGE(""https://docs.google.com/spreadsheets/d/1bYzf4ItZuOkngvwjv6KE7rQwu8zocnnv24ijoZh_CLs/edit?gid=53702207#gid=53702207"",""SCHEDULE_HSP_JAN26""),40,0)"),0)</f>
        <v>0</v>
      </c>
      <c r="AB106" s="61">
        <f ca="1">IFERROR(__xludf.DUMMYFUNCTION("VLOOKUP(C106,IMPORTRANGE(""https://docs.google.com/spreadsheets/d/1bYzf4ItZuOkngvwjv6KE7rQwu8zocnnv24ijoZh_CLs/edit?gid=53702207#gid=53702207"",""SCHEDULE_HSP_JAN26""),41,0)"),0)</f>
        <v>0</v>
      </c>
      <c r="AC106" s="61">
        <f ca="1">IFERROR(__xludf.DUMMYFUNCTION("VLOOKUP(C106,IMPORTRANGE(""https://docs.google.com/spreadsheets/d/1bYzf4ItZuOkngvwjv6KE7rQwu8zocnnv24ijoZh_CLs/edit?gid=53702207#gid=53702207"",""SCHEDULE_HSP_JAN26""),42,0)"),0)</f>
        <v>0</v>
      </c>
      <c r="AD106" s="61"/>
      <c r="AE106" s="69">
        <f t="shared" ca="1" si="58"/>
        <v>0</v>
      </c>
      <c r="AF106" s="313">
        <v>468468</v>
      </c>
      <c r="AG106" s="313">
        <v>253500</v>
      </c>
      <c r="AH106" s="69">
        <v>0</v>
      </c>
      <c r="AI106" s="69">
        <v>0</v>
      </c>
      <c r="AJ106" s="69">
        <v>0</v>
      </c>
      <c r="AK106" s="69">
        <v>0</v>
      </c>
      <c r="AL106" s="69">
        <v>0</v>
      </c>
      <c r="AM106" s="69">
        <f t="shared" ca="1" si="59"/>
        <v>721968</v>
      </c>
      <c r="AN106" s="69">
        <f t="shared" ca="1" si="60"/>
        <v>5526808</v>
      </c>
      <c r="AO106" s="69">
        <f t="shared" ca="1" si="61"/>
        <v>44925.092777999991</v>
      </c>
      <c r="AP106" s="69">
        <f t="shared" ca="1" si="62"/>
        <v>5481882.907222</v>
      </c>
      <c r="AQ106" s="69">
        <f t="shared" ca="1" si="63"/>
        <v>5481882.907222</v>
      </c>
      <c r="AR106" s="314">
        <f t="shared" ca="1" si="64"/>
        <v>5481900</v>
      </c>
      <c r="AS106" s="72"/>
      <c r="AT106" s="73" t="s">
        <v>9</v>
      </c>
      <c r="AU106" s="61" t="s">
        <v>10</v>
      </c>
      <c r="AV106" s="69">
        <f t="shared" si="65"/>
        <v>5729876</v>
      </c>
      <c r="AW106" s="69">
        <f t="shared" ca="1" si="66"/>
        <v>0</v>
      </c>
      <c r="AX106" s="69">
        <f t="shared" ca="1" si="67"/>
        <v>0</v>
      </c>
      <c r="AY106" s="69">
        <v>0</v>
      </c>
      <c r="AZ106" s="69">
        <f t="shared" si="68"/>
        <v>13751.702399999998</v>
      </c>
      <c r="BA106" s="69">
        <f t="shared" si="69"/>
        <v>17189.628000000001</v>
      </c>
      <c r="BB106" s="69">
        <f t="shared" si="70"/>
        <v>229195.04</v>
      </c>
      <c r="BC106" s="69">
        <f t="shared" ca="1" si="71"/>
        <v>5990012.3703999994</v>
      </c>
      <c r="BD106" s="74">
        <f ca="1">IF(AU106="C",VLOOKUP(BC106,TER!$J$4:$L$50,3,TRUE),IF(AU106="B",VLOOKUP(BC106,TER!$F$4:$H$50,3,TRUE),IF(AU106="A",VLOOKUP(BC106,TER!$B$4:$D$50,3,TRUE),"ERROR")))</f>
        <v>7.4999999999999997E-3</v>
      </c>
      <c r="BE106" s="69">
        <f t="shared" ca="1" si="72"/>
        <v>44925.092777999991</v>
      </c>
      <c r="BF106" s="113"/>
      <c r="BG106" s="113"/>
    </row>
    <row r="107" spans="1:59" ht="15.75" customHeight="1" outlineLevel="1">
      <c r="A107" s="113"/>
      <c r="B107" s="60">
        <v>18</v>
      </c>
      <c r="C107" s="68" t="s">
        <v>39</v>
      </c>
      <c r="D107" s="66" t="s">
        <v>40</v>
      </c>
      <c r="E107" s="67" t="s">
        <v>57</v>
      </c>
      <c r="F107" s="68" t="s">
        <v>1216</v>
      </c>
      <c r="G107" s="67" t="s">
        <v>41</v>
      </c>
      <c r="H107" s="66" t="s">
        <v>32</v>
      </c>
      <c r="I107" s="69">
        <f t="shared" si="51"/>
        <v>5729876</v>
      </c>
      <c r="J107" s="312">
        <v>316205</v>
      </c>
      <c r="K107" s="312">
        <v>202695</v>
      </c>
      <c r="L107" s="69">
        <f t="shared" si="75"/>
        <v>0</v>
      </c>
      <c r="M107" s="69">
        <f t="shared" ca="1" si="74"/>
        <v>0</v>
      </c>
      <c r="N107" s="61">
        <f ca="1">IFERROR(__xludf.DUMMYFUNCTION("VLOOKUP(C107,IMPORTRANGE(""https://docs.google.com/spreadsheets/d/1bYzf4ItZuOkngvwjv6KE7rQwu8zocnnv24ijoZh_CLs/edit?gid=53702207#gid=53702207"",""SCHEDULE_HSP_JAN26""),35,0)"),10)</f>
        <v>10</v>
      </c>
      <c r="O107" s="258">
        <f ca="1">IFERROR(__xludf.DUMMYFUNCTION("VLOOKUP(C107,IMPORTRANGE(""https://docs.google.com/spreadsheets/d/1bYzf4ItZuOkngvwjv6KE7rQwu8zocnnv24ijoZh_CLs/edit?gid=53702207#gid=53702207"",""SCHEDULE_HSP_JAN26""),34,0)"),20)</f>
        <v>20</v>
      </c>
      <c r="P107" s="69">
        <f t="shared" ca="1" si="53"/>
        <v>0</v>
      </c>
      <c r="Q107" s="71"/>
      <c r="R107" s="69">
        <f t="shared" si="54"/>
        <v>6248776</v>
      </c>
      <c r="S107" s="69">
        <f t="shared" si="55"/>
        <v>6248776</v>
      </c>
      <c r="T107" s="69">
        <v>0</v>
      </c>
      <c r="U107" s="19">
        <v>196400</v>
      </c>
      <c r="V107" s="125">
        <f ca="1">IFERROR(__xludf.DUMMYFUNCTION("VLOOKUP(C107,IMPORTRANGE(""https://docs.google.com/spreadsheets/d/1bYzf4ItZuOkngvwjv6KE7rQwu8zocnnv24ijoZh_CLs/edit?gid=53702207#gid=53702207"",""SCHEDULE_HSP_JAN26""),36,0)"),0)</f>
        <v>0</v>
      </c>
      <c r="W107" s="69">
        <f t="shared" ca="1" si="56"/>
        <v>0</v>
      </c>
      <c r="X107" s="69">
        <v>0</v>
      </c>
      <c r="Y107" s="69">
        <f t="shared" ca="1" si="57"/>
        <v>6248776</v>
      </c>
      <c r="Z107" s="125">
        <f ca="1">IFERROR(__xludf.DUMMYFUNCTION("VLOOKUP(C107,IMPORTRANGE(""https://docs.google.com/spreadsheets/d/1bYzf4ItZuOkngvwjv6KE7rQwu8zocnnv24ijoZh_CLs/edit?gid=53702207#gid=53702207"",""SCHEDULE_HSP_JAN26""),38,0)+VLOOKUP(C107,IMPORTRANGE(""https://docs.google.com/spreadsheets/d/1bYzf4ItZuOkngv"&amp;"wjv6KE7rQwu8zocnnv24ijoZh_CLs/edit?gid=53702207#gid=53702207"",""SCHEDULE_HSP_JAN26""),39,0)"),9)</f>
        <v>9</v>
      </c>
      <c r="AA107" s="61">
        <f ca="1">IFERROR(__xludf.DUMMYFUNCTION("VLOOKUP(C107,IMPORTRANGE(""https://docs.google.com/spreadsheets/d/1bYzf4ItZuOkngvwjv6KE7rQwu8zocnnv24ijoZh_CLs/edit?gid=53702207#gid=53702207"",""SCHEDULE_HSP_JAN26""),40,0)"),0)</f>
        <v>0</v>
      </c>
      <c r="AB107" s="61">
        <f ca="1">IFERROR(__xludf.DUMMYFUNCTION("VLOOKUP(C107,IMPORTRANGE(""https://docs.google.com/spreadsheets/d/1bYzf4ItZuOkngvwjv6KE7rQwu8zocnnv24ijoZh_CLs/edit?gid=53702207#gid=53702207"",""SCHEDULE_HSP_JAN26""),41,0)"),1)</f>
        <v>1</v>
      </c>
      <c r="AC107" s="61">
        <f ca="1">IFERROR(__xludf.DUMMYFUNCTION("VLOOKUP(C107,IMPORTRANGE(""https://docs.google.com/spreadsheets/d/1bYzf4ItZuOkngvwjv6KE7rQwu8zocnnv24ijoZh_CLs/edit?gid=53702207#gid=53702207"",""SCHEDULE_HSP_JAN26""),42,0)"),0)</f>
        <v>0</v>
      </c>
      <c r="AD107" s="61"/>
      <c r="AE107" s="69">
        <f t="shared" ca="1" si="58"/>
        <v>1767600</v>
      </c>
      <c r="AF107" s="313">
        <v>468468</v>
      </c>
      <c r="AG107" s="313">
        <v>253500</v>
      </c>
      <c r="AH107" s="69">
        <v>0</v>
      </c>
      <c r="AI107" s="69">
        <v>0</v>
      </c>
      <c r="AJ107" s="69">
        <v>0</v>
      </c>
      <c r="AK107" s="69">
        <v>0</v>
      </c>
      <c r="AL107" s="69">
        <v>0</v>
      </c>
      <c r="AM107" s="69">
        <f t="shared" ca="1" si="59"/>
        <v>2489568</v>
      </c>
      <c r="AN107" s="69">
        <f t="shared" ca="1" si="60"/>
        <v>3759208</v>
      </c>
      <c r="AO107" s="69">
        <f t="shared" ca="1" si="61"/>
        <v>44925.092777999991</v>
      </c>
      <c r="AP107" s="69">
        <f t="shared" ca="1" si="62"/>
        <v>3714282.907222</v>
      </c>
      <c r="AQ107" s="69">
        <f t="shared" ca="1" si="63"/>
        <v>3714282.907222</v>
      </c>
      <c r="AR107" s="314">
        <f t="shared" ca="1" si="64"/>
        <v>3714300</v>
      </c>
      <c r="AS107" s="72"/>
      <c r="AT107" s="73" t="s">
        <v>9</v>
      </c>
      <c r="AU107" s="61" t="s">
        <v>10</v>
      </c>
      <c r="AV107" s="69">
        <f t="shared" si="65"/>
        <v>5729876</v>
      </c>
      <c r="AW107" s="69">
        <f t="shared" ca="1" si="66"/>
        <v>0</v>
      </c>
      <c r="AX107" s="69">
        <f t="shared" ca="1" si="67"/>
        <v>0</v>
      </c>
      <c r="AY107" s="69">
        <v>0</v>
      </c>
      <c r="AZ107" s="69">
        <f t="shared" si="68"/>
        <v>13751.702399999998</v>
      </c>
      <c r="BA107" s="69">
        <f t="shared" si="69"/>
        <v>17189.628000000001</v>
      </c>
      <c r="BB107" s="69">
        <f t="shared" si="70"/>
        <v>229195.04</v>
      </c>
      <c r="BC107" s="69">
        <f t="shared" ca="1" si="71"/>
        <v>5990012.3703999994</v>
      </c>
      <c r="BD107" s="74">
        <f ca="1">IF(AU107="C",VLOOKUP(BC107,TER!$J$4:$L$50,3,TRUE),IF(AU107="B",VLOOKUP(BC107,TER!$F$4:$H$50,3,TRUE),IF(AU107="A",VLOOKUP(BC107,TER!$B$4:$D$50,3,TRUE),"ERROR")))</f>
        <v>7.4999999999999997E-3</v>
      </c>
      <c r="BE107" s="69">
        <f t="shared" ca="1" si="72"/>
        <v>44925.092777999991</v>
      </c>
      <c r="BF107" s="113"/>
      <c r="BG107" s="113"/>
    </row>
    <row r="108" spans="1:59" ht="15.75" customHeight="1" outlineLevel="1">
      <c r="A108" s="113"/>
      <c r="B108" s="60">
        <v>19</v>
      </c>
      <c r="C108" s="68" t="s">
        <v>415</v>
      </c>
      <c r="D108" s="66" t="s">
        <v>416</v>
      </c>
      <c r="E108" s="67" t="s">
        <v>57</v>
      </c>
      <c r="F108" s="68" t="s">
        <v>1217</v>
      </c>
      <c r="G108" s="67" t="s">
        <v>31</v>
      </c>
      <c r="H108" s="66" t="s">
        <v>32</v>
      </c>
      <c r="I108" s="69">
        <f t="shared" si="51"/>
        <v>5729876</v>
      </c>
      <c r="J108" s="312">
        <v>316205</v>
      </c>
      <c r="K108" s="312">
        <v>202695</v>
      </c>
      <c r="L108" s="69">
        <f t="shared" si="75"/>
        <v>0</v>
      </c>
      <c r="M108" s="69">
        <f t="shared" ca="1" si="74"/>
        <v>0</v>
      </c>
      <c r="N108" s="61">
        <f ca="1">IFERROR(__xludf.DUMMYFUNCTION("VLOOKUP(C108,IMPORTRANGE(""https://docs.google.com/spreadsheets/d/1bYzf4ItZuOkngvwjv6KE7rQwu8zocnnv24ijoZh_CLs/edit?gid=53702207#gid=53702207"",""SCHEDULE_HSP_JAN26""),35,0)"),21)</f>
        <v>21</v>
      </c>
      <c r="O108" s="258">
        <f ca="1">IFERROR(__xludf.DUMMYFUNCTION("VLOOKUP(C108,IMPORTRANGE(""https://docs.google.com/spreadsheets/d/1bYzf4ItZuOkngvwjv6KE7rQwu8zocnnv24ijoZh_CLs/edit?gid=53702207#gid=53702207"",""SCHEDULE_HSP_JAN26""),34,0)"),21)</f>
        <v>21</v>
      </c>
      <c r="P108" s="69">
        <f t="shared" ca="1" si="53"/>
        <v>0</v>
      </c>
      <c r="Q108" s="71"/>
      <c r="R108" s="69">
        <f t="shared" si="54"/>
        <v>6248776</v>
      </c>
      <c r="S108" s="69">
        <f t="shared" si="55"/>
        <v>6248776</v>
      </c>
      <c r="T108" s="69">
        <v>0</v>
      </c>
      <c r="U108" s="19">
        <v>196400</v>
      </c>
      <c r="V108" s="125">
        <f ca="1">IFERROR(__xludf.DUMMYFUNCTION("VLOOKUP(C108,IMPORTRANGE(""https://docs.google.com/spreadsheets/d/1bYzf4ItZuOkngvwjv6KE7rQwu8zocnnv24ijoZh_CLs/edit?gid=53702207#gid=53702207"",""SCHEDULE_HSP_JAN26""),36,0)"),0)</f>
        <v>0</v>
      </c>
      <c r="W108" s="69">
        <f t="shared" ca="1" si="56"/>
        <v>0</v>
      </c>
      <c r="X108" s="69">
        <v>0</v>
      </c>
      <c r="Y108" s="69">
        <f t="shared" ca="1" si="57"/>
        <v>6248776</v>
      </c>
      <c r="Z108" s="125">
        <f ca="1">IFERROR(__xludf.DUMMYFUNCTION("VLOOKUP(C108,IMPORTRANGE(""https://docs.google.com/spreadsheets/d/1bYzf4ItZuOkngvwjv6KE7rQwu8zocnnv24ijoZh_CLs/edit?gid=53702207#gid=53702207"",""SCHEDULE_HSP_JAN26""),38,0)+VLOOKUP(C108,IMPORTRANGE(""https://docs.google.com/spreadsheets/d/1bYzf4ItZuOkngv"&amp;"wjv6KE7rQwu8zocnnv24ijoZh_CLs/edit?gid=53702207#gid=53702207"",""SCHEDULE_HSP_JAN26""),39,0)"),0)</f>
        <v>0</v>
      </c>
      <c r="AA108" s="61">
        <f ca="1">IFERROR(__xludf.DUMMYFUNCTION("VLOOKUP(C108,IMPORTRANGE(""https://docs.google.com/spreadsheets/d/1bYzf4ItZuOkngvwjv6KE7rQwu8zocnnv24ijoZh_CLs/edit?gid=53702207#gid=53702207"",""SCHEDULE_HSP_JAN26""),40,0)"),0)</f>
        <v>0</v>
      </c>
      <c r="AB108" s="61">
        <f ca="1">IFERROR(__xludf.DUMMYFUNCTION("VLOOKUP(C108,IMPORTRANGE(""https://docs.google.com/spreadsheets/d/1bYzf4ItZuOkngvwjv6KE7rQwu8zocnnv24ijoZh_CLs/edit?gid=53702207#gid=53702207"",""SCHEDULE_HSP_JAN26""),41,0)"),0)</f>
        <v>0</v>
      </c>
      <c r="AC108" s="61">
        <f ca="1">IFERROR(__xludf.DUMMYFUNCTION("VLOOKUP(C108,IMPORTRANGE(""https://docs.google.com/spreadsheets/d/1bYzf4ItZuOkngvwjv6KE7rQwu8zocnnv24ijoZh_CLs/edit?gid=53702207#gid=53702207"",""SCHEDULE_HSP_JAN26""),42,0)"),0)</f>
        <v>0</v>
      </c>
      <c r="AD108" s="61"/>
      <c r="AE108" s="69">
        <f t="shared" ca="1" si="58"/>
        <v>0</v>
      </c>
      <c r="AF108" s="313">
        <v>468468</v>
      </c>
      <c r="AG108" s="313">
        <v>253500</v>
      </c>
      <c r="AH108" s="69">
        <v>0</v>
      </c>
      <c r="AI108" s="69">
        <v>0</v>
      </c>
      <c r="AJ108" s="69">
        <v>0</v>
      </c>
      <c r="AK108" s="69">
        <v>0</v>
      </c>
      <c r="AL108" s="69">
        <v>0</v>
      </c>
      <c r="AM108" s="69">
        <f t="shared" ca="1" si="59"/>
        <v>721968</v>
      </c>
      <c r="AN108" s="69">
        <f t="shared" ca="1" si="60"/>
        <v>5526808</v>
      </c>
      <c r="AO108" s="69">
        <f t="shared" ca="1" si="61"/>
        <v>44925.092777999991</v>
      </c>
      <c r="AP108" s="69">
        <f t="shared" ca="1" si="62"/>
        <v>5481882.907222</v>
      </c>
      <c r="AQ108" s="69">
        <f t="shared" ca="1" si="63"/>
        <v>5481882.907222</v>
      </c>
      <c r="AR108" s="314">
        <f t="shared" ca="1" si="64"/>
        <v>5481900</v>
      </c>
      <c r="AS108" s="72"/>
      <c r="AT108" s="73" t="s">
        <v>9</v>
      </c>
      <c r="AU108" s="61" t="s">
        <v>10</v>
      </c>
      <c r="AV108" s="69">
        <f t="shared" si="65"/>
        <v>5729876</v>
      </c>
      <c r="AW108" s="69">
        <f t="shared" ca="1" si="66"/>
        <v>0</v>
      </c>
      <c r="AX108" s="69">
        <f t="shared" ca="1" si="67"/>
        <v>0</v>
      </c>
      <c r="AY108" s="69">
        <v>0</v>
      </c>
      <c r="AZ108" s="69">
        <f t="shared" si="68"/>
        <v>13751.702399999998</v>
      </c>
      <c r="BA108" s="69">
        <f t="shared" si="69"/>
        <v>17189.628000000001</v>
      </c>
      <c r="BB108" s="69">
        <f t="shared" si="70"/>
        <v>229195.04</v>
      </c>
      <c r="BC108" s="69">
        <f t="shared" ca="1" si="71"/>
        <v>5990012.3703999994</v>
      </c>
      <c r="BD108" s="74">
        <f ca="1">IF(AU108="C",VLOOKUP(BC108,TER!$J$4:$L$50,3,TRUE),IF(AU108="B",VLOOKUP(BC108,TER!$F$4:$H$50,3,TRUE),IF(AU108="A",VLOOKUP(BC108,TER!$B$4:$D$50,3,TRUE),"ERROR")))</f>
        <v>7.4999999999999997E-3</v>
      </c>
      <c r="BE108" s="69">
        <f t="shared" ca="1" si="72"/>
        <v>44925.092777999991</v>
      </c>
      <c r="BF108" s="113"/>
      <c r="BG108" s="113"/>
    </row>
    <row r="109" spans="1:59" ht="15.75" customHeight="1" outlineLevel="1">
      <c r="A109" s="113"/>
      <c r="B109" s="60">
        <v>20</v>
      </c>
      <c r="C109" s="68" t="s">
        <v>417</v>
      </c>
      <c r="D109" s="66" t="s">
        <v>418</v>
      </c>
      <c r="E109" s="67" t="s">
        <v>57</v>
      </c>
      <c r="F109" s="68" t="s">
        <v>1218</v>
      </c>
      <c r="G109" s="67" t="s">
        <v>31</v>
      </c>
      <c r="H109" s="66" t="s">
        <v>32</v>
      </c>
      <c r="I109" s="69">
        <f t="shared" si="51"/>
        <v>5729876</v>
      </c>
      <c r="J109" s="312">
        <v>316205</v>
      </c>
      <c r="K109" s="312">
        <v>202695</v>
      </c>
      <c r="L109" s="69">
        <f t="shared" si="75"/>
        <v>0</v>
      </c>
      <c r="M109" s="69">
        <f t="shared" ca="1" si="74"/>
        <v>0</v>
      </c>
      <c r="N109" s="61">
        <f ca="1">IFERROR(__xludf.DUMMYFUNCTION("VLOOKUP(C109,IMPORTRANGE(""https://docs.google.com/spreadsheets/d/1bYzf4ItZuOkngvwjv6KE7rQwu8zocnnv24ijoZh_CLs/edit?gid=53702207#gid=53702207"",""SCHEDULE_HSP_JAN26""),35,0)"),21)</f>
        <v>21</v>
      </c>
      <c r="O109" s="258">
        <f ca="1">IFERROR(__xludf.DUMMYFUNCTION("VLOOKUP(C109,IMPORTRANGE(""https://docs.google.com/spreadsheets/d/1bYzf4ItZuOkngvwjv6KE7rQwu8zocnnv24ijoZh_CLs/edit?gid=53702207#gid=53702207"",""SCHEDULE_HSP_JAN26""),34,0)"),21)</f>
        <v>21</v>
      </c>
      <c r="P109" s="69">
        <f t="shared" ca="1" si="53"/>
        <v>0</v>
      </c>
      <c r="Q109" s="71"/>
      <c r="R109" s="69">
        <f t="shared" si="54"/>
        <v>6248776</v>
      </c>
      <c r="S109" s="69">
        <f t="shared" si="55"/>
        <v>6248776</v>
      </c>
      <c r="T109" s="69">
        <v>0</v>
      </c>
      <c r="U109" s="19">
        <v>196400</v>
      </c>
      <c r="V109" s="125">
        <f ca="1">IFERROR(__xludf.DUMMYFUNCTION("VLOOKUP(C109,IMPORTRANGE(""https://docs.google.com/spreadsheets/d/1bYzf4ItZuOkngvwjv6KE7rQwu8zocnnv24ijoZh_CLs/edit?gid=53702207#gid=53702207"",""SCHEDULE_HSP_JAN26""),36,0)"),0)</f>
        <v>0</v>
      </c>
      <c r="W109" s="69">
        <f t="shared" ca="1" si="56"/>
        <v>0</v>
      </c>
      <c r="X109" s="69">
        <v>0</v>
      </c>
      <c r="Y109" s="69">
        <f t="shared" ca="1" si="57"/>
        <v>6248776</v>
      </c>
      <c r="Z109" s="125">
        <f ca="1">IFERROR(__xludf.DUMMYFUNCTION("VLOOKUP(C109,IMPORTRANGE(""https://docs.google.com/spreadsheets/d/1bYzf4ItZuOkngvwjv6KE7rQwu8zocnnv24ijoZh_CLs/edit?gid=53702207#gid=53702207"",""SCHEDULE_HSP_JAN26""),38,0)+VLOOKUP(C109,IMPORTRANGE(""https://docs.google.com/spreadsheets/d/1bYzf4ItZuOkngv"&amp;"wjv6KE7rQwu8zocnnv24ijoZh_CLs/edit?gid=53702207#gid=53702207"",""SCHEDULE_HSP_JAN26""),39,0)"),0)</f>
        <v>0</v>
      </c>
      <c r="AA109" s="61">
        <f ca="1">IFERROR(__xludf.DUMMYFUNCTION("VLOOKUP(C109,IMPORTRANGE(""https://docs.google.com/spreadsheets/d/1bYzf4ItZuOkngvwjv6KE7rQwu8zocnnv24ijoZh_CLs/edit?gid=53702207#gid=53702207"",""SCHEDULE_HSP_JAN26""),40,0)"),0)</f>
        <v>0</v>
      </c>
      <c r="AB109" s="61">
        <f ca="1">IFERROR(__xludf.DUMMYFUNCTION("VLOOKUP(C109,IMPORTRANGE(""https://docs.google.com/spreadsheets/d/1bYzf4ItZuOkngvwjv6KE7rQwu8zocnnv24ijoZh_CLs/edit?gid=53702207#gid=53702207"",""SCHEDULE_HSP_JAN26""),41,0)"),0)</f>
        <v>0</v>
      </c>
      <c r="AC109" s="61">
        <f ca="1">IFERROR(__xludf.DUMMYFUNCTION("VLOOKUP(C109,IMPORTRANGE(""https://docs.google.com/spreadsheets/d/1bYzf4ItZuOkngvwjv6KE7rQwu8zocnnv24ijoZh_CLs/edit?gid=53702207#gid=53702207"",""SCHEDULE_HSP_JAN26""),42,0)"),0)</f>
        <v>0</v>
      </c>
      <c r="AD109" s="61"/>
      <c r="AE109" s="69">
        <f t="shared" ca="1" si="58"/>
        <v>0</v>
      </c>
      <c r="AF109" s="313">
        <v>468468</v>
      </c>
      <c r="AG109" s="313">
        <v>253500</v>
      </c>
      <c r="AH109" s="69">
        <v>0</v>
      </c>
      <c r="AI109" s="69">
        <v>0</v>
      </c>
      <c r="AJ109" s="69">
        <v>0</v>
      </c>
      <c r="AK109" s="69">
        <v>0</v>
      </c>
      <c r="AL109" s="69">
        <v>0</v>
      </c>
      <c r="AM109" s="69">
        <f t="shared" ca="1" si="59"/>
        <v>721968</v>
      </c>
      <c r="AN109" s="69">
        <f t="shared" ca="1" si="60"/>
        <v>5526808</v>
      </c>
      <c r="AO109" s="69">
        <f t="shared" ca="1" si="61"/>
        <v>44925.092777999991</v>
      </c>
      <c r="AP109" s="69">
        <f t="shared" ca="1" si="62"/>
        <v>5481882.907222</v>
      </c>
      <c r="AQ109" s="69">
        <f t="shared" ca="1" si="63"/>
        <v>5481882.907222</v>
      </c>
      <c r="AR109" s="314">
        <f t="shared" ca="1" si="64"/>
        <v>5481900</v>
      </c>
      <c r="AS109" s="72"/>
      <c r="AT109" s="73" t="s">
        <v>13</v>
      </c>
      <c r="AU109" s="61" t="s">
        <v>10</v>
      </c>
      <c r="AV109" s="69">
        <f t="shared" si="65"/>
        <v>5729876</v>
      </c>
      <c r="AW109" s="69">
        <f t="shared" ca="1" si="66"/>
        <v>0</v>
      </c>
      <c r="AX109" s="69">
        <f t="shared" ca="1" si="67"/>
        <v>0</v>
      </c>
      <c r="AY109" s="69">
        <v>0</v>
      </c>
      <c r="AZ109" s="69">
        <f t="shared" si="68"/>
        <v>13751.702399999998</v>
      </c>
      <c r="BA109" s="69">
        <f t="shared" si="69"/>
        <v>17189.628000000001</v>
      </c>
      <c r="BB109" s="69">
        <f t="shared" si="70"/>
        <v>229195.04</v>
      </c>
      <c r="BC109" s="69">
        <f t="shared" ca="1" si="71"/>
        <v>5990012.3703999994</v>
      </c>
      <c r="BD109" s="74">
        <f ca="1">IF(AU109="C",VLOOKUP(BC109,TER!$J$4:$L$50,3,TRUE),IF(AU109="B",VLOOKUP(BC109,TER!$F$4:$H$50,3,TRUE),IF(AU109="A",VLOOKUP(BC109,TER!$B$4:$D$50,3,TRUE),"ERROR")))</f>
        <v>7.4999999999999997E-3</v>
      </c>
      <c r="BE109" s="69">
        <f t="shared" ca="1" si="72"/>
        <v>44925.092777999991</v>
      </c>
      <c r="BF109" s="113"/>
      <c r="BG109" s="113"/>
    </row>
    <row r="110" spans="1:59" ht="15.75" customHeight="1" outlineLevel="1">
      <c r="A110" s="113"/>
      <c r="B110" s="60">
        <v>21</v>
      </c>
      <c r="C110" s="68" t="s">
        <v>419</v>
      </c>
      <c r="D110" s="66" t="s">
        <v>420</v>
      </c>
      <c r="E110" s="67" t="s">
        <v>57</v>
      </c>
      <c r="F110" s="68" t="s">
        <v>1219</v>
      </c>
      <c r="G110" s="67" t="s">
        <v>31</v>
      </c>
      <c r="H110" s="66" t="s">
        <v>32</v>
      </c>
      <c r="I110" s="69">
        <f t="shared" si="51"/>
        <v>5729876</v>
      </c>
      <c r="J110" s="312">
        <v>316205</v>
      </c>
      <c r="K110" s="312">
        <v>202695</v>
      </c>
      <c r="L110" s="69">
        <f t="shared" si="75"/>
        <v>0</v>
      </c>
      <c r="M110" s="69">
        <f t="shared" ca="1" si="74"/>
        <v>0</v>
      </c>
      <c r="N110" s="61">
        <f ca="1">IFERROR(__xludf.DUMMYFUNCTION("VLOOKUP(C110,IMPORTRANGE(""https://docs.google.com/spreadsheets/d/1bYzf4ItZuOkngvwjv6KE7rQwu8zocnnv24ijoZh_CLs/edit?gid=53702207#gid=53702207"",""SCHEDULE_HSP_JAN26""),35,0)"),21)</f>
        <v>21</v>
      </c>
      <c r="O110" s="258">
        <f ca="1">IFERROR(__xludf.DUMMYFUNCTION("VLOOKUP(C110,IMPORTRANGE(""https://docs.google.com/spreadsheets/d/1bYzf4ItZuOkngvwjv6KE7rQwu8zocnnv24ijoZh_CLs/edit?gid=53702207#gid=53702207"",""SCHEDULE_HSP_JAN26""),34,0)"),21)</f>
        <v>21</v>
      </c>
      <c r="P110" s="69">
        <f t="shared" ca="1" si="53"/>
        <v>0</v>
      </c>
      <c r="Q110" s="71"/>
      <c r="R110" s="69">
        <f t="shared" si="54"/>
        <v>6248776</v>
      </c>
      <c r="S110" s="69">
        <f t="shared" si="55"/>
        <v>6248776</v>
      </c>
      <c r="T110" s="69">
        <v>0</v>
      </c>
      <c r="U110" s="19">
        <v>196400</v>
      </c>
      <c r="V110" s="125">
        <f ca="1">IFERROR(__xludf.DUMMYFUNCTION("VLOOKUP(C110,IMPORTRANGE(""https://docs.google.com/spreadsheets/d/1bYzf4ItZuOkngvwjv6KE7rQwu8zocnnv24ijoZh_CLs/edit?gid=53702207#gid=53702207"",""SCHEDULE_HSP_JAN26""),36,0)"),0)</f>
        <v>0</v>
      </c>
      <c r="W110" s="69">
        <f t="shared" ca="1" si="56"/>
        <v>0</v>
      </c>
      <c r="X110" s="69">
        <v>0</v>
      </c>
      <c r="Y110" s="69">
        <f t="shared" ca="1" si="57"/>
        <v>6248776</v>
      </c>
      <c r="Z110" s="125">
        <f ca="1">IFERROR(__xludf.DUMMYFUNCTION("VLOOKUP(C110,IMPORTRANGE(""https://docs.google.com/spreadsheets/d/1bYzf4ItZuOkngvwjv6KE7rQwu8zocnnv24ijoZh_CLs/edit?gid=53702207#gid=53702207"",""SCHEDULE_HSP_JAN26""),38,0)+VLOOKUP(C110,IMPORTRANGE(""https://docs.google.com/spreadsheets/d/1bYzf4ItZuOkngv"&amp;"wjv6KE7rQwu8zocnnv24ijoZh_CLs/edit?gid=53702207#gid=53702207"",""SCHEDULE_HSP_JAN26""),39,0)"),0)</f>
        <v>0</v>
      </c>
      <c r="AA110" s="61">
        <f ca="1">IFERROR(__xludf.DUMMYFUNCTION("VLOOKUP(C110,IMPORTRANGE(""https://docs.google.com/spreadsheets/d/1bYzf4ItZuOkngvwjv6KE7rQwu8zocnnv24ijoZh_CLs/edit?gid=53702207#gid=53702207"",""SCHEDULE_HSP_JAN26""),40,0)"),0)</f>
        <v>0</v>
      </c>
      <c r="AB110" s="61">
        <f ca="1">IFERROR(__xludf.DUMMYFUNCTION("VLOOKUP(C110,IMPORTRANGE(""https://docs.google.com/spreadsheets/d/1bYzf4ItZuOkngvwjv6KE7rQwu8zocnnv24ijoZh_CLs/edit?gid=53702207#gid=53702207"",""SCHEDULE_HSP_JAN26""),41,0)"),0)</f>
        <v>0</v>
      </c>
      <c r="AC110" s="61">
        <f ca="1">IFERROR(__xludf.DUMMYFUNCTION("VLOOKUP(C110,IMPORTRANGE(""https://docs.google.com/spreadsheets/d/1bYzf4ItZuOkngvwjv6KE7rQwu8zocnnv24ijoZh_CLs/edit?gid=53702207#gid=53702207"",""SCHEDULE_HSP_JAN26""),42,0)"),0)</f>
        <v>0</v>
      </c>
      <c r="AD110" s="61"/>
      <c r="AE110" s="69">
        <f t="shared" ca="1" si="58"/>
        <v>0</v>
      </c>
      <c r="AF110" s="313">
        <v>468468</v>
      </c>
      <c r="AG110" s="313">
        <v>253500</v>
      </c>
      <c r="AH110" s="69">
        <v>0</v>
      </c>
      <c r="AI110" s="69">
        <v>0</v>
      </c>
      <c r="AJ110" s="69">
        <v>0</v>
      </c>
      <c r="AK110" s="69">
        <v>0</v>
      </c>
      <c r="AL110" s="69">
        <v>0</v>
      </c>
      <c r="AM110" s="69">
        <f t="shared" ca="1" si="59"/>
        <v>721968</v>
      </c>
      <c r="AN110" s="69">
        <f t="shared" ca="1" si="60"/>
        <v>5526808</v>
      </c>
      <c r="AO110" s="69">
        <f t="shared" ca="1" si="61"/>
        <v>44925.092777999991</v>
      </c>
      <c r="AP110" s="69">
        <f t="shared" ca="1" si="62"/>
        <v>5481882.907222</v>
      </c>
      <c r="AQ110" s="69">
        <f t="shared" ca="1" si="63"/>
        <v>5481882.907222</v>
      </c>
      <c r="AR110" s="314">
        <f t="shared" ca="1" si="64"/>
        <v>5481900</v>
      </c>
      <c r="AS110" s="72"/>
      <c r="AT110" s="73" t="s">
        <v>9</v>
      </c>
      <c r="AU110" s="61" t="s">
        <v>10</v>
      </c>
      <c r="AV110" s="69">
        <f t="shared" si="65"/>
        <v>5729876</v>
      </c>
      <c r="AW110" s="69">
        <f t="shared" ca="1" si="66"/>
        <v>0</v>
      </c>
      <c r="AX110" s="69">
        <f t="shared" ca="1" si="67"/>
        <v>0</v>
      </c>
      <c r="AY110" s="69">
        <v>0</v>
      </c>
      <c r="AZ110" s="69">
        <f t="shared" si="68"/>
        <v>13751.702399999998</v>
      </c>
      <c r="BA110" s="69">
        <f t="shared" si="69"/>
        <v>17189.628000000001</v>
      </c>
      <c r="BB110" s="69">
        <f t="shared" si="70"/>
        <v>229195.04</v>
      </c>
      <c r="BC110" s="69">
        <f t="shared" ca="1" si="71"/>
        <v>5990012.3703999994</v>
      </c>
      <c r="BD110" s="74">
        <f ca="1">IF(AU110="C",VLOOKUP(BC110,TER!$J$4:$L$50,3,TRUE),IF(AU110="B",VLOOKUP(BC110,TER!$F$4:$H$50,3,TRUE),IF(AU110="A",VLOOKUP(BC110,TER!$B$4:$D$50,3,TRUE),"ERROR")))</f>
        <v>7.4999999999999997E-3</v>
      </c>
      <c r="BE110" s="69">
        <f t="shared" ca="1" si="72"/>
        <v>44925.092777999991</v>
      </c>
      <c r="BF110" s="113"/>
      <c r="BG110" s="113"/>
    </row>
    <row r="111" spans="1:59" ht="15.75" customHeight="1" outlineLevel="1">
      <c r="A111" s="113"/>
      <c r="B111" s="60">
        <v>22</v>
      </c>
      <c r="C111" s="68" t="s">
        <v>421</v>
      </c>
      <c r="D111" s="66" t="s">
        <v>422</v>
      </c>
      <c r="E111" s="67" t="s">
        <v>57</v>
      </c>
      <c r="F111" s="68" t="s">
        <v>1220</v>
      </c>
      <c r="G111" s="67" t="s">
        <v>31</v>
      </c>
      <c r="H111" s="66" t="s">
        <v>32</v>
      </c>
      <c r="I111" s="69">
        <f t="shared" si="51"/>
        <v>5729876</v>
      </c>
      <c r="J111" s="312">
        <v>316205</v>
      </c>
      <c r="K111" s="312">
        <v>202695</v>
      </c>
      <c r="L111" s="69">
        <f t="shared" si="75"/>
        <v>0</v>
      </c>
      <c r="M111" s="69">
        <f t="shared" ca="1" si="74"/>
        <v>0</v>
      </c>
      <c r="N111" s="61">
        <f ca="1">IFERROR(__xludf.DUMMYFUNCTION("VLOOKUP(C111,IMPORTRANGE(""https://docs.google.com/spreadsheets/d/1bYzf4ItZuOkngvwjv6KE7rQwu8zocnnv24ijoZh_CLs/edit?gid=53702207#gid=53702207"",""SCHEDULE_HSP_JAN26""),35,0)"),21)</f>
        <v>21</v>
      </c>
      <c r="O111" s="258">
        <f ca="1">IFERROR(__xludf.DUMMYFUNCTION("VLOOKUP(C111,IMPORTRANGE(""https://docs.google.com/spreadsheets/d/1bYzf4ItZuOkngvwjv6KE7rQwu8zocnnv24ijoZh_CLs/edit?gid=53702207#gid=53702207"",""SCHEDULE_HSP_JAN26""),34,0)"),21)</f>
        <v>21</v>
      </c>
      <c r="P111" s="69">
        <f t="shared" ca="1" si="53"/>
        <v>0</v>
      </c>
      <c r="Q111" s="71"/>
      <c r="R111" s="69">
        <f t="shared" si="54"/>
        <v>6248776</v>
      </c>
      <c r="S111" s="69">
        <f t="shared" si="55"/>
        <v>6248776</v>
      </c>
      <c r="T111" s="69">
        <v>0</v>
      </c>
      <c r="U111" s="19">
        <v>196400</v>
      </c>
      <c r="V111" s="125">
        <f ca="1">IFERROR(__xludf.DUMMYFUNCTION("VLOOKUP(C111,IMPORTRANGE(""https://docs.google.com/spreadsheets/d/1bYzf4ItZuOkngvwjv6KE7rQwu8zocnnv24ijoZh_CLs/edit?gid=53702207#gid=53702207"",""SCHEDULE_HSP_JAN26""),36,0)"),0)</f>
        <v>0</v>
      </c>
      <c r="W111" s="69">
        <f t="shared" ca="1" si="56"/>
        <v>0</v>
      </c>
      <c r="X111" s="69">
        <v>0</v>
      </c>
      <c r="Y111" s="69">
        <f t="shared" ca="1" si="57"/>
        <v>6248776</v>
      </c>
      <c r="Z111" s="125">
        <f ca="1">IFERROR(__xludf.DUMMYFUNCTION("VLOOKUP(C111,IMPORTRANGE(""https://docs.google.com/spreadsheets/d/1bYzf4ItZuOkngvwjv6KE7rQwu8zocnnv24ijoZh_CLs/edit?gid=53702207#gid=53702207"",""SCHEDULE_HSP_JAN26""),38,0)+VLOOKUP(C111,IMPORTRANGE(""https://docs.google.com/spreadsheets/d/1bYzf4ItZuOkngv"&amp;"wjv6KE7rQwu8zocnnv24ijoZh_CLs/edit?gid=53702207#gid=53702207"",""SCHEDULE_HSP_JAN26""),39,0)"),0)</f>
        <v>0</v>
      </c>
      <c r="AA111" s="61">
        <f ca="1">IFERROR(__xludf.DUMMYFUNCTION("VLOOKUP(C111,IMPORTRANGE(""https://docs.google.com/spreadsheets/d/1bYzf4ItZuOkngvwjv6KE7rQwu8zocnnv24ijoZh_CLs/edit?gid=53702207#gid=53702207"",""SCHEDULE_HSP_JAN26""),40,0)"),0)</f>
        <v>0</v>
      </c>
      <c r="AB111" s="61">
        <f ca="1">IFERROR(__xludf.DUMMYFUNCTION("VLOOKUP(C111,IMPORTRANGE(""https://docs.google.com/spreadsheets/d/1bYzf4ItZuOkngvwjv6KE7rQwu8zocnnv24ijoZh_CLs/edit?gid=53702207#gid=53702207"",""SCHEDULE_HSP_JAN26""),41,0)"),0)</f>
        <v>0</v>
      </c>
      <c r="AC111" s="61">
        <f ca="1">IFERROR(__xludf.DUMMYFUNCTION("VLOOKUP(C111,IMPORTRANGE(""https://docs.google.com/spreadsheets/d/1bYzf4ItZuOkngvwjv6KE7rQwu8zocnnv24ijoZh_CLs/edit?gid=53702207#gid=53702207"",""SCHEDULE_HSP_JAN26""),42,0)"),0)</f>
        <v>0</v>
      </c>
      <c r="AD111" s="61"/>
      <c r="AE111" s="69">
        <f t="shared" ca="1" si="58"/>
        <v>0</v>
      </c>
      <c r="AF111" s="313">
        <v>468468</v>
      </c>
      <c r="AG111" s="313">
        <v>253500</v>
      </c>
      <c r="AH111" s="69">
        <v>0</v>
      </c>
      <c r="AI111" s="69">
        <v>0</v>
      </c>
      <c r="AJ111" s="69">
        <v>0</v>
      </c>
      <c r="AK111" s="69">
        <v>0</v>
      </c>
      <c r="AL111" s="69">
        <v>0</v>
      </c>
      <c r="AM111" s="69">
        <f t="shared" ca="1" si="59"/>
        <v>721968</v>
      </c>
      <c r="AN111" s="69">
        <f t="shared" ca="1" si="60"/>
        <v>5526808</v>
      </c>
      <c r="AO111" s="69">
        <f t="shared" ca="1" si="61"/>
        <v>0</v>
      </c>
      <c r="AP111" s="69">
        <f t="shared" ca="1" si="62"/>
        <v>5526808</v>
      </c>
      <c r="AQ111" s="69">
        <f t="shared" ca="1" si="63"/>
        <v>5526808</v>
      </c>
      <c r="AR111" s="314">
        <f t="shared" ca="1" si="64"/>
        <v>5526800</v>
      </c>
      <c r="AS111" s="72"/>
      <c r="AT111" s="73" t="s">
        <v>17</v>
      </c>
      <c r="AU111" s="61" t="s">
        <v>15</v>
      </c>
      <c r="AV111" s="69">
        <f t="shared" si="65"/>
        <v>5729876</v>
      </c>
      <c r="AW111" s="69">
        <f t="shared" ca="1" si="66"/>
        <v>0</v>
      </c>
      <c r="AX111" s="69">
        <f t="shared" ca="1" si="67"/>
        <v>0</v>
      </c>
      <c r="AY111" s="69">
        <v>0</v>
      </c>
      <c r="AZ111" s="69">
        <f t="shared" si="68"/>
        <v>13751.702399999998</v>
      </c>
      <c r="BA111" s="69">
        <f t="shared" si="69"/>
        <v>17189.628000000001</v>
      </c>
      <c r="BB111" s="69">
        <f t="shared" si="70"/>
        <v>229195.04</v>
      </c>
      <c r="BC111" s="69">
        <f t="shared" ca="1" si="71"/>
        <v>5990012.3703999994</v>
      </c>
      <c r="BD111" s="74">
        <f ca="1">IF(AU111="C",VLOOKUP(BC111,TER!$J$4:$L$50,3,TRUE),IF(AU111="B",VLOOKUP(BC111,TER!$F$4:$H$50,3,TRUE),IF(AU111="A",VLOOKUP(BC111,TER!$B$4:$D$50,3,TRUE),"ERROR")))</f>
        <v>0</v>
      </c>
      <c r="BE111" s="69">
        <f t="shared" ca="1" si="72"/>
        <v>0</v>
      </c>
      <c r="BF111" s="113"/>
      <c r="BG111" s="113"/>
    </row>
    <row r="112" spans="1:59" ht="15.75" customHeight="1" outlineLevel="1">
      <c r="A112" s="113"/>
      <c r="B112" s="60">
        <v>23</v>
      </c>
      <c r="C112" s="68" t="s">
        <v>423</v>
      </c>
      <c r="D112" s="66" t="s">
        <v>424</v>
      </c>
      <c r="E112" s="67" t="s">
        <v>57</v>
      </c>
      <c r="F112" s="68" t="s">
        <v>1221</v>
      </c>
      <c r="G112" s="67" t="s">
        <v>31</v>
      </c>
      <c r="H112" s="66" t="s">
        <v>32</v>
      </c>
      <c r="I112" s="69">
        <f t="shared" si="51"/>
        <v>5729876</v>
      </c>
      <c r="J112" s="312">
        <v>316205</v>
      </c>
      <c r="K112" s="312">
        <v>202695</v>
      </c>
      <c r="L112" s="69">
        <f t="shared" si="75"/>
        <v>0</v>
      </c>
      <c r="M112" s="69">
        <f t="shared" ca="1" si="74"/>
        <v>0</v>
      </c>
      <c r="N112" s="61">
        <f ca="1">IFERROR(__xludf.DUMMYFUNCTION("VLOOKUP(C112,IMPORTRANGE(""https://docs.google.com/spreadsheets/d/1bYzf4ItZuOkngvwjv6KE7rQwu8zocnnv24ijoZh_CLs/edit?gid=53702207#gid=53702207"",""SCHEDULE_HSP_JAN26""),35,0)"),21)</f>
        <v>21</v>
      </c>
      <c r="O112" s="258">
        <f ca="1">IFERROR(__xludf.DUMMYFUNCTION("VLOOKUP(C112,IMPORTRANGE(""https://docs.google.com/spreadsheets/d/1bYzf4ItZuOkngvwjv6KE7rQwu8zocnnv24ijoZh_CLs/edit?gid=53702207#gid=53702207"",""SCHEDULE_HSP_JAN26""),34,0)"),21)</f>
        <v>21</v>
      </c>
      <c r="P112" s="69">
        <f t="shared" ca="1" si="53"/>
        <v>0</v>
      </c>
      <c r="Q112" s="71"/>
      <c r="R112" s="69">
        <f t="shared" si="54"/>
        <v>6248776</v>
      </c>
      <c r="S112" s="69">
        <f t="shared" si="55"/>
        <v>6248776</v>
      </c>
      <c r="T112" s="69">
        <v>0</v>
      </c>
      <c r="U112" s="19">
        <v>196400</v>
      </c>
      <c r="V112" s="125">
        <f ca="1">IFERROR(__xludf.DUMMYFUNCTION("VLOOKUP(C112,IMPORTRANGE(""https://docs.google.com/spreadsheets/d/1bYzf4ItZuOkngvwjv6KE7rQwu8zocnnv24ijoZh_CLs/edit?gid=53702207#gid=53702207"",""SCHEDULE_HSP_JAN26""),36,0)"),0)</f>
        <v>0</v>
      </c>
      <c r="W112" s="69">
        <f t="shared" ca="1" si="56"/>
        <v>0</v>
      </c>
      <c r="X112" s="69">
        <v>0</v>
      </c>
      <c r="Y112" s="69">
        <f t="shared" ca="1" si="57"/>
        <v>6248776</v>
      </c>
      <c r="Z112" s="125">
        <f ca="1">IFERROR(__xludf.DUMMYFUNCTION("VLOOKUP(C112,IMPORTRANGE(""https://docs.google.com/spreadsheets/d/1bYzf4ItZuOkngvwjv6KE7rQwu8zocnnv24ijoZh_CLs/edit?gid=53702207#gid=53702207"",""SCHEDULE_HSP_JAN26""),38,0)+VLOOKUP(C112,IMPORTRANGE(""https://docs.google.com/spreadsheets/d/1bYzf4ItZuOkngv"&amp;"wjv6KE7rQwu8zocnnv24ijoZh_CLs/edit?gid=53702207#gid=53702207"",""SCHEDULE_HSP_JAN26""),39,0)"),0)</f>
        <v>0</v>
      </c>
      <c r="AA112" s="61">
        <f ca="1">IFERROR(__xludf.DUMMYFUNCTION("VLOOKUP(C112,IMPORTRANGE(""https://docs.google.com/spreadsheets/d/1bYzf4ItZuOkngvwjv6KE7rQwu8zocnnv24ijoZh_CLs/edit?gid=53702207#gid=53702207"",""SCHEDULE_HSP_JAN26""),40,0)"),0)</f>
        <v>0</v>
      </c>
      <c r="AB112" s="61">
        <f ca="1">IFERROR(__xludf.DUMMYFUNCTION("VLOOKUP(C112,IMPORTRANGE(""https://docs.google.com/spreadsheets/d/1bYzf4ItZuOkngvwjv6KE7rQwu8zocnnv24ijoZh_CLs/edit?gid=53702207#gid=53702207"",""SCHEDULE_HSP_JAN26""),41,0)"),0)</f>
        <v>0</v>
      </c>
      <c r="AC112" s="61">
        <f ca="1">IFERROR(__xludf.DUMMYFUNCTION("VLOOKUP(C112,IMPORTRANGE(""https://docs.google.com/spreadsheets/d/1bYzf4ItZuOkngvwjv6KE7rQwu8zocnnv24ijoZh_CLs/edit?gid=53702207#gid=53702207"",""SCHEDULE_HSP_JAN26""),42,0)"),0)</f>
        <v>0</v>
      </c>
      <c r="AD112" s="61"/>
      <c r="AE112" s="69">
        <f t="shared" ca="1" si="58"/>
        <v>0</v>
      </c>
      <c r="AF112" s="313">
        <v>468468</v>
      </c>
      <c r="AG112" s="313">
        <v>253500</v>
      </c>
      <c r="AH112" s="69">
        <v>0</v>
      </c>
      <c r="AI112" s="69">
        <v>0</v>
      </c>
      <c r="AJ112" s="69">
        <v>0</v>
      </c>
      <c r="AK112" s="69">
        <v>0</v>
      </c>
      <c r="AL112" s="69">
        <v>0</v>
      </c>
      <c r="AM112" s="69">
        <f t="shared" ca="1" si="59"/>
        <v>721968</v>
      </c>
      <c r="AN112" s="69">
        <f t="shared" ca="1" si="60"/>
        <v>5526808</v>
      </c>
      <c r="AO112" s="69">
        <f t="shared" ca="1" si="61"/>
        <v>44925.092777999991</v>
      </c>
      <c r="AP112" s="69">
        <f t="shared" ca="1" si="62"/>
        <v>5481882.907222</v>
      </c>
      <c r="AQ112" s="69">
        <f t="shared" ca="1" si="63"/>
        <v>5481882.907222</v>
      </c>
      <c r="AR112" s="314">
        <f t="shared" ca="1" si="64"/>
        <v>5481900</v>
      </c>
      <c r="AS112" s="72"/>
      <c r="AT112" s="73" t="s">
        <v>9</v>
      </c>
      <c r="AU112" s="61" t="s">
        <v>10</v>
      </c>
      <c r="AV112" s="69">
        <f t="shared" si="65"/>
        <v>5729876</v>
      </c>
      <c r="AW112" s="69">
        <f t="shared" ca="1" si="66"/>
        <v>0</v>
      </c>
      <c r="AX112" s="69">
        <f t="shared" ca="1" si="67"/>
        <v>0</v>
      </c>
      <c r="AY112" s="69">
        <v>0</v>
      </c>
      <c r="AZ112" s="69">
        <f t="shared" si="68"/>
        <v>13751.702399999998</v>
      </c>
      <c r="BA112" s="69">
        <f t="shared" si="69"/>
        <v>17189.628000000001</v>
      </c>
      <c r="BB112" s="69">
        <f t="shared" si="70"/>
        <v>229195.04</v>
      </c>
      <c r="BC112" s="69">
        <f t="shared" ca="1" si="71"/>
        <v>5990012.3703999994</v>
      </c>
      <c r="BD112" s="74">
        <f ca="1">IF(AU112="C",VLOOKUP(BC112,TER!$J$4:$L$50,3,TRUE),IF(AU112="B",VLOOKUP(BC112,TER!$F$4:$H$50,3,TRUE),IF(AU112="A",VLOOKUP(BC112,TER!$B$4:$D$50,3,TRUE),"ERROR")))</f>
        <v>7.4999999999999997E-3</v>
      </c>
      <c r="BE112" s="69">
        <f t="shared" ca="1" si="72"/>
        <v>44925.092777999991</v>
      </c>
      <c r="BF112" s="113"/>
      <c r="BG112" s="113"/>
    </row>
    <row r="113" spans="1:59" ht="15.75" customHeight="1" outlineLevel="1">
      <c r="A113" s="113"/>
      <c r="B113" s="60">
        <v>24</v>
      </c>
      <c r="C113" s="68" t="s">
        <v>42</v>
      </c>
      <c r="D113" s="66" t="s">
        <v>43</v>
      </c>
      <c r="E113" s="67" t="s">
        <v>30</v>
      </c>
      <c r="F113" s="68" t="s">
        <v>44</v>
      </c>
      <c r="G113" s="67" t="s">
        <v>94</v>
      </c>
      <c r="H113" s="66" t="s">
        <v>32</v>
      </c>
      <c r="I113" s="69">
        <f t="shared" si="51"/>
        <v>5729876</v>
      </c>
      <c r="J113" s="312">
        <v>316205</v>
      </c>
      <c r="K113" s="312">
        <v>202695</v>
      </c>
      <c r="L113" s="19">
        <v>500000</v>
      </c>
      <c r="M113" s="69">
        <f t="shared" ca="1" si="74"/>
        <v>23809.523809523809</v>
      </c>
      <c r="N113" s="61">
        <f ca="1">IFERROR(__xludf.DUMMYFUNCTION("VLOOKUP(C113,IMPORTRANGE(""https://docs.google.com/spreadsheets/d/1bYzf4ItZuOkngvwjv6KE7rQwu8zocnnv24ijoZh_CLs/edit?gid=53702207#gid=53702207"",""SCHEDULE_HSP_JAN26""),35,0)"),21)</f>
        <v>21</v>
      </c>
      <c r="O113" s="258">
        <f ca="1">IFERROR(__xludf.DUMMYFUNCTION("VLOOKUP(C113,IMPORTRANGE(""https://docs.google.com/spreadsheets/d/1bYzf4ItZuOkngvwjv6KE7rQwu8zocnnv24ijoZh_CLs/edit?gid=53702207#gid=53702207"",""SCHEDULE_HSP_JAN26""),34,0)"),21)</f>
        <v>21</v>
      </c>
      <c r="P113" s="69">
        <f t="shared" ca="1" si="53"/>
        <v>500000</v>
      </c>
      <c r="Q113" s="71"/>
      <c r="R113" s="69">
        <f t="shared" si="54"/>
        <v>6748776</v>
      </c>
      <c r="S113" s="69">
        <f t="shared" si="55"/>
        <v>6748776</v>
      </c>
      <c r="T113" s="69">
        <v>0</v>
      </c>
      <c r="U113" s="19">
        <v>196400</v>
      </c>
      <c r="V113" s="125">
        <f ca="1">IFERROR(__xludf.DUMMYFUNCTION("VLOOKUP(C113,IMPORTRANGE(""https://docs.google.com/spreadsheets/d/1bYzf4ItZuOkngvwjv6KE7rQwu8zocnnv24ijoZh_CLs/edit?gid=53702207#gid=53702207"",""SCHEDULE_HSP_JAN26""),36,0)"),2)</f>
        <v>2</v>
      </c>
      <c r="W113" s="69">
        <f t="shared" ca="1" si="56"/>
        <v>392800</v>
      </c>
      <c r="X113" s="69">
        <v>0</v>
      </c>
      <c r="Y113" s="69">
        <f t="shared" ca="1" si="57"/>
        <v>7141576</v>
      </c>
      <c r="Z113" s="125">
        <f ca="1">IFERROR(__xludf.DUMMYFUNCTION("VLOOKUP(C113,IMPORTRANGE(""https://docs.google.com/spreadsheets/d/1bYzf4ItZuOkngvwjv6KE7rQwu8zocnnv24ijoZh_CLs/edit?gid=53702207#gid=53702207"",""SCHEDULE_HSP_JAN26""),38,0)+VLOOKUP(C113,IMPORTRANGE(""https://docs.google.com/spreadsheets/d/1bYzf4ItZuOkngv"&amp;"wjv6KE7rQwu8zocnnv24ijoZh_CLs/edit?gid=53702207#gid=53702207"",""SCHEDULE_HSP_JAN26""),39,0)"),0)</f>
        <v>0</v>
      </c>
      <c r="AA113" s="61">
        <f ca="1">IFERROR(__xludf.DUMMYFUNCTION("VLOOKUP(C113,IMPORTRANGE(""https://docs.google.com/spreadsheets/d/1bYzf4ItZuOkngvwjv6KE7rQwu8zocnnv24ijoZh_CLs/edit?gid=53702207#gid=53702207"",""SCHEDULE_HSP_JAN26""),40,0)"),0)</f>
        <v>0</v>
      </c>
      <c r="AB113" s="61">
        <f ca="1">IFERROR(__xludf.DUMMYFUNCTION("VLOOKUP(C113,IMPORTRANGE(""https://docs.google.com/spreadsheets/d/1bYzf4ItZuOkngvwjv6KE7rQwu8zocnnv24ijoZh_CLs/edit?gid=53702207#gid=53702207"",""SCHEDULE_HSP_JAN26""),41,0)"),0)</f>
        <v>0</v>
      </c>
      <c r="AC113" s="61">
        <f ca="1">IFERROR(__xludf.DUMMYFUNCTION("VLOOKUP(C113,IMPORTRANGE(""https://docs.google.com/spreadsheets/d/1bYzf4ItZuOkngvwjv6KE7rQwu8zocnnv24ijoZh_CLs/edit?gid=53702207#gid=53702207"",""SCHEDULE_HSP_JAN26""),42,0)"),0)</f>
        <v>0</v>
      </c>
      <c r="AD113" s="61"/>
      <c r="AE113" s="69">
        <f t="shared" ca="1" si="58"/>
        <v>0</v>
      </c>
      <c r="AF113" s="313">
        <v>468468</v>
      </c>
      <c r="AG113" s="313">
        <v>253500</v>
      </c>
      <c r="AH113" s="69">
        <v>0</v>
      </c>
      <c r="AI113" s="69">
        <v>0</v>
      </c>
      <c r="AJ113" s="69">
        <v>0</v>
      </c>
      <c r="AK113" s="69">
        <v>0</v>
      </c>
      <c r="AL113" s="69">
        <v>0</v>
      </c>
      <c r="AM113" s="69">
        <f t="shared" ca="1" si="59"/>
        <v>721968</v>
      </c>
      <c r="AN113" s="69">
        <f t="shared" ca="1" si="60"/>
        <v>6419608</v>
      </c>
      <c r="AO113" s="69">
        <f t="shared" ca="1" si="61"/>
        <v>51621.092777999991</v>
      </c>
      <c r="AP113" s="69">
        <f t="shared" ca="1" si="62"/>
        <v>6367986.907222</v>
      </c>
      <c r="AQ113" s="69">
        <f t="shared" ca="1" si="63"/>
        <v>6367986.907222</v>
      </c>
      <c r="AR113" s="314">
        <f t="shared" ca="1" si="64"/>
        <v>6368000</v>
      </c>
      <c r="AS113" s="72"/>
      <c r="AT113" s="73" t="s">
        <v>18</v>
      </c>
      <c r="AU113" s="61" t="s">
        <v>15</v>
      </c>
      <c r="AV113" s="69">
        <f t="shared" si="65"/>
        <v>5729876</v>
      </c>
      <c r="AW113" s="69">
        <f t="shared" ca="1" si="66"/>
        <v>500000</v>
      </c>
      <c r="AX113" s="69">
        <f t="shared" ca="1" si="67"/>
        <v>392800</v>
      </c>
      <c r="AY113" s="69">
        <v>0</v>
      </c>
      <c r="AZ113" s="69">
        <f t="shared" si="68"/>
        <v>13751.702399999998</v>
      </c>
      <c r="BA113" s="69">
        <f t="shared" si="69"/>
        <v>17189.628000000001</v>
      </c>
      <c r="BB113" s="69">
        <f t="shared" si="70"/>
        <v>229195.04</v>
      </c>
      <c r="BC113" s="69">
        <f t="shared" ca="1" si="71"/>
        <v>6882812.3703999994</v>
      </c>
      <c r="BD113" s="74">
        <f ca="1">IF(AU113="C",VLOOKUP(BC113,TER!$J$4:$L$50,3,TRUE),IF(AU113="B",VLOOKUP(BC113,TER!$F$4:$H$50,3,TRUE),IF(AU113="A",VLOOKUP(BC113,TER!$B$4:$D$50,3,TRUE),"ERROR")))</f>
        <v>7.4999999999999997E-3</v>
      </c>
      <c r="BE113" s="69">
        <f t="shared" ca="1" si="72"/>
        <v>51621.092777999991</v>
      </c>
      <c r="BF113" s="113"/>
      <c r="BG113" s="113"/>
    </row>
    <row r="114" spans="1:59" ht="15.75" customHeight="1" outlineLevel="1">
      <c r="A114" s="113"/>
      <c r="B114" s="60">
        <v>25</v>
      </c>
      <c r="C114" s="68" t="s">
        <v>425</v>
      </c>
      <c r="D114" s="66" t="s">
        <v>426</v>
      </c>
      <c r="E114" s="67" t="s">
        <v>57</v>
      </c>
      <c r="F114" s="68" t="s">
        <v>1222</v>
      </c>
      <c r="G114" s="67" t="s">
        <v>31</v>
      </c>
      <c r="H114" s="66" t="s">
        <v>32</v>
      </c>
      <c r="I114" s="69">
        <f t="shared" si="51"/>
        <v>5729876</v>
      </c>
      <c r="J114" s="312">
        <v>316205</v>
      </c>
      <c r="K114" s="312">
        <v>202695</v>
      </c>
      <c r="L114" s="69">
        <f t="shared" ref="L114:L115" si="76">IF(G114&gt;=0,IF(G114="SUPERVISOR",2500000,IF(G114="SHIFT LEADER",1200000,0)))</f>
        <v>0</v>
      </c>
      <c r="M114" s="69">
        <f t="shared" ca="1" si="74"/>
        <v>0</v>
      </c>
      <c r="N114" s="61">
        <f ca="1">IFERROR(__xludf.DUMMYFUNCTION("VLOOKUP(C114,IMPORTRANGE(""https://docs.google.com/spreadsheets/d/1bYzf4ItZuOkngvwjv6KE7rQwu8zocnnv24ijoZh_CLs/edit?gid=53702207#gid=53702207"",""SCHEDULE_HSP_JAN26""),35,0)"),20)</f>
        <v>20</v>
      </c>
      <c r="O114" s="258">
        <f ca="1">IFERROR(__xludf.DUMMYFUNCTION("VLOOKUP(C114,IMPORTRANGE(""https://docs.google.com/spreadsheets/d/1bYzf4ItZuOkngvwjv6KE7rQwu8zocnnv24ijoZh_CLs/edit?gid=53702207#gid=53702207"",""SCHEDULE_HSP_JAN26""),34,0)"),20)</f>
        <v>20</v>
      </c>
      <c r="P114" s="69">
        <f t="shared" ca="1" si="53"/>
        <v>0</v>
      </c>
      <c r="Q114" s="71"/>
      <c r="R114" s="69">
        <f t="shared" si="54"/>
        <v>6248776</v>
      </c>
      <c r="S114" s="69">
        <f t="shared" si="55"/>
        <v>6248776</v>
      </c>
      <c r="T114" s="69">
        <v>0</v>
      </c>
      <c r="U114" s="19">
        <v>196400</v>
      </c>
      <c r="V114" s="125">
        <f ca="1">IFERROR(__xludf.DUMMYFUNCTION("VLOOKUP(C114,IMPORTRANGE(""https://docs.google.com/spreadsheets/d/1bYzf4ItZuOkngvwjv6KE7rQwu8zocnnv24ijoZh_CLs/edit?gid=53702207#gid=53702207"",""SCHEDULE_HSP_JAN26""),36,0)"),0)</f>
        <v>0</v>
      </c>
      <c r="W114" s="69">
        <f t="shared" ca="1" si="56"/>
        <v>0</v>
      </c>
      <c r="X114" s="69">
        <v>0</v>
      </c>
      <c r="Y114" s="69">
        <f t="shared" ca="1" si="57"/>
        <v>6248776</v>
      </c>
      <c r="Z114" s="125">
        <f ca="1">IFERROR(__xludf.DUMMYFUNCTION("VLOOKUP(C114,IMPORTRANGE(""https://docs.google.com/spreadsheets/d/1bYzf4ItZuOkngvwjv6KE7rQwu8zocnnv24ijoZh_CLs/edit?gid=53702207#gid=53702207"",""SCHEDULE_HSP_JAN26""),38,0)+VLOOKUP(C114,IMPORTRANGE(""https://docs.google.com/spreadsheets/d/1bYzf4ItZuOkngv"&amp;"wjv6KE7rQwu8zocnnv24ijoZh_CLs/edit?gid=53702207#gid=53702207"",""SCHEDULE_HSP_JAN26""),39,0)"),0)</f>
        <v>0</v>
      </c>
      <c r="AA114" s="61">
        <f ca="1">IFERROR(__xludf.DUMMYFUNCTION("VLOOKUP(C114,IMPORTRANGE(""https://docs.google.com/spreadsheets/d/1bYzf4ItZuOkngvwjv6KE7rQwu8zocnnv24ijoZh_CLs/edit?gid=53702207#gid=53702207"",""SCHEDULE_HSP_JAN26""),40,0)"),0)</f>
        <v>0</v>
      </c>
      <c r="AB114" s="61">
        <f ca="1">IFERROR(__xludf.DUMMYFUNCTION("VLOOKUP(C114,IMPORTRANGE(""https://docs.google.com/spreadsheets/d/1bYzf4ItZuOkngvwjv6KE7rQwu8zocnnv24ijoZh_CLs/edit?gid=53702207#gid=53702207"",""SCHEDULE_HSP_JAN26""),41,0)"),0)</f>
        <v>0</v>
      </c>
      <c r="AC114" s="61">
        <f ca="1">IFERROR(__xludf.DUMMYFUNCTION("VLOOKUP(C114,IMPORTRANGE(""https://docs.google.com/spreadsheets/d/1bYzf4ItZuOkngvwjv6KE7rQwu8zocnnv24ijoZh_CLs/edit?gid=53702207#gid=53702207"",""SCHEDULE_HSP_JAN26""),42,0)"),0)</f>
        <v>0</v>
      </c>
      <c r="AD114" s="61"/>
      <c r="AE114" s="69">
        <f t="shared" ca="1" si="58"/>
        <v>0</v>
      </c>
      <c r="AF114" s="313">
        <v>468468</v>
      </c>
      <c r="AG114" s="313">
        <v>253500</v>
      </c>
      <c r="AH114" s="69">
        <v>0</v>
      </c>
      <c r="AI114" s="69">
        <v>0</v>
      </c>
      <c r="AJ114" s="69">
        <v>0</v>
      </c>
      <c r="AK114" s="69">
        <v>0</v>
      </c>
      <c r="AL114" s="69">
        <v>0</v>
      </c>
      <c r="AM114" s="69">
        <f t="shared" ca="1" si="59"/>
        <v>721968</v>
      </c>
      <c r="AN114" s="69">
        <f t="shared" ca="1" si="60"/>
        <v>5526808</v>
      </c>
      <c r="AO114" s="69">
        <f t="shared" ca="1" si="61"/>
        <v>44925.092777999991</v>
      </c>
      <c r="AP114" s="69">
        <f t="shared" ca="1" si="62"/>
        <v>5481882.907222</v>
      </c>
      <c r="AQ114" s="69">
        <f t="shared" ca="1" si="63"/>
        <v>5481882.907222</v>
      </c>
      <c r="AR114" s="314">
        <f t="shared" ca="1" si="64"/>
        <v>5481900</v>
      </c>
      <c r="AS114" s="72"/>
      <c r="AT114" s="73" t="s">
        <v>13</v>
      </c>
      <c r="AU114" s="61" t="s">
        <v>10</v>
      </c>
      <c r="AV114" s="69">
        <f t="shared" si="65"/>
        <v>5729876</v>
      </c>
      <c r="AW114" s="69">
        <f t="shared" ca="1" si="66"/>
        <v>0</v>
      </c>
      <c r="AX114" s="69">
        <f t="shared" ca="1" si="67"/>
        <v>0</v>
      </c>
      <c r="AY114" s="69">
        <v>0</v>
      </c>
      <c r="AZ114" s="69">
        <f t="shared" si="68"/>
        <v>13751.702399999998</v>
      </c>
      <c r="BA114" s="69">
        <f t="shared" si="69"/>
        <v>17189.628000000001</v>
      </c>
      <c r="BB114" s="69">
        <f t="shared" si="70"/>
        <v>229195.04</v>
      </c>
      <c r="BC114" s="69">
        <f t="shared" ca="1" si="71"/>
        <v>5990012.3703999994</v>
      </c>
      <c r="BD114" s="74">
        <f ca="1">IF(AU114="C",VLOOKUP(BC114,TER!$J$4:$L$50,3,TRUE),IF(AU114="B",VLOOKUP(BC114,TER!$F$4:$H$50,3,TRUE),IF(AU114="A",VLOOKUP(BC114,TER!$B$4:$D$50,3,TRUE),"ERROR")))</f>
        <v>7.4999999999999997E-3</v>
      </c>
      <c r="BE114" s="69">
        <f t="shared" ca="1" si="72"/>
        <v>44925.092777999991</v>
      </c>
      <c r="BF114" s="113"/>
      <c r="BG114" s="113"/>
    </row>
    <row r="115" spans="1:59" ht="15.75" customHeight="1" outlineLevel="1">
      <c r="A115" s="113"/>
      <c r="B115" s="60">
        <v>26</v>
      </c>
      <c r="C115" s="68" t="s">
        <v>427</v>
      </c>
      <c r="D115" s="66" t="s">
        <v>428</v>
      </c>
      <c r="E115" s="67" t="s">
        <v>57</v>
      </c>
      <c r="F115" s="68" t="s">
        <v>1223</v>
      </c>
      <c r="G115" s="67" t="s">
        <v>31</v>
      </c>
      <c r="H115" s="66" t="s">
        <v>32</v>
      </c>
      <c r="I115" s="69">
        <f t="shared" si="51"/>
        <v>5729876</v>
      </c>
      <c r="J115" s="312">
        <v>316205</v>
      </c>
      <c r="K115" s="312">
        <v>202695</v>
      </c>
      <c r="L115" s="69">
        <f t="shared" si="76"/>
        <v>0</v>
      </c>
      <c r="M115" s="69">
        <f t="shared" ca="1" si="74"/>
        <v>0</v>
      </c>
      <c r="N115" s="61">
        <f ca="1">IFERROR(__xludf.DUMMYFUNCTION("VLOOKUP(C115,IMPORTRANGE(""https://docs.google.com/spreadsheets/d/1bYzf4ItZuOkngvwjv6KE7rQwu8zocnnv24ijoZh_CLs/edit?gid=53702207#gid=53702207"",""SCHEDULE_HSP_JAN26""),35,0)"),21)</f>
        <v>21</v>
      </c>
      <c r="O115" s="258">
        <f ca="1">IFERROR(__xludf.DUMMYFUNCTION("VLOOKUP(C115,IMPORTRANGE(""https://docs.google.com/spreadsheets/d/1bYzf4ItZuOkngvwjv6KE7rQwu8zocnnv24ijoZh_CLs/edit?gid=53702207#gid=53702207"",""SCHEDULE_HSP_JAN26""),34,0)"),21)</f>
        <v>21</v>
      </c>
      <c r="P115" s="69">
        <f t="shared" ca="1" si="53"/>
        <v>0</v>
      </c>
      <c r="Q115" s="71"/>
      <c r="R115" s="69">
        <f t="shared" si="54"/>
        <v>6248776</v>
      </c>
      <c r="S115" s="69">
        <f t="shared" si="55"/>
        <v>6248776</v>
      </c>
      <c r="T115" s="69">
        <v>0</v>
      </c>
      <c r="U115" s="19">
        <v>196400</v>
      </c>
      <c r="V115" s="125">
        <f ca="1">IFERROR(__xludf.DUMMYFUNCTION("VLOOKUP(C115,IMPORTRANGE(""https://docs.google.com/spreadsheets/d/1bYzf4ItZuOkngvwjv6KE7rQwu8zocnnv24ijoZh_CLs/edit?gid=53702207#gid=53702207"",""SCHEDULE_HSP_JAN26""),36,0)"),1)</f>
        <v>1</v>
      </c>
      <c r="W115" s="69">
        <f t="shared" ca="1" si="56"/>
        <v>196400</v>
      </c>
      <c r="X115" s="69">
        <v>0</v>
      </c>
      <c r="Y115" s="69">
        <f t="shared" ca="1" si="57"/>
        <v>6445176</v>
      </c>
      <c r="Z115" s="125">
        <f ca="1">IFERROR(__xludf.DUMMYFUNCTION("VLOOKUP(C115,IMPORTRANGE(""https://docs.google.com/spreadsheets/d/1bYzf4ItZuOkngvwjv6KE7rQwu8zocnnv24ijoZh_CLs/edit?gid=53702207#gid=53702207"",""SCHEDULE_HSP_JAN26""),38,0)+VLOOKUP(C115,IMPORTRANGE(""https://docs.google.com/spreadsheets/d/1bYzf4ItZuOkngv"&amp;"wjv6KE7rQwu8zocnnv24ijoZh_CLs/edit?gid=53702207#gid=53702207"",""SCHEDULE_HSP_JAN26""),39,0)"),0)</f>
        <v>0</v>
      </c>
      <c r="AA115" s="61">
        <f ca="1">IFERROR(__xludf.DUMMYFUNCTION("VLOOKUP(C115,IMPORTRANGE(""https://docs.google.com/spreadsheets/d/1bYzf4ItZuOkngvwjv6KE7rQwu8zocnnv24ijoZh_CLs/edit?gid=53702207#gid=53702207"",""SCHEDULE_HSP_JAN26""),40,0)"),0)</f>
        <v>0</v>
      </c>
      <c r="AB115" s="61">
        <f ca="1">IFERROR(__xludf.DUMMYFUNCTION("VLOOKUP(C115,IMPORTRANGE(""https://docs.google.com/spreadsheets/d/1bYzf4ItZuOkngvwjv6KE7rQwu8zocnnv24ijoZh_CLs/edit?gid=53702207#gid=53702207"",""SCHEDULE_HSP_JAN26""),41,0)"),0)</f>
        <v>0</v>
      </c>
      <c r="AC115" s="61">
        <f ca="1">IFERROR(__xludf.DUMMYFUNCTION("VLOOKUP(C115,IMPORTRANGE(""https://docs.google.com/spreadsheets/d/1bYzf4ItZuOkngvwjv6KE7rQwu8zocnnv24ijoZh_CLs/edit?gid=53702207#gid=53702207"",""SCHEDULE_HSP_JAN26""),42,0)"),0)</f>
        <v>0</v>
      </c>
      <c r="AD115" s="61"/>
      <c r="AE115" s="69">
        <f t="shared" ca="1" si="58"/>
        <v>0</v>
      </c>
      <c r="AF115" s="313">
        <v>468468</v>
      </c>
      <c r="AG115" s="313">
        <v>253500</v>
      </c>
      <c r="AH115" s="69">
        <v>0</v>
      </c>
      <c r="AI115" s="69">
        <v>0</v>
      </c>
      <c r="AJ115" s="69">
        <v>0</v>
      </c>
      <c r="AK115" s="69">
        <v>0</v>
      </c>
      <c r="AL115" s="69">
        <v>0</v>
      </c>
      <c r="AM115" s="69">
        <f t="shared" ca="1" si="59"/>
        <v>721968</v>
      </c>
      <c r="AN115" s="69">
        <f t="shared" ca="1" si="60"/>
        <v>5723208</v>
      </c>
      <c r="AO115" s="69">
        <f t="shared" ca="1" si="61"/>
        <v>46398.092777999991</v>
      </c>
      <c r="AP115" s="69">
        <f t="shared" ca="1" si="62"/>
        <v>5676809.907222</v>
      </c>
      <c r="AQ115" s="69">
        <f t="shared" ca="1" si="63"/>
        <v>5676809.907222</v>
      </c>
      <c r="AR115" s="314">
        <f t="shared" ca="1" si="64"/>
        <v>5676800</v>
      </c>
      <c r="AS115" s="72"/>
      <c r="AT115" s="73" t="s">
        <v>9</v>
      </c>
      <c r="AU115" s="61" t="s">
        <v>10</v>
      </c>
      <c r="AV115" s="69">
        <f t="shared" si="65"/>
        <v>5729876</v>
      </c>
      <c r="AW115" s="69">
        <f t="shared" ca="1" si="66"/>
        <v>0</v>
      </c>
      <c r="AX115" s="69">
        <f t="shared" ca="1" si="67"/>
        <v>196400</v>
      </c>
      <c r="AY115" s="69">
        <v>0</v>
      </c>
      <c r="AZ115" s="69">
        <f t="shared" si="68"/>
        <v>13751.702399999998</v>
      </c>
      <c r="BA115" s="69">
        <f t="shared" si="69"/>
        <v>17189.628000000001</v>
      </c>
      <c r="BB115" s="69">
        <f t="shared" si="70"/>
        <v>229195.04</v>
      </c>
      <c r="BC115" s="69">
        <f t="shared" ca="1" si="71"/>
        <v>6186412.3703999994</v>
      </c>
      <c r="BD115" s="74">
        <f ca="1">IF(AU115="C",VLOOKUP(BC115,TER!$J$4:$L$50,3,TRUE),IF(AU115="B",VLOOKUP(BC115,TER!$F$4:$H$50,3,TRUE),IF(AU115="A",VLOOKUP(BC115,TER!$B$4:$D$50,3,TRUE),"ERROR")))</f>
        <v>7.4999999999999997E-3</v>
      </c>
      <c r="BE115" s="69">
        <f t="shared" ca="1" si="72"/>
        <v>46398.092777999991</v>
      </c>
      <c r="BF115" s="113"/>
      <c r="BG115" s="113"/>
    </row>
    <row r="116" spans="1:59" ht="15.75" customHeight="1" outlineLevel="1">
      <c r="A116" s="113"/>
      <c r="B116" s="60">
        <v>27</v>
      </c>
      <c r="C116" s="68" t="s">
        <v>429</v>
      </c>
      <c r="D116" s="66" t="s">
        <v>430</v>
      </c>
      <c r="E116" s="67" t="s">
        <v>57</v>
      </c>
      <c r="F116" s="68" t="s">
        <v>1224</v>
      </c>
      <c r="G116" s="67" t="s">
        <v>45</v>
      </c>
      <c r="H116" s="66" t="s">
        <v>32</v>
      </c>
      <c r="I116" s="69">
        <f t="shared" si="51"/>
        <v>5729876</v>
      </c>
      <c r="J116" s="312">
        <v>316205</v>
      </c>
      <c r="K116" s="312">
        <v>202695</v>
      </c>
      <c r="L116" s="19">
        <v>1500000</v>
      </c>
      <c r="M116" s="69">
        <f t="shared" ca="1" si="74"/>
        <v>65217.391304347824</v>
      </c>
      <c r="N116" s="61">
        <f ca="1">IFERROR(__xludf.DUMMYFUNCTION("VLOOKUP(C116,IMPORTRANGE(""https://docs.google.com/spreadsheets/d/1bYzf4ItZuOkngvwjv6KE7rQwu8zocnnv24ijoZh_CLs/edit?gid=53702207#gid=53702207"",""SCHEDULE_HSP_JAN26""),35,0)"),23)</f>
        <v>23</v>
      </c>
      <c r="O116" s="258">
        <f ca="1">IFERROR(__xludf.DUMMYFUNCTION("VLOOKUP(C116,IMPORTRANGE(""https://docs.google.com/spreadsheets/d/1bYzf4ItZuOkngvwjv6KE7rQwu8zocnnv24ijoZh_CLs/edit?gid=53702207#gid=53702207"",""SCHEDULE_HSP_JAN26""),34,0)"),23)</f>
        <v>23</v>
      </c>
      <c r="P116" s="69">
        <f t="shared" ca="1" si="53"/>
        <v>1500000</v>
      </c>
      <c r="Q116" s="71"/>
      <c r="R116" s="69">
        <f t="shared" si="54"/>
        <v>7748776</v>
      </c>
      <c r="S116" s="69">
        <f t="shared" si="55"/>
        <v>7748776</v>
      </c>
      <c r="T116" s="69">
        <v>0</v>
      </c>
      <c r="U116" s="19">
        <v>196400</v>
      </c>
      <c r="V116" s="125">
        <f ca="1">IFERROR(__xludf.DUMMYFUNCTION("VLOOKUP(C116,IMPORTRANGE(""https://docs.google.com/spreadsheets/d/1bYzf4ItZuOkngvwjv6KE7rQwu8zocnnv24ijoZh_CLs/edit?gid=53702207#gid=53702207"",""SCHEDULE_HSP_JAN26""),36,0)"),0)</f>
        <v>0</v>
      </c>
      <c r="W116" s="69">
        <f t="shared" ca="1" si="56"/>
        <v>0</v>
      </c>
      <c r="X116" s="69">
        <v>0</v>
      </c>
      <c r="Y116" s="69">
        <f t="shared" ca="1" si="57"/>
        <v>7748776</v>
      </c>
      <c r="Z116" s="125">
        <f ca="1">IFERROR(__xludf.DUMMYFUNCTION("VLOOKUP(C116,IMPORTRANGE(""https://docs.google.com/spreadsheets/d/1bYzf4ItZuOkngvwjv6KE7rQwu8zocnnv24ijoZh_CLs/edit?gid=53702207#gid=53702207"",""SCHEDULE_HSP_JAN26""),38,0)+VLOOKUP(C116,IMPORTRANGE(""https://docs.google.com/spreadsheets/d/1bYzf4ItZuOkngv"&amp;"wjv6KE7rQwu8zocnnv24ijoZh_CLs/edit?gid=53702207#gid=53702207"",""SCHEDULE_HSP_JAN26""),39,0)"),0)</f>
        <v>0</v>
      </c>
      <c r="AA116" s="61">
        <f ca="1">IFERROR(__xludf.DUMMYFUNCTION("VLOOKUP(C116,IMPORTRANGE(""https://docs.google.com/spreadsheets/d/1bYzf4ItZuOkngvwjv6KE7rQwu8zocnnv24ijoZh_CLs/edit?gid=53702207#gid=53702207"",""SCHEDULE_HSP_JAN26""),40,0)"),0)</f>
        <v>0</v>
      </c>
      <c r="AB116" s="61">
        <f ca="1">IFERROR(__xludf.DUMMYFUNCTION("VLOOKUP(C116,IMPORTRANGE(""https://docs.google.com/spreadsheets/d/1bYzf4ItZuOkngvwjv6KE7rQwu8zocnnv24ijoZh_CLs/edit?gid=53702207#gid=53702207"",""SCHEDULE_HSP_JAN26""),41,0)"),0)</f>
        <v>0</v>
      </c>
      <c r="AC116" s="61">
        <f ca="1">IFERROR(__xludf.DUMMYFUNCTION("VLOOKUP(C116,IMPORTRANGE(""https://docs.google.com/spreadsheets/d/1bYzf4ItZuOkngvwjv6KE7rQwu8zocnnv24ijoZh_CLs/edit?gid=53702207#gid=53702207"",""SCHEDULE_HSP_JAN26""),42,0)"),0)</f>
        <v>0</v>
      </c>
      <c r="AD116" s="61"/>
      <c r="AE116" s="69">
        <f t="shared" ca="1" si="58"/>
        <v>0</v>
      </c>
      <c r="AF116" s="313">
        <v>468468</v>
      </c>
      <c r="AG116" s="313">
        <v>253500</v>
      </c>
      <c r="AH116" s="69">
        <v>0</v>
      </c>
      <c r="AI116" s="69">
        <v>0</v>
      </c>
      <c r="AJ116" s="69">
        <v>0</v>
      </c>
      <c r="AK116" s="69">
        <v>0</v>
      </c>
      <c r="AL116" s="69">
        <v>0</v>
      </c>
      <c r="AM116" s="69">
        <f t="shared" ca="1" si="59"/>
        <v>721968</v>
      </c>
      <c r="AN116" s="69">
        <f t="shared" ca="1" si="60"/>
        <v>7026808</v>
      </c>
      <c r="AO116" s="69">
        <f t="shared" ca="1" si="61"/>
        <v>56175.092777999991</v>
      </c>
      <c r="AP116" s="69">
        <f t="shared" ca="1" si="62"/>
        <v>6970632.907222</v>
      </c>
      <c r="AQ116" s="69">
        <f t="shared" ca="1" si="63"/>
        <v>6970632.907222</v>
      </c>
      <c r="AR116" s="314">
        <f t="shared" ca="1" si="64"/>
        <v>6970600</v>
      </c>
      <c r="AS116" s="72"/>
      <c r="AT116" s="73" t="s">
        <v>8</v>
      </c>
      <c r="AU116" s="61" t="s">
        <v>19</v>
      </c>
      <c r="AV116" s="69">
        <f t="shared" si="65"/>
        <v>5729876</v>
      </c>
      <c r="AW116" s="69">
        <f t="shared" ca="1" si="66"/>
        <v>1500000</v>
      </c>
      <c r="AX116" s="69">
        <f t="shared" ca="1" si="67"/>
        <v>0</v>
      </c>
      <c r="AY116" s="69">
        <v>0</v>
      </c>
      <c r="AZ116" s="69">
        <f t="shared" si="68"/>
        <v>13751.702399999998</v>
      </c>
      <c r="BA116" s="69">
        <f t="shared" si="69"/>
        <v>17189.628000000001</v>
      </c>
      <c r="BB116" s="69">
        <f t="shared" si="70"/>
        <v>229195.04</v>
      </c>
      <c r="BC116" s="69">
        <f t="shared" ca="1" si="71"/>
        <v>7490012.3703999994</v>
      </c>
      <c r="BD116" s="74">
        <f ca="1">IF(AU116="C",VLOOKUP(BC116,TER!$J$4:$L$50,3,TRUE),IF(AU116="B",VLOOKUP(BC116,TER!$F$4:$H$50,3,TRUE),IF(AU116="A",VLOOKUP(BC116,TER!$B$4:$D$50,3,TRUE),"ERROR")))</f>
        <v>7.4999999999999997E-3</v>
      </c>
      <c r="BE116" s="69">
        <f t="shared" ca="1" si="72"/>
        <v>56175.092777999991</v>
      </c>
      <c r="BF116" s="113"/>
      <c r="BG116" s="113"/>
    </row>
    <row r="117" spans="1:59" ht="15.75" customHeight="1" outlineLevel="1">
      <c r="A117" s="113"/>
      <c r="B117" s="60">
        <v>28</v>
      </c>
      <c r="C117" s="68" t="s">
        <v>431</v>
      </c>
      <c r="D117" s="66" t="s">
        <v>432</v>
      </c>
      <c r="E117" s="67" t="s">
        <v>57</v>
      </c>
      <c r="F117" s="68" t="s">
        <v>1225</v>
      </c>
      <c r="G117" s="67" t="s">
        <v>31</v>
      </c>
      <c r="H117" s="66" t="s">
        <v>32</v>
      </c>
      <c r="I117" s="69">
        <f t="shared" si="51"/>
        <v>5729876</v>
      </c>
      <c r="J117" s="312">
        <v>316205</v>
      </c>
      <c r="K117" s="312">
        <v>202695</v>
      </c>
      <c r="L117" s="69">
        <f t="shared" ref="L117:L119" si="77">IF(G117&gt;=0,IF(G117="SUPERVISOR",2500000,IF(G117="SHIFT LEADER",1200000,0)))</f>
        <v>0</v>
      </c>
      <c r="M117" s="69">
        <f t="shared" ca="1" si="74"/>
        <v>0</v>
      </c>
      <c r="N117" s="61">
        <f ca="1">IFERROR(__xludf.DUMMYFUNCTION("VLOOKUP(C117,IMPORTRANGE(""https://docs.google.com/spreadsheets/d/1bYzf4ItZuOkngvwjv6KE7rQwu8zocnnv24ijoZh_CLs/edit?gid=53702207#gid=53702207"",""SCHEDULE_HSP_JAN26""),35,0)"),21)</f>
        <v>21</v>
      </c>
      <c r="O117" s="258">
        <f ca="1">IFERROR(__xludf.DUMMYFUNCTION("VLOOKUP(C117,IMPORTRANGE(""https://docs.google.com/spreadsheets/d/1bYzf4ItZuOkngvwjv6KE7rQwu8zocnnv24ijoZh_CLs/edit?gid=53702207#gid=53702207"",""SCHEDULE_HSP_JAN26""),34,0)"),21)</f>
        <v>21</v>
      </c>
      <c r="P117" s="69">
        <f t="shared" ca="1" si="53"/>
        <v>0</v>
      </c>
      <c r="Q117" s="71"/>
      <c r="R117" s="69">
        <f t="shared" si="54"/>
        <v>6248776</v>
      </c>
      <c r="S117" s="69">
        <f t="shared" si="55"/>
        <v>6248776</v>
      </c>
      <c r="T117" s="69">
        <v>0</v>
      </c>
      <c r="U117" s="19">
        <v>196400</v>
      </c>
      <c r="V117" s="125">
        <f ca="1">IFERROR(__xludf.DUMMYFUNCTION("VLOOKUP(C117,IMPORTRANGE(""https://docs.google.com/spreadsheets/d/1bYzf4ItZuOkngvwjv6KE7rQwu8zocnnv24ijoZh_CLs/edit?gid=53702207#gid=53702207"",""SCHEDULE_HSP_JAN26""),36,0)"),0)</f>
        <v>0</v>
      </c>
      <c r="W117" s="69">
        <f t="shared" ca="1" si="56"/>
        <v>0</v>
      </c>
      <c r="X117" s="69">
        <v>0</v>
      </c>
      <c r="Y117" s="69">
        <f t="shared" ca="1" si="57"/>
        <v>6248776</v>
      </c>
      <c r="Z117" s="125">
        <f ca="1">IFERROR(__xludf.DUMMYFUNCTION("VLOOKUP(C117,IMPORTRANGE(""https://docs.google.com/spreadsheets/d/1bYzf4ItZuOkngvwjv6KE7rQwu8zocnnv24ijoZh_CLs/edit?gid=53702207#gid=53702207"",""SCHEDULE_HSP_JAN26""),38,0)+VLOOKUP(C117,IMPORTRANGE(""https://docs.google.com/spreadsheets/d/1bYzf4ItZuOkngv"&amp;"wjv6KE7rQwu8zocnnv24ijoZh_CLs/edit?gid=53702207#gid=53702207"",""SCHEDULE_HSP_JAN26""),39,0)"),0)</f>
        <v>0</v>
      </c>
      <c r="AA117" s="61">
        <f ca="1">IFERROR(__xludf.DUMMYFUNCTION("VLOOKUP(C117,IMPORTRANGE(""https://docs.google.com/spreadsheets/d/1bYzf4ItZuOkngvwjv6KE7rQwu8zocnnv24ijoZh_CLs/edit?gid=53702207#gid=53702207"",""SCHEDULE_HSP_JAN26""),40,0)"),0)</f>
        <v>0</v>
      </c>
      <c r="AB117" s="61">
        <f ca="1">IFERROR(__xludf.DUMMYFUNCTION("VLOOKUP(C117,IMPORTRANGE(""https://docs.google.com/spreadsheets/d/1bYzf4ItZuOkngvwjv6KE7rQwu8zocnnv24ijoZh_CLs/edit?gid=53702207#gid=53702207"",""SCHEDULE_HSP_JAN26""),41,0)"),0)</f>
        <v>0</v>
      </c>
      <c r="AC117" s="61">
        <f ca="1">IFERROR(__xludf.DUMMYFUNCTION("VLOOKUP(C117,IMPORTRANGE(""https://docs.google.com/spreadsheets/d/1bYzf4ItZuOkngvwjv6KE7rQwu8zocnnv24ijoZh_CLs/edit?gid=53702207#gid=53702207"",""SCHEDULE_HSP_JAN26""),42,0)"),0)</f>
        <v>0</v>
      </c>
      <c r="AD117" s="61"/>
      <c r="AE117" s="69">
        <f t="shared" ca="1" si="58"/>
        <v>0</v>
      </c>
      <c r="AF117" s="313">
        <v>468468</v>
      </c>
      <c r="AG117" s="313">
        <v>253500</v>
      </c>
      <c r="AH117" s="69">
        <v>0</v>
      </c>
      <c r="AI117" s="69">
        <v>0</v>
      </c>
      <c r="AJ117" s="69">
        <v>0</v>
      </c>
      <c r="AK117" s="69">
        <v>0</v>
      </c>
      <c r="AL117" s="69">
        <v>0</v>
      </c>
      <c r="AM117" s="69">
        <f t="shared" ca="1" si="59"/>
        <v>721968</v>
      </c>
      <c r="AN117" s="69">
        <f t="shared" ca="1" si="60"/>
        <v>5526808</v>
      </c>
      <c r="AO117" s="69">
        <f t="shared" ca="1" si="61"/>
        <v>44925.092777999991</v>
      </c>
      <c r="AP117" s="69">
        <f t="shared" ca="1" si="62"/>
        <v>5481882.907222</v>
      </c>
      <c r="AQ117" s="69">
        <f t="shared" ca="1" si="63"/>
        <v>5481882.907222</v>
      </c>
      <c r="AR117" s="314">
        <f t="shared" ca="1" si="64"/>
        <v>5481900</v>
      </c>
      <c r="AS117" s="72"/>
      <c r="AT117" s="73" t="s">
        <v>9</v>
      </c>
      <c r="AU117" s="61" t="s">
        <v>10</v>
      </c>
      <c r="AV117" s="69">
        <f t="shared" si="65"/>
        <v>5729876</v>
      </c>
      <c r="AW117" s="69">
        <f t="shared" ca="1" si="66"/>
        <v>0</v>
      </c>
      <c r="AX117" s="69">
        <f t="shared" ca="1" si="67"/>
        <v>0</v>
      </c>
      <c r="AY117" s="69">
        <v>0</v>
      </c>
      <c r="AZ117" s="69">
        <f t="shared" si="68"/>
        <v>13751.702399999998</v>
      </c>
      <c r="BA117" s="69">
        <f t="shared" si="69"/>
        <v>17189.628000000001</v>
      </c>
      <c r="BB117" s="69">
        <f t="shared" si="70"/>
        <v>229195.04</v>
      </c>
      <c r="BC117" s="69">
        <f t="shared" ca="1" si="71"/>
        <v>5990012.3703999994</v>
      </c>
      <c r="BD117" s="74">
        <f ca="1">IF(AU117="C",VLOOKUP(BC117,TER!$J$4:$L$50,3,TRUE),IF(AU117="B",VLOOKUP(BC117,TER!$F$4:$H$50,3,TRUE),IF(AU117="A",VLOOKUP(BC117,TER!$B$4:$D$50,3,TRUE),"ERROR")))</f>
        <v>7.4999999999999997E-3</v>
      </c>
      <c r="BE117" s="69">
        <f t="shared" ca="1" si="72"/>
        <v>44925.092777999991</v>
      </c>
      <c r="BF117" s="113"/>
      <c r="BG117" s="113"/>
    </row>
    <row r="118" spans="1:59" ht="15.75" customHeight="1" outlineLevel="1">
      <c r="A118" s="113"/>
      <c r="B118" s="60">
        <v>29</v>
      </c>
      <c r="C118" s="68" t="s">
        <v>433</v>
      </c>
      <c r="D118" s="66" t="s">
        <v>434</v>
      </c>
      <c r="E118" s="67" t="s">
        <v>57</v>
      </c>
      <c r="F118" s="68" t="s">
        <v>1226</v>
      </c>
      <c r="G118" s="67" t="s">
        <v>31</v>
      </c>
      <c r="H118" s="66" t="s">
        <v>32</v>
      </c>
      <c r="I118" s="69">
        <f t="shared" si="51"/>
        <v>5729876</v>
      </c>
      <c r="J118" s="312">
        <v>316205</v>
      </c>
      <c r="K118" s="312">
        <v>202695</v>
      </c>
      <c r="L118" s="69">
        <f t="shared" si="77"/>
        <v>0</v>
      </c>
      <c r="M118" s="69">
        <f t="shared" ca="1" si="74"/>
        <v>0</v>
      </c>
      <c r="N118" s="61">
        <f ca="1">IFERROR(__xludf.DUMMYFUNCTION("VLOOKUP(C118,IMPORTRANGE(""https://docs.google.com/spreadsheets/d/1bYzf4ItZuOkngvwjv6KE7rQwu8zocnnv24ijoZh_CLs/edit?gid=53702207#gid=53702207"",""SCHEDULE_HSP_JAN26""),35,0)"),21)</f>
        <v>21</v>
      </c>
      <c r="O118" s="258">
        <f ca="1">IFERROR(__xludf.DUMMYFUNCTION("VLOOKUP(C118,IMPORTRANGE(""https://docs.google.com/spreadsheets/d/1bYzf4ItZuOkngvwjv6KE7rQwu8zocnnv24ijoZh_CLs/edit?gid=53702207#gid=53702207"",""SCHEDULE_HSP_JAN26""),34,0)"),21)</f>
        <v>21</v>
      </c>
      <c r="P118" s="69">
        <f t="shared" ca="1" si="53"/>
        <v>0</v>
      </c>
      <c r="Q118" s="71"/>
      <c r="R118" s="69">
        <f t="shared" si="54"/>
        <v>6248776</v>
      </c>
      <c r="S118" s="69">
        <f t="shared" si="55"/>
        <v>6248776</v>
      </c>
      <c r="T118" s="69">
        <v>0</v>
      </c>
      <c r="U118" s="19">
        <v>196400</v>
      </c>
      <c r="V118" s="125">
        <f ca="1">IFERROR(__xludf.DUMMYFUNCTION("VLOOKUP(C118,IMPORTRANGE(""https://docs.google.com/spreadsheets/d/1bYzf4ItZuOkngvwjv6KE7rQwu8zocnnv24ijoZh_CLs/edit?gid=53702207#gid=53702207"",""SCHEDULE_HSP_JAN26""),36,0)"),0)</f>
        <v>0</v>
      </c>
      <c r="W118" s="69">
        <f t="shared" ca="1" si="56"/>
        <v>0</v>
      </c>
      <c r="X118" s="69">
        <v>0</v>
      </c>
      <c r="Y118" s="69">
        <f t="shared" ca="1" si="57"/>
        <v>6248776</v>
      </c>
      <c r="Z118" s="125">
        <f ca="1">IFERROR(__xludf.DUMMYFUNCTION("VLOOKUP(C118,IMPORTRANGE(""https://docs.google.com/spreadsheets/d/1bYzf4ItZuOkngvwjv6KE7rQwu8zocnnv24ijoZh_CLs/edit?gid=53702207#gid=53702207"",""SCHEDULE_HSP_JAN26""),38,0)+VLOOKUP(C118,IMPORTRANGE(""https://docs.google.com/spreadsheets/d/1bYzf4ItZuOkngv"&amp;"wjv6KE7rQwu8zocnnv24ijoZh_CLs/edit?gid=53702207#gid=53702207"",""SCHEDULE_HSP_JAN26""),39,0)"),0)</f>
        <v>0</v>
      </c>
      <c r="AA118" s="61">
        <f ca="1">IFERROR(__xludf.DUMMYFUNCTION("VLOOKUP(C118,IMPORTRANGE(""https://docs.google.com/spreadsheets/d/1bYzf4ItZuOkngvwjv6KE7rQwu8zocnnv24ijoZh_CLs/edit?gid=53702207#gid=53702207"",""SCHEDULE_HSP_JAN26""),40,0)"),0)</f>
        <v>0</v>
      </c>
      <c r="AB118" s="61">
        <f ca="1">IFERROR(__xludf.DUMMYFUNCTION("VLOOKUP(C118,IMPORTRANGE(""https://docs.google.com/spreadsheets/d/1bYzf4ItZuOkngvwjv6KE7rQwu8zocnnv24ijoZh_CLs/edit?gid=53702207#gid=53702207"",""SCHEDULE_HSP_JAN26""),41,0)"),0)</f>
        <v>0</v>
      </c>
      <c r="AC118" s="61">
        <f ca="1">IFERROR(__xludf.DUMMYFUNCTION("VLOOKUP(C118,IMPORTRANGE(""https://docs.google.com/spreadsheets/d/1bYzf4ItZuOkngvwjv6KE7rQwu8zocnnv24ijoZh_CLs/edit?gid=53702207#gid=53702207"",""SCHEDULE_HSP_JAN26""),42,0)"),0)</f>
        <v>0</v>
      </c>
      <c r="AD118" s="61"/>
      <c r="AE118" s="69">
        <f t="shared" ca="1" si="58"/>
        <v>0</v>
      </c>
      <c r="AF118" s="313">
        <v>468468</v>
      </c>
      <c r="AG118" s="313">
        <v>253500</v>
      </c>
      <c r="AH118" s="69">
        <v>0</v>
      </c>
      <c r="AI118" s="69">
        <v>0</v>
      </c>
      <c r="AJ118" s="69">
        <v>0</v>
      </c>
      <c r="AK118" s="69">
        <v>0</v>
      </c>
      <c r="AL118" s="69">
        <v>0</v>
      </c>
      <c r="AM118" s="69">
        <f t="shared" ca="1" si="59"/>
        <v>721968</v>
      </c>
      <c r="AN118" s="69">
        <f t="shared" ca="1" si="60"/>
        <v>5526808</v>
      </c>
      <c r="AO118" s="69">
        <f t="shared" ca="1" si="61"/>
        <v>0</v>
      </c>
      <c r="AP118" s="69">
        <f t="shared" ca="1" si="62"/>
        <v>5526808</v>
      </c>
      <c r="AQ118" s="69">
        <f t="shared" ca="1" si="63"/>
        <v>5526808</v>
      </c>
      <c r="AR118" s="314">
        <f t="shared" ca="1" si="64"/>
        <v>5526800</v>
      </c>
      <c r="AS118" s="72"/>
      <c r="AT118" s="73" t="s">
        <v>18</v>
      </c>
      <c r="AU118" s="61" t="s">
        <v>15</v>
      </c>
      <c r="AV118" s="69">
        <f t="shared" si="65"/>
        <v>5729876</v>
      </c>
      <c r="AW118" s="69">
        <f t="shared" ca="1" si="66"/>
        <v>0</v>
      </c>
      <c r="AX118" s="69">
        <f t="shared" ca="1" si="67"/>
        <v>0</v>
      </c>
      <c r="AY118" s="69">
        <v>0</v>
      </c>
      <c r="AZ118" s="69">
        <f t="shared" si="68"/>
        <v>13751.702399999998</v>
      </c>
      <c r="BA118" s="69">
        <f t="shared" si="69"/>
        <v>17189.628000000001</v>
      </c>
      <c r="BB118" s="69">
        <f t="shared" si="70"/>
        <v>229195.04</v>
      </c>
      <c r="BC118" s="69">
        <f t="shared" ca="1" si="71"/>
        <v>5990012.3703999994</v>
      </c>
      <c r="BD118" s="74">
        <f ca="1">IF(AU118="C",VLOOKUP(BC118,TER!$J$4:$L$50,3,TRUE),IF(AU118="B",VLOOKUP(BC118,TER!$F$4:$H$50,3,TRUE),IF(AU118="A",VLOOKUP(BC118,TER!$B$4:$D$50,3,TRUE),"ERROR")))</f>
        <v>0</v>
      </c>
      <c r="BE118" s="69">
        <f t="shared" ca="1" si="72"/>
        <v>0</v>
      </c>
      <c r="BF118" s="113"/>
      <c r="BG118" s="113"/>
    </row>
    <row r="119" spans="1:59" ht="15.75" customHeight="1" outlineLevel="1">
      <c r="A119" s="113"/>
      <c r="B119" s="60">
        <v>30</v>
      </c>
      <c r="C119" s="68" t="s">
        <v>435</v>
      </c>
      <c r="D119" s="66" t="s">
        <v>436</v>
      </c>
      <c r="E119" s="67" t="s">
        <v>57</v>
      </c>
      <c r="F119" s="68" t="s">
        <v>1227</v>
      </c>
      <c r="G119" s="67" t="s">
        <v>31</v>
      </c>
      <c r="H119" s="66" t="s">
        <v>32</v>
      </c>
      <c r="I119" s="69">
        <f t="shared" si="51"/>
        <v>5729876</v>
      </c>
      <c r="J119" s="312">
        <v>316205</v>
      </c>
      <c r="K119" s="312">
        <v>202695</v>
      </c>
      <c r="L119" s="69">
        <f t="shared" si="77"/>
        <v>0</v>
      </c>
      <c r="M119" s="69">
        <f t="shared" ca="1" si="74"/>
        <v>0</v>
      </c>
      <c r="N119" s="61">
        <f ca="1">IFERROR(__xludf.DUMMYFUNCTION("VLOOKUP(C119,IMPORTRANGE(""https://docs.google.com/spreadsheets/d/1bYzf4ItZuOkngvwjv6KE7rQwu8zocnnv24ijoZh_CLs/edit?gid=53702207#gid=53702207"",""SCHEDULE_HSP_JAN26""),35,0)"),21)</f>
        <v>21</v>
      </c>
      <c r="O119" s="258">
        <f ca="1">IFERROR(__xludf.DUMMYFUNCTION("VLOOKUP(C119,IMPORTRANGE(""https://docs.google.com/spreadsheets/d/1bYzf4ItZuOkngvwjv6KE7rQwu8zocnnv24ijoZh_CLs/edit?gid=53702207#gid=53702207"",""SCHEDULE_HSP_JAN26""),34,0)"),21)</f>
        <v>21</v>
      </c>
      <c r="P119" s="69">
        <f t="shared" ca="1" si="53"/>
        <v>0</v>
      </c>
      <c r="Q119" s="71"/>
      <c r="R119" s="69">
        <f t="shared" si="54"/>
        <v>6248776</v>
      </c>
      <c r="S119" s="69">
        <f t="shared" si="55"/>
        <v>6248776</v>
      </c>
      <c r="T119" s="69">
        <v>0</v>
      </c>
      <c r="U119" s="19">
        <v>196400</v>
      </c>
      <c r="V119" s="125">
        <f ca="1">IFERROR(__xludf.DUMMYFUNCTION("VLOOKUP(C119,IMPORTRANGE(""https://docs.google.com/spreadsheets/d/1bYzf4ItZuOkngvwjv6KE7rQwu8zocnnv24ijoZh_CLs/edit?gid=53702207#gid=53702207"",""SCHEDULE_HSP_JAN26""),36,0)"),0)</f>
        <v>0</v>
      </c>
      <c r="W119" s="69">
        <f t="shared" ca="1" si="56"/>
        <v>0</v>
      </c>
      <c r="X119" s="69">
        <v>0</v>
      </c>
      <c r="Y119" s="69">
        <f t="shared" ca="1" si="57"/>
        <v>6248776</v>
      </c>
      <c r="Z119" s="125">
        <f ca="1">IFERROR(__xludf.DUMMYFUNCTION("VLOOKUP(C119,IMPORTRANGE(""https://docs.google.com/spreadsheets/d/1bYzf4ItZuOkngvwjv6KE7rQwu8zocnnv24ijoZh_CLs/edit?gid=53702207#gid=53702207"",""SCHEDULE_HSP_JAN26""),38,0)+VLOOKUP(C119,IMPORTRANGE(""https://docs.google.com/spreadsheets/d/1bYzf4ItZuOkngv"&amp;"wjv6KE7rQwu8zocnnv24ijoZh_CLs/edit?gid=53702207#gid=53702207"",""SCHEDULE_HSP_JAN26""),39,0)"),0)</f>
        <v>0</v>
      </c>
      <c r="AA119" s="61">
        <f ca="1">IFERROR(__xludf.DUMMYFUNCTION("VLOOKUP(C119,IMPORTRANGE(""https://docs.google.com/spreadsheets/d/1bYzf4ItZuOkngvwjv6KE7rQwu8zocnnv24ijoZh_CLs/edit?gid=53702207#gid=53702207"",""SCHEDULE_HSP_JAN26""),40,0)"),0)</f>
        <v>0</v>
      </c>
      <c r="AB119" s="61">
        <f ca="1">IFERROR(__xludf.DUMMYFUNCTION("VLOOKUP(C119,IMPORTRANGE(""https://docs.google.com/spreadsheets/d/1bYzf4ItZuOkngvwjv6KE7rQwu8zocnnv24ijoZh_CLs/edit?gid=53702207#gid=53702207"",""SCHEDULE_HSP_JAN26""),41,0)"),0)</f>
        <v>0</v>
      </c>
      <c r="AC119" s="61">
        <f ca="1">IFERROR(__xludf.DUMMYFUNCTION("VLOOKUP(C119,IMPORTRANGE(""https://docs.google.com/spreadsheets/d/1bYzf4ItZuOkngvwjv6KE7rQwu8zocnnv24ijoZh_CLs/edit?gid=53702207#gid=53702207"",""SCHEDULE_HSP_JAN26""),42,0)"),0)</f>
        <v>0</v>
      </c>
      <c r="AD119" s="61"/>
      <c r="AE119" s="69">
        <f t="shared" ca="1" si="58"/>
        <v>0</v>
      </c>
      <c r="AF119" s="313">
        <v>468468</v>
      </c>
      <c r="AG119" s="354">
        <v>253500</v>
      </c>
      <c r="AH119" s="69">
        <v>0</v>
      </c>
      <c r="AI119" s="69">
        <v>0</v>
      </c>
      <c r="AJ119" s="69">
        <v>0</v>
      </c>
      <c r="AK119" s="69">
        <v>0</v>
      </c>
      <c r="AL119" s="69">
        <v>0</v>
      </c>
      <c r="AM119" s="69">
        <f t="shared" ca="1" si="59"/>
        <v>721968</v>
      </c>
      <c r="AN119" s="69">
        <f t="shared" ca="1" si="60"/>
        <v>5526808</v>
      </c>
      <c r="AO119" s="69">
        <f t="shared" ca="1" si="61"/>
        <v>44925.092777999991</v>
      </c>
      <c r="AP119" s="69">
        <f t="shared" ca="1" si="62"/>
        <v>5481882.907222</v>
      </c>
      <c r="AQ119" s="69">
        <f t="shared" ca="1" si="63"/>
        <v>5481882.907222</v>
      </c>
      <c r="AR119" s="314">
        <f t="shared" ca="1" si="64"/>
        <v>5481900</v>
      </c>
      <c r="AS119" s="72"/>
      <c r="AT119" s="73" t="s">
        <v>13</v>
      </c>
      <c r="AU119" s="61" t="s">
        <v>10</v>
      </c>
      <c r="AV119" s="69">
        <f t="shared" si="65"/>
        <v>5729876</v>
      </c>
      <c r="AW119" s="69">
        <f t="shared" ca="1" si="66"/>
        <v>0</v>
      </c>
      <c r="AX119" s="69">
        <f t="shared" ca="1" si="67"/>
        <v>0</v>
      </c>
      <c r="AY119" s="69">
        <v>0</v>
      </c>
      <c r="AZ119" s="69">
        <f t="shared" si="68"/>
        <v>13751.702399999998</v>
      </c>
      <c r="BA119" s="69">
        <f t="shared" si="69"/>
        <v>17189.628000000001</v>
      </c>
      <c r="BB119" s="69">
        <f t="shared" si="70"/>
        <v>229195.04</v>
      </c>
      <c r="BC119" s="69">
        <f t="shared" ca="1" si="71"/>
        <v>5990012.3703999994</v>
      </c>
      <c r="BD119" s="74">
        <f ca="1">IF(AU119="C",VLOOKUP(BC119,TER!$J$4:$L$50,3,TRUE),IF(AU119="B",VLOOKUP(BC119,TER!$F$4:$H$50,3,TRUE),IF(AU119="A",VLOOKUP(BC119,TER!$B$4:$D$50,3,TRUE),"ERROR")))</f>
        <v>7.4999999999999997E-3</v>
      </c>
      <c r="BE119" s="69">
        <f t="shared" ca="1" si="72"/>
        <v>44925.092777999991</v>
      </c>
      <c r="BF119" s="113"/>
      <c r="BG119" s="113"/>
    </row>
    <row r="120" spans="1:59" ht="15.75" customHeight="1" outlineLevel="1">
      <c r="A120" s="113"/>
      <c r="B120" s="60">
        <v>31</v>
      </c>
      <c r="C120" s="68" t="s">
        <v>46</v>
      </c>
      <c r="D120" s="66" t="s">
        <v>47</v>
      </c>
      <c r="E120" s="67" t="s">
        <v>30</v>
      </c>
      <c r="F120" s="68" t="s">
        <v>48</v>
      </c>
      <c r="G120" s="67" t="s">
        <v>94</v>
      </c>
      <c r="H120" s="66" t="s">
        <v>32</v>
      </c>
      <c r="I120" s="69">
        <f t="shared" si="51"/>
        <v>5729876</v>
      </c>
      <c r="J120" s="312">
        <v>316205</v>
      </c>
      <c r="K120" s="312">
        <v>202695</v>
      </c>
      <c r="L120" s="19">
        <v>500000</v>
      </c>
      <c r="M120" s="69">
        <f t="shared" ca="1" si="74"/>
        <v>25000</v>
      </c>
      <c r="N120" s="61">
        <f ca="1">IFERROR(__xludf.DUMMYFUNCTION("VLOOKUP(C120,IMPORTRANGE(""https://docs.google.com/spreadsheets/d/1bYzf4ItZuOkngvwjv6KE7rQwu8zocnnv24ijoZh_CLs/edit?gid=53702207#gid=53702207"",""SCHEDULE_HSP_JAN26""),35,0)"),20)</f>
        <v>20</v>
      </c>
      <c r="O120" s="258">
        <f ca="1">IFERROR(__xludf.DUMMYFUNCTION("VLOOKUP(C120,IMPORTRANGE(""https://docs.google.com/spreadsheets/d/1bYzf4ItZuOkngvwjv6KE7rQwu8zocnnv24ijoZh_CLs/edit?gid=53702207#gid=53702207"",""SCHEDULE_HSP_JAN26""),34,0)"),20)</f>
        <v>20</v>
      </c>
      <c r="P120" s="69">
        <f t="shared" ca="1" si="53"/>
        <v>500000</v>
      </c>
      <c r="Q120" s="71"/>
      <c r="R120" s="69">
        <f t="shared" si="54"/>
        <v>6748776</v>
      </c>
      <c r="S120" s="69">
        <f t="shared" si="55"/>
        <v>6748776</v>
      </c>
      <c r="T120" s="69">
        <v>0</v>
      </c>
      <c r="U120" s="19">
        <v>196400</v>
      </c>
      <c r="V120" s="125">
        <f ca="1">IFERROR(__xludf.DUMMYFUNCTION("VLOOKUP(C120,IMPORTRANGE(""https://docs.google.com/spreadsheets/d/1bYzf4ItZuOkngvwjv6KE7rQwu8zocnnv24ijoZh_CLs/edit?gid=53702207#gid=53702207"",""SCHEDULE_HSP_JAN26""),36,0)"),2)</f>
        <v>2</v>
      </c>
      <c r="W120" s="69">
        <f t="shared" ca="1" si="56"/>
        <v>392800</v>
      </c>
      <c r="X120" s="69">
        <v>0</v>
      </c>
      <c r="Y120" s="69">
        <f t="shared" ca="1" si="57"/>
        <v>7141576</v>
      </c>
      <c r="Z120" s="125">
        <f ca="1">IFERROR(__xludf.DUMMYFUNCTION("VLOOKUP(C120,IMPORTRANGE(""https://docs.google.com/spreadsheets/d/1bYzf4ItZuOkngvwjv6KE7rQwu8zocnnv24ijoZh_CLs/edit?gid=53702207#gid=53702207"",""SCHEDULE_HSP_JAN26""),38,0)+VLOOKUP(C120,IMPORTRANGE(""https://docs.google.com/spreadsheets/d/1bYzf4ItZuOkngv"&amp;"wjv6KE7rQwu8zocnnv24ijoZh_CLs/edit?gid=53702207#gid=53702207"",""SCHEDULE_HSP_JAN26""),39,0)"),0)</f>
        <v>0</v>
      </c>
      <c r="AA120" s="61">
        <f ca="1">IFERROR(__xludf.DUMMYFUNCTION("VLOOKUP(C120,IMPORTRANGE(""https://docs.google.com/spreadsheets/d/1bYzf4ItZuOkngvwjv6KE7rQwu8zocnnv24ijoZh_CLs/edit?gid=53702207#gid=53702207"",""SCHEDULE_HSP_JAN26""),40,0)"),0)</f>
        <v>0</v>
      </c>
      <c r="AB120" s="61">
        <f ca="1">IFERROR(__xludf.DUMMYFUNCTION("VLOOKUP(C120,IMPORTRANGE(""https://docs.google.com/spreadsheets/d/1bYzf4ItZuOkngvwjv6KE7rQwu8zocnnv24ijoZh_CLs/edit?gid=53702207#gid=53702207"",""SCHEDULE_HSP_JAN26""),41,0)"),0)</f>
        <v>0</v>
      </c>
      <c r="AC120" s="61">
        <f ca="1">IFERROR(__xludf.DUMMYFUNCTION("VLOOKUP(C120,IMPORTRANGE(""https://docs.google.com/spreadsheets/d/1bYzf4ItZuOkngvwjv6KE7rQwu8zocnnv24ijoZh_CLs/edit?gid=53702207#gid=53702207"",""SCHEDULE_HSP_JAN26""),42,0)"),0)</f>
        <v>0</v>
      </c>
      <c r="AD120" s="61"/>
      <c r="AE120" s="69">
        <f t="shared" ca="1" si="58"/>
        <v>0</v>
      </c>
      <c r="AF120" s="313">
        <v>468468</v>
      </c>
      <c r="AG120" s="354">
        <v>253500</v>
      </c>
      <c r="AH120" s="69">
        <v>0</v>
      </c>
      <c r="AI120" s="69">
        <v>0</v>
      </c>
      <c r="AJ120" s="69">
        <v>0</v>
      </c>
      <c r="AK120" s="69">
        <v>0</v>
      </c>
      <c r="AL120" s="69">
        <v>0</v>
      </c>
      <c r="AM120" s="69">
        <f t="shared" ca="1" si="59"/>
        <v>721968</v>
      </c>
      <c r="AN120" s="69">
        <f t="shared" ca="1" si="60"/>
        <v>6419608</v>
      </c>
      <c r="AO120" s="69">
        <f t="shared" ca="1" si="61"/>
        <v>86035.154630000005</v>
      </c>
      <c r="AP120" s="69">
        <f t="shared" ca="1" si="62"/>
        <v>6333572.8453700002</v>
      </c>
      <c r="AQ120" s="69">
        <f t="shared" ca="1" si="63"/>
        <v>6333572.8453700002</v>
      </c>
      <c r="AR120" s="314">
        <f t="shared" ca="1" si="64"/>
        <v>6333600</v>
      </c>
      <c r="AS120" s="72"/>
      <c r="AT120" s="73" t="s">
        <v>9</v>
      </c>
      <c r="AU120" s="61" t="s">
        <v>10</v>
      </c>
      <c r="AV120" s="69">
        <f t="shared" si="65"/>
        <v>5729876</v>
      </c>
      <c r="AW120" s="69">
        <f t="shared" ca="1" si="66"/>
        <v>500000</v>
      </c>
      <c r="AX120" s="69">
        <f t="shared" ca="1" si="67"/>
        <v>392800</v>
      </c>
      <c r="AY120" s="69">
        <v>0</v>
      </c>
      <c r="AZ120" s="69">
        <f t="shared" si="68"/>
        <v>13751.702399999998</v>
      </c>
      <c r="BA120" s="69">
        <f t="shared" si="69"/>
        <v>17189.628000000001</v>
      </c>
      <c r="BB120" s="69">
        <f t="shared" si="70"/>
        <v>229195.04</v>
      </c>
      <c r="BC120" s="69">
        <f t="shared" ca="1" si="71"/>
        <v>6882812.3703999994</v>
      </c>
      <c r="BD120" s="74">
        <f ca="1">IF(AU120="C",VLOOKUP(BC120,TER!$J$4:$L$50,3,TRUE),IF(AU120="B",VLOOKUP(BC120,TER!$F$4:$H$50,3,TRUE),IF(AU120="A",VLOOKUP(BC120,TER!$B$4:$D$50,3,TRUE),"ERROR")))</f>
        <v>1.2500000000000001E-2</v>
      </c>
      <c r="BE120" s="69">
        <f t="shared" ca="1" si="72"/>
        <v>86035.154630000005</v>
      </c>
      <c r="BF120" s="113"/>
      <c r="BG120" s="113"/>
    </row>
    <row r="121" spans="1:59" ht="15.75" customHeight="1" outlineLevel="1">
      <c r="A121" s="113"/>
      <c r="B121" s="60">
        <v>32</v>
      </c>
      <c r="C121" s="68" t="s">
        <v>437</v>
      </c>
      <c r="D121" s="66" t="s">
        <v>438</v>
      </c>
      <c r="E121" s="67" t="s">
        <v>57</v>
      </c>
      <c r="F121" s="68" t="s">
        <v>1228</v>
      </c>
      <c r="G121" s="67" t="s">
        <v>398</v>
      </c>
      <c r="H121" s="66" t="s">
        <v>32</v>
      </c>
      <c r="I121" s="69">
        <f t="shared" si="51"/>
        <v>5729876</v>
      </c>
      <c r="J121" s="312">
        <v>316205</v>
      </c>
      <c r="K121" s="312">
        <v>202695</v>
      </c>
      <c r="L121" s="69">
        <f t="shared" ref="L121:L127" si="78">IF(G121&gt;=0,IF(G121="SUPERVISOR",2500000,IF(G121="SHIFT LEADER",1200000,0)))</f>
        <v>0</v>
      </c>
      <c r="M121" s="69">
        <f t="shared" ca="1" si="74"/>
        <v>0</v>
      </c>
      <c r="N121" s="61">
        <f ca="1">IFERROR(__xludf.DUMMYFUNCTION("VLOOKUP(C121,IMPORTRANGE(""https://docs.google.com/spreadsheets/d/1bYzf4ItZuOkngvwjv6KE7rQwu8zocnnv24ijoZh_CLs/edit?gid=53702207#gid=53702207"",""SCHEDULE_HSP_JAN26""),35,0)"),21)</f>
        <v>21</v>
      </c>
      <c r="O121" s="258">
        <f ca="1">IFERROR(__xludf.DUMMYFUNCTION("VLOOKUP(C121,IMPORTRANGE(""https://docs.google.com/spreadsheets/d/1bYzf4ItZuOkngvwjv6KE7rQwu8zocnnv24ijoZh_CLs/edit?gid=53702207#gid=53702207"",""SCHEDULE_HSP_JAN26""),34,0)"),21)</f>
        <v>21</v>
      </c>
      <c r="P121" s="69">
        <f t="shared" ca="1" si="53"/>
        <v>0</v>
      </c>
      <c r="Q121" s="66"/>
      <c r="R121" s="69">
        <f t="shared" si="54"/>
        <v>6248776</v>
      </c>
      <c r="S121" s="69">
        <f t="shared" si="55"/>
        <v>6248776</v>
      </c>
      <c r="T121" s="69">
        <v>0</v>
      </c>
      <c r="U121" s="19">
        <v>196400</v>
      </c>
      <c r="V121" s="125">
        <f ca="1">IFERROR(__xludf.DUMMYFUNCTION("VLOOKUP(C121,IMPORTRANGE(""https://docs.google.com/spreadsheets/d/1bYzf4ItZuOkngvwjv6KE7rQwu8zocnnv24ijoZh_CLs/edit?gid=53702207#gid=53702207"",""SCHEDULE_HSP_JAN26""),36,0)"),1)</f>
        <v>1</v>
      </c>
      <c r="W121" s="69">
        <f t="shared" ca="1" si="56"/>
        <v>196400</v>
      </c>
      <c r="X121" s="126">
        <v>0</v>
      </c>
      <c r="Y121" s="69">
        <f t="shared" ca="1" si="57"/>
        <v>6445176</v>
      </c>
      <c r="Z121" s="125">
        <f ca="1">IFERROR(__xludf.DUMMYFUNCTION("VLOOKUP(C121,IMPORTRANGE(""https://docs.google.com/spreadsheets/d/1bYzf4ItZuOkngvwjv6KE7rQwu8zocnnv24ijoZh_CLs/edit?gid=53702207#gid=53702207"",""SCHEDULE_HSP_JAN26""),38,0)+VLOOKUP(C121,IMPORTRANGE(""https://docs.google.com/spreadsheets/d/1bYzf4ItZuOkngv"&amp;"wjv6KE7rQwu8zocnnv24ijoZh_CLs/edit?gid=53702207#gid=53702207"",""SCHEDULE_HSP_JAN26""),39,0)"),0)</f>
        <v>0</v>
      </c>
      <c r="AA121" s="61">
        <f ca="1">IFERROR(__xludf.DUMMYFUNCTION("VLOOKUP(C121,IMPORTRANGE(""https://docs.google.com/spreadsheets/d/1bYzf4ItZuOkngvwjv6KE7rQwu8zocnnv24ijoZh_CLs/edit?gid=53702207#gid=53702207"",""SCHEDULE_HSP_JAN26""),40,0)"),0)</f>
        <v>0</v>
      </c>
      <c r="AB121" s="61">
        <f ca="1">IFERROR(__xludf.DUMMYFUNCTION("VLOOKUP(C121,IMPORTRANGE(""https://docs.google.com/spreadsheets/d/1bYzf4ItZuOkngvwjv6KE7rQwu8zocnnv24ijoZh_CLs/edit?gid=53702207#gid=53702207"",""SCHEDULE_HSP_JAN26""),41,0)"),0)</f>
        <v>0</v>
      </c>
      <c r="AC121" s="61">
        <f ca="1">IFERROR(__xludf.DUMMYFUNCTION("VLOOKUP(C121,IMPORTRANGE(""https://docs.google.com/spreadsheets/d/1bYzf4ItZuOkngvwjv6KE7rQwu8zocnnv24ijoZh_CLs/edit?gid=53702207#gid=53702207"",""SCHEDULE_HSP_JAN26""),42,0)"),0)</f>
        <v>0</v>
      </c>
      <c r="AD121" s="61"/>
      <c r="AE121" s="69">
        <f t="shared" ca="1" si="58"/>
        <v>0</v>
      </c>
      <c r="AF121" s="313">
        <v>468468</v>
      </c>
      <c r="AG121" s="354">
        <v>253500</v>
      </c>
      <c r="AH121" s="126">
        <v>0</v>
      </c>
      <c r="AI121" s="126">
        <v>0</v>
      </c>
      <c r="AJ121" s="126">
        <v>0</v>
      </c>
      <c r="AK121" s="126">
        <v>0</v>
      </c>
      <c r="AL121" s="126">
        <v>0</v>
      </c>
      <c r="AM121" s="69">
        <f t="shared" ca="1" si="59"/>
        <v>721968</v>
      </c>
      <c r="AN121" s="69">
        <f t="shared" ca="1" si="60"/>
        <v>5723208</v>
      </c>
      <c r="AO121" s="69">
        <f t="shared" ca="1" si="61"/>
        <v>46398.092777999991</v>
      </c>
      <c r="AP121" s="69">
        <f t="shared" ca="1" si="62"/>
        <v>5676809.907222</v>
      </c>
      <c r="AQ121" s="69">
        <f t="shared" ca="1" si="63"/>
        <v>5676809.907222</v>
      </c>
      <c r="AR121" s="314">
        <f t="shared" ca="1" si="64"/>
        <v>5676800</v>
      </c>
      <c r="AS121" s="113"/>
      <c r="AT121" s="60" t="s">
        <v>9</v>
      </c>
      <c r="AU121" s="67" t="s">
        <v>10</v>
      </c>
      <c r="AV121" s="69">
        <f t="shared" si="65"/>
        <v>5729876</v>
      </c>
      <c r="AW121" s="69">
        <f t="shared" ca="1" si="66"/>
        <v>0</v>
      </c>
      <c r="AX121" s="69">
        <f t="shared" ca="1" si="67"/>
        <v>196400</v>
      </c>
      <c r="AY121" s="126">
        <v>0</v>
      </c>
      <c r="AZ121" s="69">
        <f t="shared" si="68"/>
        <v>13751.702399999998</v>
      </c>
      <c r="BA121" s="69">
        <f t="shared" si="69"/>
        <v>17189.628000000001</v>
      </c>
      <c r="BB121" s="69">
        <f t="shared" si="70"/>
        <v>229195.04</v>
      </c>
      <c r="BC121" s="69">
        <f t="shared" ca="1" si="71"/>
        <v>6186412.3703999994</v>
      </c>
      <c r="BD121" s="74">
        <f ca="1">IF(AU121="C",VLOOKUP(BC121,TER!$J$4:$L$50,3,TRUE),IF(AU121="B",VLOOKUP(BC121,TER!$F$4:$H$50,3,TRUE),IF(AU121="A",VLOOKUP(BC121,TER!$B$4:$D$50,3,TRUE),"ERROR")))</f>
        <v>7.4999999999999997E-3</v>
      </c>
      <c r="BE121" s="69">
        <f t="shared" ca="1" si="72"/>
        <v>46398.092777999991</v>
      </c>
      <c r="BF121" s="113"/>
      <c r="BG121" s="113"/>
    </row>
    <row r="122" spans="1:59" ht="15.75" customHeight="1" outlineLevel="1">
      <c r="A122" s="113"/>
      <c r="B122" s="60">
        <v>33</v>
      </c>
      <c r="C122" s="67" t="s">
        <v>984</v>
      </c>
      <c r="D122" s="66" t="s">
        <v>1000</v>
      </c>
      <c r="E122" s="67" t="s">
        <v>57</v>
      </c>
      <c r="F122" s="68" t="s">
        <v>1229</v>
      </c>
      <c r="G122" s="67" t="s">
        <v>398</v>
      </c>
      <c r="H122" s="66" t="s">
        <v>32</v>
      </c>
      <c r="I122" s="69">
        <f t="shared" si="51"/>
        <v>5729876</v>
      </c>
      <c r="J122" s="315">
        <v>316.20499999999998</v>
      </c>
      <c r="K122" s="312">
        <v>202695</v>
      </c>
      <c r="L122" s="69">
        <f t="shared" si="78"/>
        <v>0</v>
      </c>
      <c r="M122" s="69">
        <f t="shared" ca="1" si="74"/>
        <v>0</v>
      </c>
      <c r="N122" s="61">
        <f ca="1">IFERROR(__xludf.DUMMYFUNCTION("VLOOKUP(C122,IMPORTRANGE(""https://docs.google.com/spreadsheets/d/1bYzf4ItZuOkngvwjv6KE7rQwu8zocnnv24ijoZh_CLs/edit?gid=53702207#gid=53702207"",""SCHEDULE_HSP_JAN26""),35,0)"),20)</f>
        <v>20</v>
      </c>
      <c r="O122" s="258">
        <f ca="1">IFERROR(__xludf.DUMMYFUNCTION("VLOOKUP(C122,IMPORTRANGE(""https://docs.google.com/spreadsheets/d/1bYzf4ItZuOkngvwjv6KE7rQwu8zocnnv24ijoZh_CLs/edit?gid=53702207#gid=53702207"",""SCHEDULE_HSP_JAN26""),34,0)"),20)</f>
        <v>20</v>
      </c>
      <c r="P122" s="69">
        <f t="shared" ca="1" si="53"/>
        <v>0</v>
      </c>
      <c r="Q122" s="71"/>
      <c r="R122" s="69">
        <f t="shared" si="54"/>
        <v>5932887.2050000001</v>
      </c>
      <c r="S122" s="69">
        <f t="shared" si="55"/>
        <v>5932887.2050000001</v>
      </c>
      <c r="T122" s="69">
        <v>0</v>
      </c>
      <c r="U122" s="19">
        <v>196400</v>
      </c>
      <c r="V122" s="125">
        <f ca="1">IFERROR(__xludf.DUMMYFUNCTION("VLOOKUP(C122,IMPORTRANGE(""https://docs.google.com/spreadsheets/d/1bYzf4ItZuOkngvwjv6KE7rQwu8zocnnv24ijoZh_CLs/edit?gid=53702207#gid=53702207"",""SCHEDULE_HSP_JAN26""),36,0)"),0)</f>
        <v>0</v>
      </c>
      <c r="W122" s="69">
        <f t="shared" ca="1" si="56"/>
        <v>0</v>
      </c>
      <c r="X122" s="126">
        <v>0</v>
      </c>
      <c r="Y122" s="69">
        <f t="shared" ca="1" si="57"/>
        <v>5932887.2050000001</v>
      </c>
      <c r="Z122" s="125">
        <f ca="1">IFERROR(__xludf.DUMMYFUNCTION("VLOOKUP(C122,IMPORTRANGE(""https://docs.google.com/spreadsheets/d/1bYzf4ItZuOkngvwjv6KE7rQwu8zocnnv24ijoZh_CLs/edit?gid=53702207#gid=53702207"",""SCHEDULE_HSP_JAN26""),38,0)+VLOOKUP(C122,IMPORTRANGE(""https://docs.google.com/spreadsheets/d/1bYzf4ItZuOkngv"&amp;"wjv6KE7rQwu8zocnnv24ijoZh_CLs/edit?gid=53702207#gid=53702207"",""SCHEDULE_HSP_JAN26""),39,0)"),0)</f>
        <v>0</v>
      </c>
      <c r="AA122" s="61">
        <f ca="1">IFERROR(__xludf.DUMMYFUNCTION("VLOOKUP(C122,IMPORTRANGE(""https://docs.google.com/spreadsheets/d/1bYzf4ItZuOkngvwjv6KE7rQwu8zocnnv24ijoZh_CLs/edit?gid=53702207#gid=53702207"",""SCHEDULE_HSP_JAN26""),40,0)"),0)</f>
        <v>0</v>
      </c>
      <c r="AB122" s="61">
        <f ca="1">IFERROR(__xludf.DUMMYFUNCTION("VLOOKUP(C122,IMPORTRANGE(""https://docs.google.com/spreadsheets/d/1bYzf4ItZuOkngvwjv6KE7rQwu8zocnnv24ijoZh_CLs/edit?gid=53702207#gid=53702207"",""SCHEDULE_HSP_JAN26""),41,0)"),0)</f>
        <v>0</v>
      </c>
      <c r="AC122" s="61">
        <f ca="1">IFERROR(__xludf.DUMMYFUNCTION("VLOOKUP(C122,IMPORTRANGE(""https://docs.google.com/spreadsheets/d/1bYzf4ItZuOkngvwjv6KE7rQwu8zocnnv24ijoZh_CLs/edit?gid=53702207#gid=53702207"",""SCHEDULE_HSP_JAN26""),42,0)"),0)</f>
        <v>0</v>
      </c>
      <c r="AD122" s="61"/>
      <c r="AE122" s="69">
        <f t="shared" ca="1" si="58"/>
        <v>0</v>
      </c>
      <c r="AF122" s="313">
        <v>468468</v>
      </c>
      <c r="AG122" s="354">
        <v>253500</v>
      </c>
      <c r="AH122" s="69">
        <v>0</v>
      </c>
      <c r="AI122" s="69">
        <v>0</v>
      </c>
      <c r="AJ122" s="69">
        <v>0</v>
      </c>
      <c r="AK122" s="69">
        <v>0</v>
      </c>
      <c r="AL122" s="69">
        <v>0</v>
      </c>
      <c r="AM122" s="69">
        <f t="shared" ca="1" si="59"/>
        <v>721968</v>
      </c>
      <c r="AN122" s="69">
        <f t="shared" ca="1" si="60"/>
        <v>5210919.2050000001</v>
      </c>
      <c r="AO122" s="69">
        <f t="shared" ca="1" si="61"/>
        <v>44925.092777999991</v>
      </c>
      <c r="AP122" s="69">
        <f t="shared" ca="1" si="62"/>
        <v>5165994.112222</v>
      </c>
      <c r="AQ122" s="69">
        <f t="shared" ca="1" si="63"/>
        <v>5165994.112222</v>
      </c>
      <c r="AR122" s="314">
        <f t="shared" ca="1" si="64"/>
        <v>5166000</v>
      </c>
      <c r="AS122" s="72"/>
      <c r="AT122" s="73" t="s">
        <v>12</v>
      </c>
      <c r="AU122" s="61" t="s">
        <v>10</v>
      </c>
      <c r="AV122" s="69">
        <f t="shared" si="65"/>
        <v>5729876</v>
      </c>
      <c r="AW122" s="69">
        <f t="shared" ca="1" si="66"/>
        <v>0</v>
      </c>
      <c r="AX122" s="69">
        <f t="shared" ca="1" si="67"/>
        <v>0</v>
      </c>
      <c r="AY122" s="69">
        <v>0</v>
      </c>
      <c r="AZ122" s="69">
        <f t="shared" si="68"/>
        <v>13751.702399999998</v>
      </c>
      <c r="BA122" s="69">
        <f t="shared" si="69"/>
        <v>17189.628000000001</v>
      </c>
      <c r="BB122" s="69">
        <f t="shared" si="70"/>
        <v>229195.04</v>
      </c>
      <c r="BC122" s="69">
        <f t="shared" ca="1" si="71"/>
        <v>5990012.3703999994</v>
      </c>
      <c r="BD122" s="74">
        <f ca="1">IF(AU122="C",VLOOKUP(BC122,TER!$J$4:$L$50,3,TRUE),IF(AU122="B",VLOOKUP(BC122,TER!$F$4:$H$50,3,TRUE),IF(AU122="A",VLOOKUP(BC122,TER!$B$4:$D$50,3,TRUE),"ERROR")))</f>
        <v>7.4999999999999997E-3</v>
      </c>
      <c r="BE122" s="69">
        <f t="shared" ca="1" si="72"/>
        <v>44925.092777999991</v>
      </c>
      <c r="BF122" s="113"/>
      <c r="BG122" s="113"/>
    </row>
    <row r="123" spans="1:59" ht="15.75" customHeight="1">
      <c r="A123" s="113"/>
      <c r="B123" s="60">
        <v>34</v>
      </c>
      <c r="C123" s="127" t="s">
        <v>1012</v>
      </c>
      <c r="D123" s="66" t="s">
        <v>1013</v>
      </c>
      <c r="E123" s="67" t="s">
        <v>57</v>
      </c>
      <c r="F123" s="68" t="s">
        <v>1230</v>
      </c>
      <c r="G123" s="67" t="s">
        <v>31</v>
      </c>
      <c r="H123" s="66" t="s">
        <v>32</v>
      </c>
      <c r="I123" s="69">
        <f t="shared" si="51"/>
        <v>5729876</v>
      </c>
      <c r="J123" s="315">
        <v>316.20499999999998</v>
      </c>
      <c r="K123" s="312">
        <v>202695</v>
      </c>
      <c r="L123" s="69">
        <f t="shared" si="78"/>
        <v>0</v>
      </c>
      <c r="M123" s="69">
        <f t="shared" ca="1" si="74"/>
        <v>0</v>
      </c>
      <c r="N123" s="61">
        <f ca="1">IFERROR(__xludf.DUMMYFUNCTION("VLOOKUP(C123,IMPORTRANGE(""https://docs.google.com/spreadsheets/d/1bYzf4ItZuOkngvwjv6KE7rQwu8zocnnv24ijoZh_CLs/edit?gid=53702207#gid=53702207"",""SCHEDULE_HSP_JAN26""),35,0)"),16)</f>
        <v>16</v>
      </c>
      <c r="O123" s="258">
        <f ca="1">IFERROR(__xludf.DUMMYFUNCTION("VLOOKUP(C123,IMPORTRANGE(""https://docs.google.com/spreadsheets/d/1bYzf4ItZuOkngvwjv6KE7rQwu8zocnnv24ijoZh_CLs/edit?gid=53702207#gid=53702207"",""SCHEDULE_HSP_JAN26""),34,0)"),21)</f>
        <v>21</v>
      </c>
      <c r="P123" s="69">
        <f t="shared" ca="1" si="53"/>
        <v>0</v>
      </c>
      <c r="Q123" s="71"/>
      <c r="R123" s="69">
        <f t="shared" si="54"/>
        <v>5932887.2050000001</v>
      </c>
      <c r="S123" s="69">
        <f t="shared" si="55"/>
        <v>5932887.2050000001</v>
      </c>
      <c r="T123" s="69">
        <v>0</v>
      </c>
      <c r="U123" s="19">
        <v>196400</v>
      </c>
      <c r="V123" s="125">
        <f ca="1">IFERROR(__xludf.DUMMYFUNCTION("VLOOKUP(C123,IMPORTRANGE(""https://docs.google.com/spreadsheets/d/1bYzf4ItZuOkngvwjv6KE7rQwu8zocnnv24ijoZh_CLs/edit?gid=53702207#gid=53702207"",""SCHEDULE_HSP_JAN26""),36,0)"),0)</f>
        <v>0</v>
      </c>
      <c r="W123" s="69">
        <f t="shared" ca="1" si="56"/>
        <v>0</v>
      </c>
      <c r="X123" s="126">
        <v>0</v>
      </c>
      <c r="Y123" s="69">
        <f t="shared" ca="1" si="57"/>
        <v>5932887.2050000001</v>
      </c>
      <c r="Z123" s="125">
        <f ca="1">IFERROR(__xludf.DUMMYFUNCTION("VLOOKUP(C123,IMPORTRANGE(""https://docs.google.com/spreadsheets/d/1bYzf4ItZuOkngvwjv6KE7rQwu8zocnnv24ijoZh_CLs/edit?gid=53702207#gid=53702207"",""SCHEDULE_HSP_JAN26""),38,0)+VLOOKUP(C123,IMPORTRANGE(""https://docs.google.com/spreadsheets/d/1bYzf4ItZuOkngv"&amp;"wjv6KE7rQwu8zocnnv24ijoZh_CLs/edit?gid=53702207#gid=53702207"",""SCHEDULE_HSP_JAN26""),39,0)"),0)</f>
        <v>0</v>
      </c>
      <c r="AA123" s="61">
        <f ca="1">IFERROR(__xludf.DUMMYFUNCTION("VLOOKUP(C123,IMPORTRANGE(""https://docs.google.com/spreadsheets/d/1bYzf4ItZuOkngvwjv6KE7rQwu8zocnnv24ijoZh_CLs/edit?gid=53702207#gid=53702207"",""SCHEDULE_HSP_JAN26""),40,0)"),1)</f>
        <v>1</v>
      </c>
      <c r="AB123" s="61">
        <f ca="1">IFERROR(__xludf.DUMMYFUNCTION("VLOOKUP(C123,IMPORTRANGE(""https://docs.google.com/spreadsheets/d/1bYzf4ItZuOkngvwjv6KE7rQwu8zocnnv24ijoZh_CLs/edit?gid=53702207#gid=53702207"",""SCHEDULE_HSP_JAN26""),41,0)"),4)</f>
        <v>4</v>
      </c>
      <c r="AC123" s="61">
        <f ca="1">IFERROR(__xludf.DUMMYFUNCTION("VLOOKUP(C123,IMPORTRANGE(""https://docs.google.com/spreadsheets/d/1bYzf4ItZuOkngvwjv6KE7rQwu8zocnnv24ijoZh_CLs/edit?gid=53702207#gid=53702207"",""SCHEDULE_HSP_JAN26""),42,0)"),0)</f>
        <v>0</v>
      </c>
      <c r="AD123" s="61"/>
      <c r="AE123" s="69">
        <f t="shared" ca="1" si="58"/>
        <v>196400</v>
      </c>
      <c r="AF123" s="313">
        <v>468468</v>
      </c>
      <c r="AG123" s="354">
        <v>253500</v>
      </c>
      <c r="AH123" s="69">
        <v>0</v>
      </c>
      <c r="AI123" s="69">
        <v>0</v>
      </c>
      <c r="AJ123" s="69">
        <v>0</v>
      </c>
      <c r="AK123" s="69">
        <v>0</v>
      </c>
      <c r="AL123" s="69">
        <v>0</v>
      </c>
      <c r="AM123" s="69">
        <f t="shared" ca="1" si="59"/>
        <v>918368</v>
      </c>
      <c r="AN123" s="69">
        <f t="shared" ca="1" si="60"/>
        <v>5014519.2050000001</v>
      </c>
      <c r="AO123" s="69">
        <f t="shared" ca="1" si="61"/>
        <v>0</v>
      </c>
      <c r="AP123" s="69">
        <f t="shared" ca="1" si="62"/>
        <v>5014519.2050000001</v>
      </c>
      <c r="AQ123" s="69">
        <f t="shared" ca="1" si="63"/>
        <v>5014519.2050000001</v>
      </c>
      <c r="AR123" s="314">
        <f t="shared" ca="1" si="64"/>
        <v>5014500</v>
      </c>
      <c r="AS123" s="72"/>
      <c r="AT123" s="73" t="s">
        <v>16</v>
      </c>
      <c r="AU123" s="61" t="s">
        <v>15</v>
      </c>
      <c r="AV123" s="69">
        <f t="shared" si="65"/>
        <v>5729876</v>
      </c>
      <c r="AW123" s="69">
        <f t="shared" ca="1" si="66"/>
        <v>0</v>
      </c>
      <c r="AX123" s="69">
        <f t="shared" ca="1" si="67"/>
        <v>0</v>
      </c>
      <c r="AY123" s="69">
        <v>0</v>
      </c>
      <c r="AZ123" s="69">
        <f t="shared" si="68"/>
        <v>13751.702399999998</v>
      </c>
      <c r="BA123" s="69">
        <f t="shared" si="69"/>
        <v>17189.628000000001</v>
      </c>
      <c r="BB123" s="69">
        <f t="shared" si="70"/>
        <v>229195.04</v>
      </c>
      <c r="BC123" s="69">
        <f t="shared" ca="1" si="71"/>
        <v>5990012.3703999994</v>
      </c>
      <c r="BD123" s="74">
        <f ca="1">IF(AU123="C",VLOOKUP(BC123,TER!$J$4:$L$50,3,TRUE),IF(AU123="B",VLOOKUP(BC123,TER!$F$4:$H$50,3,TRUE),IF(AU123="A",VLOOKUP(BC123,TER!$B$4:$D$50,3,TRUE),"ERROR")))</f>
        <v>0</v>
      </c>
      <c r="BE123" s="69">
        <f t="shared" ca="1" si="72"/>
        <v>0</v>
      </c>
      <c r="BF123" s="113"/>
      <c r="BG123" s="113"/>
    </row>
    <row r="124" spans="1:59" ht="15.75" customHeight="1">
      <c r="A124" s="113"/>
      <c r="B124" s="60">
        <v>35</v>
      </c>
      <c r="C124" s="128" t="s">
        <v>1032</v>
      </c>
      <c r="D124" s="66" t="s">
        <v>1033</v>
      </c>
      <c r="E124" s="67" t="s">
        <v>57</v>
      </c>
      <c r="F124" s="68" t="s">
        <v>1231</v>
      </c>
      <c r="G124" s="67" t="s">
        <v>31</v>
      </c>
      <c r="H124" s="66" t="s">
        <v>32</v>
      </c>
      <c r="I124" s="69">
        <f t="shared" si="51"/>
        <v>5729876</v>
      </c>
      <c r="J124" s="315">
        <v>316.20499999999998</v>
      </c>
      <c r="K124" s="312">
        <v>202695</v>
      </c>
      <c r="L124" s="69">
        <f t="shared" si="78"/>
        <v>0</v>
      </c>
      <c r="M124" s="69">
        <f t="shared" ca="1" si="74"/>
        <v>0</v>
      </c>
      <c r="N124" s="61">
        <f ca="1">IFERROR(__xludf.DUMMYFUNCTION("VLOOKUP(C124,IMPORTRANGE(""https://docs.google.com/spreadsheets/d/1bYzf4ItZuOkngvwjv6KE7rQwu8zocnnv24ijoZh_CLs/edit?gid=53702207#gid=53702207"",""SCHEDULE_HSP_JAN26""),35,0)"),20)</f>
        <v>20</v>
      </c>
      <c r="O124" s="258">
        <f ca="1">IFERROR(__xludf.DUMMYFUNCTION("VLOOKUP(C124,IMPORTRANGE(""https://docs.google.com/spreadsheets/d/1bYzf4ItZuOkngvwjv6KE7rQwu8zocnnv24ijoZh_CLs/edit?gid=53702207#gid=53702207"",""SCHEDULE_HSP_JAN26""),34,0)"),20)</f>
        <v>20</v>
      </c>
      <c r="P124" s="69">
        <f t="shared" ca="1" si="53"/>
        <v>0</v>
      </c>
      <c r="Q124" s="71"/>
      <c r="R124" s="69">
        <f t="shared" si="54"/>
        <v>5932887.2050000001</v>
      </c>
      <c r="S124" s="69">
        <f t="shared" si="55"/>
        <v>5932887.2050000001</v>
      </c>
      <c r="T124" s="69">
        <v>0</v>
      </c>
      <c r="U124" s="19">
        <v>196400</v>
      </c>
      <c r="V124" s="125">
        <f ca="1">IFERROR(__xludf.DUMMYFUNCTION("VLOOKUP(C124,IMPORTRANGE(""https://docs.google.com/spreadsheets/d/1bYzf4ItZuOkngvwjv6KE7rQwu8zocnnv24ijoZh_CLs/edit?gid=53702207#gid=53702207"",""SCHEDULE_HSP_JAN26""),36,0)"),0)</f>
        <v>0</v>
      </c>
      <c r="W124" s="69">
        <f t="shared" ca="1" si="56"/>
        <v>0</v>
      </c>
      <c r="X124" s="126">
        <v>0</v>
      </c>
      <c r="Y124" s="69">
        <f t="shared" ca="1" si="57"/>
        <v>5932887.2050000001</v>
      </c>
      <c r="Z124" s="125">
        <f ca="1">IFERROR(__xludf.DUMMYFUNCTION("VLOOKUP(C124,IMPORTRANGE(""https://docs.google.com/spreadsheets/d/1bYzf4ItZuOkngvwjv6KE7rQwu8zocnnv24ijoZh_CLs/edit?gid=53702207#gid=53702207"",""SCHEDULE_HSP_JAN26""),38,0)+VLOOKUP(C124,IMPORTRANGE(""https://docs.google.com/spreadsheets/d/1bYzf4ItZuOkngv"&amp;"wjv6KE7rQwu8zocnnv24ijoZh_CLs/edit?gid=53702207#gid=53702207"",""SCHEDULE_HSP_JAN26""),39,0)"),0)</f>
        <v>0</v>
      </c>
      <c r="AA124" s="61">
        <f ca="1">IFERROR(__xludf.DUMMYFUNCTION("VLOOKUP(C124,IMPORTRANGE(""https://docs.google.com/spreadsheets/d/1bYzf4ItZuOkngvwjv6KE7rQwu8zocnnv24ijoZh_CLs/edit?gid=53702207#gid=53702207"",""SCHEDULE_HSP_JAN26""),40,0)"),0)</f>
        <v>0</v>
      </c>
      <c r="AB124" s="61">
        <f ca="1">IFERROR(__xludf.DUMMYFUNCTION("VLOOKUP(C124,IMPORTRANGE(""https://docs.google.com/spreadsheets/d/1bYzf4ItZuOkngvwjv6KE7rQwu8zocnnv24ijoZh_CLs/edit?gid=53702207#gid=53702207"",""SCHEDULE_HSP_JAN26""),41,0)"),0)</f>
        <v>0</v>
      </c>
      <c r="AC124" s="61">
        <f ca="1">IFERROR(__xludf.DUMMYFUNCTION("VLOOKUP(C124,IMPORTRANGE(""https://docs.google.com/spreadsheets/d/1bYzf4ItZuOkngvwjv6KE7rQwu8zocnnv24ijoZh_CLs/edit?gid=53702207#gid=53702207"",""SCHEDULE_HSP_JAN26""),42,0)"),0)</f>
        <v>0</v>
      </c>
      <c r="AD124" s="61"/>
      <c r="AE124" s="69">
        <f t="shared" ca="1" si="58"/>
        <v>0</v>
      </c>
      <c r="AF124" s="313">
        <v>468468</v>
      </c>
      <c r="AG124" s="354">
        <v>253500</v>
      </c>
      <c r="AH124" s="69">
        <v>0</v>
      </c>
      <c r="AI124" s="69">
        <v>0</v>
      </c>
      <c r="AJ124" s="69">
        <v>0</v>
      </c>
      <c r="AK124" s="69">
        <v>0</v>
      </c>
      <c r="AL124" s="69">
        <v>0</v>
      </c>
      <c r="AM124" s="69">
        <f t="shared" ca="1" si="59"/>
        <v>721968</v>
      </c>
      <c r="AN124" s="69">
        <f t="shared" ca="1" si="60"/>
        <v>5210919.2050000001</v>
      </c>
      <c r="AO124" s="69">
        <f t="shared" ca="1" si="61"/>
        <v>0</v>
      </c>
      <c r="AP124" s="69">
        <f t="shared" ca="1" si="62"/>
        <v>5210919.2050000001</v>
      </c>
      <c r="AQ124" s="69">
        <f t="shared" ca="1" si="63"/>
        <v>5210919.2050000001</v>
      </c>
      <c r="AR124" s="314">
        <f t="shared" ca="1" si="64"/>
        <v>5210900</v>
      </c>
      <c r="AS124" s="72"/>
      <c r="AT124" s="73" t="s">
        <v>14</v>
      </c>
      <c r="AU124" s="61" t="s">
        <v>15</v>
      </c>
      <c r="AV124" s="69">
        <f t="shared" si="65"/>
        <v>5729876</v>
      </c>
      <c r="AW124" s="69">
        <f t="shared" ca="1" si="66"/>
        <v>0</v>
      </c>
      <c r="AX124" s="69">
        <f t="shared" ca="1" si="67"/>
        <v>0</v>
      </c>
      <c r="AY124" s="69">
        <v>0</v>
      </c>
      <c r="AZ124" s="69">
        <f t="shared" si="68"/>
        <v>13751.702399999998</v>
      </c>
      <c r="BA124" s="69">
        <f t="shared" si="69"/>
        <v>17189.628000000001</v>
      </c>
      <c r="BB124" s="69">
        <f t="shared" si="70"/>
        <v>229195.04</v>
      </c>
      <c r="BC124" s="69">
        <f t="shared" ca="1" si="71"/>
        <v>5990012.3703999994</v>
      </c>
      <c r="BD124" s="74">
        <f ca="1">IF(AU124="C",VLOOKUP(BC124,TER!$J$4:$L$50,3,TRUE),IF(AU124="B",VLOOKUP(BC124,TER!$F$4:$H$50,3,TRUE),IF(AU124="A",VLOOKUP(BC124,TER!$B$4:$D$50,3,TRUE),"ERROR")))</f>
        <v>0</v>
      </c>
      <c r="BE124" s="69">
        <f t="shared" ca="1" si="72"/>
        <v>0</v>
      </c>
      <c r="BF124" s="113"/>
      <c r="BG124" s="113"/>
    </row>
    <row r="125" spans="1:59" ht="15.75" customHeight="1">
      <c r="A125" s="113"/>
      <c r="B125" s="60">
        <v>36</v>
      </c>
      <c r="C125" s="105" t="s">
        <v>1034</v>
      </c>
      <c r="D125" s="96" t="s">
        <v>1035</v>
      </c>
      <c r="E125" s="67" t="s">
        <v>57</v>
      </c>
      <c r="F125" s="68" t="s">
        <v>1232</v>
      </c>
      <c r="G125" s="60" t="s">
        <v>31</v>
      </c>
      <c r="H125" s="92" t="s">
        <v>32</v>
      </c>
      <c r="I125" s="69">
        <f t="shared" si="51"/>
        <v>5729876</v>
      </c>
      <c r="J125" s="315">
        <v>316.20499999999998</v>
      </c>
      <c r="K125" s="315">
        <v>202.69499999999999</v>
      </c>
      <c r="L125" s="69">
        <f t="shared" si="78"/>
        <v>0</v>
      </c>
      <c r="M125" s="69">
        <f t="shared" ca="1" si="74"/>
        <v>0</v>
      </c>
      <c r="N125" s="61">
        <f ca="1">IFERROR(__xludf.DUMMYFUNCTION("VLOOKUP(C125,IMPORTRANGE(""https://docs.google.com/spreadsheets/d/1bYzf4ItZuOkngvwjv6KE7rQwu8zocnnv24ijoZh_CLs/edit?gid=53702207#gid=53702207"",""SCHEDULE_HSP_JAN26""),35,0)"),21)</f>
        <v>21</v>
      </c>
      <c r="O125" s="258">
        <f ca="1">IFERROR(__xludf.DUMMYFUNCTION("VLOOKUP(C125,IMPORTRANGE(""https://docs.google.com/spreadsheets/d/1bYzf4ItZuOkngvwjv6KE7rQwu8zocnnv24ijoZh_CLs/edit?gid=53702207#gid=53702207"",""SCHEDULE_HSP_JAN26""),34,0)"),21)</f>
        <v>21</v>
      </c>
      <c r="P125" s="69">
        <f t="shared" ca="1" si="53"/>
        <v>0</v>
      </c>
      <c r="Q125" s="71"/>
      <c r="R125" s="69">
        <f t="shared" si="54"/>
        <v>5730394.9000000004</v>
      </c>
      <c r="S125" s="69">
        <f t="shared" si="55"/>
        <v>5730394.9000000004</v>
      </c>
      <c r="T125" s="69">
        <v>0</v>
      </c>
      <c r="U125" s="19">
        <v>196400</v>
      </c>
      <c r="V125" s="125">
        <f ca="1">IFERROR(__xludf.DUMMYFUNCTION("VLOOKUP(C125,IMPORTRANGE(""https://docs.google.com/spreadsheets/d/1bYzf4ItZuOkngvwjv6KE7rQwu8zocnnv24ijoZh_CLs/edit?gid=53702207#gid=53702207"",""SCHEDULE_HSP_JAN26""),36,0)"),1)</f>
        <v>1</v>
      </c>
      <c r="W125" s="69">
        <f t="shared" ca="1" si="56"/>
        <v>196400</v>
      </c>
      <c r="X125" s="126">
        <v>0</v>
      </c>
      <c r="Y125" s="69">
        <f t="shared" ca="1" si="57"/>
        <v>5926794.9000000004</v>
      </c>
      <c r="Z125" s="125">
        <f ca="1">IFERROR(__xludf.DUMMYFUNCTION("VLOOKUP(C125,IMPORTRANGE(""https://docs.google.com/spreadsheets/d/1bYzf4ItZuOkngvwjv6KE7rQwu8zocnnv24ijoZh_CLs/edit?gid=53702207#gid=53702207"",""SCHEDULE_HSP_JAN26""),38,0)+VLOOKUP(C125,IMPORTRANGE(""https://docs.google.com/spreadsheets/d/1bYzf4ItZuOkngv"&amp;"wjv6KE7rQwu8zocnnv24ijoZh_CLs/edit?gid=53702207#gid=53702207"",""SCHEDULE_HSP_JAN26""),39,0)"),0)</f>
        <v>0</v>
      </c>
      <c r="AA125" s="61">
        <f ca="1">IFERROR(__xludf.DUMMYFUNCTION("VLOOKUP(C125,IMPORTRANGE(""https://docs.google.com/spreadsheets/d/1bYzf4ItZuOkngvwjv6KE7rQwu8zocnnv24ijoZh_CLs/edit?gid=53702207#gid=53702207"",""SCHEDULE_HSP_JAN26""),40,0)"),0)</f>
        <v>0</v>
      </c>
      <c r="AB125" s="61">
        <f ca="1">IFERROR(__xludf.DUMMYFUNCTION("VLOOKUP(C125,IMPORTRANGE(""https://docs.google.com/spreadsheets/d/1bYzf4ItZuOkngvwjv6KE7rQwu8zocnnv24ijoZh_CLs/edit?gid=53702207#gid=53702207"",""SCHEDULE_HSP_JAN26""),41,0)"),0)</f>
        <v>0</v>
      </c>
      <c r="AC125" s="61">
        <f ca="1">IFERROR(__xludf.DUMMYFUNCTION("VLOOKUP(C125,IMPORTRANGE(""https://docs.google.com/spreadsheets/d/1bYzf4ItZuOkngvwjv6KE7rQwu8zocnnv24ijoZh_CLs/edit?gid=53702207#gid=53702207"",""SCHEDULE_HSP_JAN26""),42,0)"),0)</f>
        <v>0</v>
      </c>
      <c r="AD125" s="61"/>
      <c r="AE125" s="69">
        <f t="shared" ca="1" si="58"/>
        <v>0</v>
      </c>
      <c r="AF125" s="313">
        <v>468468</v>
      </c>
      <c r="AG125" s="354">
        <v>253500</v>
      </c>
      <c r="AH125" s="69">
        <v>0</v>
      </c>
      <c r="AI125" s="69">
        <v>0</v>
      </c>
      <c r="AJ125" s="69">
        <v>0</v>
      </c>
      <c r="AK125" s="69">
        <v>0</v>
      </c>
      <c r="AL125" s="69">
        <v>0</v>
      </c>
      <c r="AM125" s="69">
        <f t="shared" ca="1" si="59"/>
        <v>721968</v>
      </c>
      <c r="AN125" s="69">
        <f t="shared" ca="1" si="60"/>
        <v>5204826.9000000004</v>
      </c>
      <c r="AO125" s="69">
        <f t="shared" ca="1" si="61"/>
        <v>0</v>
      </c>
      <c r="AP125" s="69">
        <f t="shared" ca="1" si="62"/>
        <v>5204826.9000000004</v>
      </c>
      <c r="AQ125" s="69">
        <f t="shared" ca="1" si="63"/>
        <v>5204826.9000000004</v>
      </c>
      <c r="AR125" s="314">
        <f t="shared" ca="1" si="64"/>
        <v>5204800</v>
      </c>
      <c r="AS125" s="72"/>
      <c r="AT125" s="73" t="s">
        <v>16</v>
      </c>
      <c r="AU125" s="61" t="s">
        <v>15</v>
      </c>
      <c r="AV125" s="69">
        <f t="shared" si="65"/>
        <v>5729876</v>
      </c>
      <c r="AW125" s="69">
        <f t="shared" ca="1" si="66"/>
        <v>0</v>
      </c>
      <c r="AX125" s="69">
        <f t="shared" ca="1" si="67"/>
        <v>196400</v>
      </c>
      <c r="AY125" s="69">
        <v>0</v>
      </c>
      <c r="AZ125" s="69">
        <f t="shared" si="68"/>
        <v>13751.702399999998</v>
      </c>
      <c r="BA125" s="69">
        <f t="shared" si="69"/>
        <v>17189.628000000001</v>
      </c>
      <c r="BB125" s="69">
        <f t="shared" si="70"/>
        <v>229195.04</v>
      </c>
      <c r="BC125" s="69">
        <f t="shared" ca="1" si="71"/>
        <v>6186412.3703999994</v>
      </c>
      <c r="BD125" s="74">
        <f ca="1">IF(AU125="C",VLOOKUP(BC125,TER!$J$4:$L$50,3,TRUE),IF(AU125="B",VLOOKUP(BC125,TER!$F$4:$H$50,3,TRUE),IF(AU125="A",VLOOKUP(BC125,TER!$B$4:$D$50,3,TRUE),"ERROR")))</f>
        <v>0</v>
      </c>
      <c r="BE125" s="69">
        <f t="shared" ca="1" si="72"/>
        <v>0</v>
      </c>
      <c r="BF125" s="113"/>
      <c r="BG125" s="113"/>
    </row>
    <row r="126" spans="1:59" ht="15.75" customHeight="1">
      <c r="A126" s="113"/>
      <c r="B126" s="60">
        <v>37</v>
      </c>
      <c r="C126" s="65" t="s">
        <v>1317</v>
      </c>
      <c r="D126" s="357" t="s">
        <v>1318</v>
      </c>
      <c r="E126" s="67" t="s">
        <v>57</v>
      </c>
      <c r="F126" s="308">
        <v>710801011208507</v>
      </c>
      <c r="G126" s="60" t="s">
        <v>31</v>
      </c>
      <c r="H126" s="92" t="s">
        <v>32</v>
      </c>
      <c r="I126" s="69">
        <f t="shared" si="51"/>
        <v>5729876</v>
      </c>
      <c r="J126" s="315">
        <v>316.20499999999998</v>
      </c>
      <c r="K126" s="315">
        <v>202.69499999999999</v>
      </c>
      <c r="L126" s="69">
        <f t="shared" si="78"/>
        <v>0</v>
      </c>
      <c r="M126" s="69">
        <f t="shared" ca="1" si="74"/>
        <v>0</v>
      </c>
      <c r="N126" s="61">
        <f ca="1">IFERROR(__xludf.DUMMYFUNCTION("VLOOKUP(C126,IMPORTRANGE(""https://docs.google.com/spreadsheets/d/1bYzf4ItZuOkngvwjv6KE7rQwu8zocnnv24ijoZh_CLs/edit?gid=53702207#gid=53702207"",""SCHEDULE_HSP_JAN26""),35,0)"),21)</f>
        <v>21</v>
      </c>
      <c r="O126" s="258">
        <f ca="1">IFERROR(__xludf.DUMMYFUNCTION("VLOOKUP(C126,IMPORTRANGE(""https://docs.google.com/spreadsheets/d/1bYzf4ItZuOkngvwjv6KE7rQwu8zocnnv24ijoZh_CLs/edit?gid=53702207#gid=53702207"",""SCHEDULE_HSP_JAN26""),34,0)"),21)</f>
        <v>21</v>
      </c>
      <c r="P126" s="69">
        <f t="shared" ca="1" si="53"/>
        <v>0</v>
      </c>
      <c r="Q126" s="71"/>
      <c r="R126" s="69">
        <f t="shared" si="54"/>
        <v>5730394.9000000004</v>
      </c>
      <c r="S126" s="69">
        <f t="shared" si="55"/>
        <v>5730394.9000000004</v>
      </c>
      <c r="T126" s="69">
        <v>0</v>
      </c>
      <c r="U126" s="19">
        <v>196400</v>
      </c>
      <c r="V126" s="125">
        <f ca="1">IFERROR(__xludf.DUMMYFUNCTION("VLOOKUP(C126,IMPORTRANGE(""https://docs.google.com/spreadsheets/d/1bYzf4ItZuOkngvwjv6KE7rQwu8zocnnv24ijoZh_CLs/edit?gid=53702207#gid=53702207"",""SCHEDULE_HSP_JAN26""),36,0)"),0)</f>
        <v>0</v>
      </c>
      <c r="W126" s="69">
        <f t="shared" ca="1" si="56"/>
        <v>0</v>
      </c>
      <c r="X126" s="126">
        <v>0</v>
      </c>
      <c r="Y126" s="69">
        <f t="shared" ca="1" si="57"/>
        <v>5730394.9000000004</v>
      </c>
      <c r="Z126" s="125">
        <f ca="1">IFERROR(__xludf.DUMMYFUNCTION("VLOOKUP(C126,IMPORTRANGE(""https://docs.google.com/spreadsheets/d/1bYzf4ItZuOkngvwjv6KE7rQwu8zocnnv24ijoZh_CLs/edit?gid=53702207#gid=53702207"",""SCHEDULE_HSP_JAN26""),38,0)+VLOOKUP(C126,IMPORTRANGE(""https://docs.google.com/spreadsheets/d/1bYzf4ItZuOkngv"&amp;"wjv6KE7rQwu8zocnnv24ijoZh_CLs/edit?gid=53702207#gid=53702207"",""SCHEDULE_HSP_JAN26""),39,0)"),0)</f>
        <v>0</v>
      </c>
      <c r="AA126" s="61">
        <f ca="1">IFERROR(__xludf.DUMMYFUNCTION("VLOOKUP(C126,IMPORTRANGE(""https://docs.google.com/spreadsheets/d/1bYzf4ItZuOkngvwjv6KE7rQwu8zocnnv24ijoZh_CLs/edit?gid=53702207#gid=53702207"",""SCHEDULE_HSP_JAN26""),40,0)"),0)</f>
        <v>0</v>
      </c>
      <c r="AB126" s="61">
        <f ca="1">IFERROR(__xludf.DUMMYFUNCTION("VLOOKUP(C126,IMPORTRANGE(""https://docs.google.com/spreadsheets/d/1bYzf4ItZuOkngvwjv6KE7rQwu8zocnnv24ijoZh_CLs/edit?gid=53702207#gid=53702207"",""SCHEDULE_HSP_JAN26""),41,0)"),0)</f>
        <v>0</v>
      </c>
      <c r="AC126" s="61">
        <f ca="1">IFERROR(__xludf.DUMMYFUNCTION("VLOOKUP(C126,IMPORTRANGE(""https://docs.google.com/spreadsheets/d/1bYzf4ItZuOkngvwjv6KE7rQwu8zocnnv24ijoZh_CLs/edit?gid=53702207#gid=53702207"",""SCHEDULE_HSP_JAN26""),42,0)"),0)</f>
        <v>0</v>
      </c>
      <c r="AD126" s="61"/>
      <c r="AE126" s="69">
        <f t="shared" ca="1" si="58"/>
        <v>0</v>
      </c>
      <c r="AF126" s="313">
        <v>468468</v>
      </c>
      <c r="AG126" s="354">
        <v>253500</v>
      </c>
      <c r="AH126" s="69">
        <v>0</v>
      </c>
      <c r="AI126" s="69">
        <v>0</v>
      </c>
      <c r="AJ126" s="69">
        <v>0</v>
      </c>
      <c r="AK126" s="69">
        <v>0</v>
      </c>
      <c r="AL126" s="69">
        <v>0</v>
      </c>
      <c r="AM126" s="69">
        <f t="shared" ca="1" si="59"/>
        <v>721968</v>
      </c>
      <c r="AN126" s="69">
        <f t="shared" ca="1" si="60"/>
        <v>5008426.9000000004</v>
      </c>
      <c r="AO126" s="69">
        <f t="shared" ca="1" si="61"/>
        <v>0</v>
      </c>
      <c r="AP126" s="69">
        <f t="shared" ca="1" si="62"/>
        <v>5008426.9000000004</v>
      </c>
      <c r="AQ126" s="69">
        <f t="shared" ca="1" si="63"/>
        <v>5008426.9000000004</v>
      </c>
      <c r="AR126" s="314">
        <f t="shared" ca="1" si="64"/>
        <v>5008400</v>
      </c>
      <c r="AS126" s="72"/>
      <c r="AT126" s="73" t="s">
        <v>1017</v>
      </c>
      <c r="AU126" s="61" t="s">
        <v>15</v>
      </c>
      <c r="AV126" s="69">
        <f t="shared" si="65"/>
        <v>5729876</v>
      </c>
      <c r="AW126" s="69">
        <f t="shared" ca="1" si="66"/>
        <v>0</v>
      </c>
      <c r="AX126" s="69">
        <f t="shared" ca="1" si="67"/>
        <v>0</v>
      </c>
      <c r="AY126" s="69">
        <v>0</v>
      </c>
      <c r="AZ126" s="69">
        <f t="shared" si="68"/>
        <v>13751.702399999998</v>
      </c>
      <c r="BA126" s="69">
        <f t="shared" si="69"/>
        <v>17189.628000000001</v>
      </c>
      <c r="BB126" s="69">
        <f t="shared" si="70"/>
        <v>229195.04</v>
      </c>
      <c r="BC126" s="69">
        <f t="shared" ca="1" si="71"/>
        <v>5990012.3703999994</v>
      </c>
      <c r="BD126" s="74">
        <f ca="1">IF(AU126="C",VLOOKUP(BC126,TER!$J$4:$L$50,3,TRUE),IF(AU126="B",VLOOKUP(BC126,TER!$F$4:$H$50,3,TRUE),IF(AU126="A",VLOOKUP(BC126,TER!$B$4:$D$50,3,TRUE),"ERROR")))</f>
        <v>0</v>
      </c>
      <c r="BE126" s="69">
        <f t="shared" ca="1" si="72"/>
        <v>0</v>
      </c>
      <c r="BF126" s="113"/>
      <c r="BG126" s="113"/>
    </row>
    <row r="127" spans="1:59" ht="15.75" customHeight="1">
      <c r="A127" s="113"/>
      <c r="B127" s="60">
        <v>38</v>
      </c>
      <c r="C127" s="359" t="s">
        <v>1322</v>
      </c>
      <c r="D127" s="360" t="s">
        <v>1323</v>
      </c>
      <c r="E127" s="67" t="s">
        <v>57</v>
      </c>
      <c r="F127" s="361">
        <v>573801007798505</v>
      </c>
      <c r="G127" s="60" t="s">
        <v>31</v>
      </c>
      <c r="H127" s="92" t="s">
        <v>32</v>
      </c>
      <c r="I127" s="69">
        <f t="shared" si="51"/>
        <v>5729876</v>
      </c>
      <c r="J127" s="315">
        <v>316.20499999999998</v>
      </c>
      <c r="K127" s="315">
        <v>202.69499999999999</v>
      </c>
      <c r="L127" s="69">
        <f t="shared" si="78"/>
        <v>0</v>
      </c>
      <c r="M127" s="69">
        <f t="shared" ca="1" si="74"/>
        <v>0</v>
      </c>
      <c r="N127" s="61">
        <f ca="1">IFERROR(__xludf.DUMMYFUNCTION("VLOOKUP(C127,IMPORTRANGE(""https://docs.google.com/spreadsheets/d/1bYzf4ItZuOkngvwjv6KE7rQwu8zocnnv24ijoZh_CLs/edit?gid=53702207#gid=53702207"",""SCHEDULE_HSP_JAN26""),35,0)"),21)</f>
        <v>21</v>
      </c>
      <c r="O127" s="258">
        <f ca="1">IFERROR(__xludf.DUMMYFUNCTION("VLOOKUP(C127,IMPORTRANGE(""https://docs.google.com/spreadsheets/d/1bYzf4ItZuOkngvwjv6KE7rQwu8zocnnv24ijoZh_CLs/edit?gid=53702207#gid=53702207"",""SCHEDULE_HSP_JAN26""),34,0)"),21)</f>
        <v>21</v>
      </c>
      <c r="P127" s="69">
        <f t="shared" ca="1" si="53"/>
        <v>0</v>
      </c>
      <c r="Q127" s="71"/>
      <c r="R127" s="69">
        <f t="shared" si="54"/>
        <v>5730394.9000000004</v>
      </c>
      <c r="S127" s="69">
        <f t="shared" si="55"/>
        <v>5730394.9000000004</v>
      </c>
      <c r="T127" s="69">
        <v>0</v>
      </c>
      <c r="U127" s="19">
        <v>196400</v>
      </c>
      <c r="V127" s="125">
        <f ca="1">IFERROR(__xludf.DUMMYFUNCTION("VLOOKUP(C127,IMPORTRANGE(""https://docs.google.com/spreadsheets/d/1bYzf4ItZuOkngvwjv6KE7rQwu8zocnnv24ijoZh_CLs/edit?gid=53702207#gid=53702207"",""SCHEDULE_HSP_JAN26""),36,0)"),0)</f>
        <v>0</v>
      </c>
      <c r="W127" s="69">
        <f t="shared" ca="1" si="56"/>
        <v>0</v>
      </c>
      <c r="X127" s="126">
        <v>0</v>
      </c>
      <c r="Y127" s="69">
        <f t="shared" ca="1" si="57"/>
        <v>5730394.9000000004</v>
      </c>
      <c r="Z127" s="125">
        <f ca="1">IFERROR(__xludf.DUMMYFUNCTION("VLOOKUP(C127,IMPORTRANGE(""https://docs.google.com/spreadsheets/d/1bYzf4ItZuOkngvwjv6KE7rQwu8zocnnv24ijoZh_CLs/edit?gid=53702207#gid=53702207"",""SCHEDULE_HSP_JAN26""),38,0)+VLOOKUP(C127,IMPORTRANGE(""https://docs.google.com/spreadsheets/d/1bYzf4ItZuOkngv"&amp;"wjv6KE7rQwu8zocnnv24ijoZh_CLs/edit?gid=53702207#gid=53702207"",""SCHEDULE_HSP_JAN26""),39,0)"),0)</f>
        <v>0</v>
      </c>
      <c r="AA127" s="61">
        <f ca="1">IFERROR(__xludf.DUMMYFUNCTION("VLOOKUP(C127,IMPORTRANGE(""https://docs.google.com/spreadsheets/d/1bYzf4ItZuOkngvwjv6KE7rQwu8zocnnv24ijoZh_CLs/edit?gid=53702207#gid=53702207"",""SCHEDULE_HSP_JAN26""),40,0)"),0)</f>
        <v>0</v>
      </c>
      <c r="AB127" s="61">
        <f ca="1">IFERROR(__xludf.DUMMYFUNCTION("VLOOKUP(C127,IMPORTRANGE(""https://docs.google.com/spreadsheets/d/1bYzf4ItZuOkngvwjv6KE7rQwu8zocnnv24ijoZh_CLs/edit?gid=53702207#gid=53702207"",""SCHEDULE_HSP_JAN26""),41,0)"),0)</f>
        <v>0</v>
      </c>
      <c r="AC127" s="61">
        <f ca="1">IFERROR(__xludf.DUMMYFUNCTION("VLOOKUP(C127,IMPORTRANGE(""https://docs.google.com/spreadsheets/d/1bYzf4ItZuOkngvwjv6KE7rQwu8zocnnv24ijoZh_CLs/edit?gid=53702207#gid=53702207"",""SCHEDULE_HSP_JAN26""),42,0)"),0)</f>
        <v>0</v>
      </c>
      <c r="AD127" s="61"/>
      <c r="AE127" s="69">
        <f t="shared" ca="1" si="58"/>
        <v>0</v>
      </c>
      <c r="AF127" s="313">
        <v>468468</v>
      </c>
      <c r="AG127" s="354">
        <v>253500</v>
      </c>
      <c r="AH127" s="69">
        <v>0</v>
      </c>
      <c r="AI127" s="69">
        <v>0</v>
      </c>
      <c r="AJ127" s="69">
        <v>0</v>
      </c>
      <c r="AK127" s="69">
        <v>0</v>
      </c>
      <c r="AL127" s="69">
        <v>0</v>
      </c>
      <c r="AM127" s="69">
        <f t="shared" ca="1" si="59"/>
        <v>721968</v>
      </c>
      <c r="AN127" s="69">
        <f t="shared" ca="1" si="60"/>
        <v>5008426.9000000004</v>
      </c>
      <c r="AO127" s="69">
        <f t="shared" ca="1" si="61"/>
        <v>0</v>
      </c>
      <c r="AP127" s="69">
        <f t="shared" ca="1" si="62"/>
        <v>5008426.9000000004</v>
      </c>
      <c r="AQ127" s="69">
        <f t="shared" ca="1" si="63"/>
        <v>5008426.9000000004</v>
      </c>
      <c r="AR127" s="314">
        <f t="shared" ca="1" si="64"/>
        <v>5008400</v>
      </c>
      <c r="AS127" s="72"/>
      <c r="AT127" s="73" t="s">
        <v>1314</v>
      </c>
      <c r="AU127" s="61" t="s">
        <v>15</v>
      </c>
      <c r="AV127" s="69">
        <f t="shared" si="65"/>
        <v>5729876</v>
      </c>
      <c r="AW127" s="69">
        <f t="shared" ca="1" si="66"/>
        <v>0</v>
      </c>
      <c r="AX127" s="69">
        <f t="shared" ca="1" si="67"/>
        <v>0</v>
      </c>
      <c r="AY127" s="69">
        <v>0</v>
      </c>
      <c r="AZ127" s="69">
        <f t="shared" si="68"/>
        <v>13751.702399999998</v>
      </c>
      <c r="BA127" s="69">
        <f t="shared" si="69"/>
        <v>17189.628000000001</v>
      </c>
      <c r="BB127" s="69">
        <f t="shared" si="70"/>
        <v>229195.04</v>
      </c>
      <c r="BC127" s="69">
        <f t="shared" ca="1" si="71"/>
        <v>5990012.3703999994</v>
      </c>
      <c r="BD127" s="74">
        <f ca="1">IF(AU127="C",VLOOKUP(BC127,TER!$J$4:$L$50,3,TRUE),IF(AU127="B",VLOOKUP(BC127,TER!$F$4:$H$50,3,TRUE),IF(AU127="A",VLOOKUP(BC127,TER!$B$4:$D$50,3,TRUE),"ERROR")))</f>
        <v>0</v>
      </c>
      <c r="BE127" s="69">
        <f t="shared" ca="1" si="72"/>
        <v>0</v>
      </c>
      <c r="BF127" s="113"/>
      <c r="BG127" s="113"/>
    </row>
    <row r="128" spans="1:59" ht="15.75" customHeight="1">
      <c r="A128" s="136"/>
      <c r="B128" s="256">
        <v>38</v>
      </c>
      <c r="C128" s="453" t="s">
        <v>49</v>
      </c>
      <c r="D128" s="411"/>
      <c r="E128" s="106"/>
      <c r="F128" s="102"/>
      <c r="G128" s="107"/>
      <c r="H128" s="107"/>
      <c r="I128" s="108">
        <f>SUM(I90:I127)</f>
        <v>217735288</v>
      </c>
      <c r="J128" s="316" t="s">
        <v>1036</v>
      </c>
      <c r="K128" s="316" t="s">
        <v>1037</v>
      </c>
      <c r="L128" s="108">
        <f t="shared" ref="L128:P128" si="79">SUM(L90:L127)</f>
        <v>3000000</v>
      </c>
      <c r="M128" s="108">
        <f t="shared" ca="1" si="79"/>
        <v>137836.43892339544</v>
      </c>
      <c r="N128" s="109">
        <f t="shared" ca="1" si="79"/>
        <v>766</v>
      </c>
      <c r="O128" s="109">
        <f t="shared" ca="1" si="79"/>
        <v>787</v>
      </c>
      <c r="P128" s="109">
        <f t="shared" ca="1" si="79"/>
        <v>2904761.9047619049</v>
      </c>
      <c r="Q128" s="109"/>
      <c r="R128" s="109">
        <f t="shared" ref="R128:T128" si="80">SUM(R90:R127)</f>
        <v>237950678.31500006</v>
      </c>
      <c r="S128" s="109">
        <f t="shared" si="80"/>
        <v>237950678.31500006</v>
      </c>
      <c r="T128" s="109">
        <f t="shared" si="80"/>
        <v>0</v>
      </c>
      <c r="U128" s="109"/>
      <c r="V128" s="109">
        <f t="shared" ref="V128:AR128" ca="1" si="81">SUM(V90:V127)</f>
        <v>11</v>
      </c>
      <c r="W128" s="109">
        <f t="shared" ca="1" si="81"/>
        <v>2160400</v>
      </c>
      <c r="X128" s="109">
        <f t="shared" si="81"/>
        <v>0</v>
      </c>
      <c r="Y128" s="109">
        <f t="shared" ca="1" si="81"/>
        <v>240015840.21976197</v>
      </c>
      <c r="Z128" s="109">
        <f t="shared" ca="1" si="81"/>
        <v>10</v>
      </c>
      <c r="AA128" s="109">
        <f t="shared" ca="1" si="81"/>
        <v>2</v>
      </c>
      <c r="AB128" s="109">
        <f t="shared" ca="1" si="81"/>
        <v>9</v>
      </c>
      <c r="AC128" s="109">
        <f t="shared" ca="1" si="81"/>
        <v>0</v>
      </c>
      <c r="AD128" s="109">
        <f t="shared" si="81"/>
        <v>0</v>
      </c>
      <c r="AE128" s="109">
        <f t="shared" ca="1" si="81"/>
        <v>2356800</v>
      </c>
      <c r="AF128" s="109">
        <f t="shared" si="81"/>
        <v>17801784</v>
      </c>
      <c r="AG128" s="109">
        <f t="shared" si="81"/>
        <v>9633000</v>
      </c>
      <c r="AH128" s="109">
        <f t="shared" si="81"/>
        <v>0</v>
      </c>
      <c r="AI128" s="109">
        <f t="shared" si="81"/>
        <v>0</v>
      </c>
      <c r="AJ128" s="109">
        <f t="shared" si="81"/>
        <v>0</v>
      </c>
      <c r="AK128" s="109">
        <f t="shared" si="81"/>
        <v>0</v>
      </c>
      <c r="AL128" s="109">
        <f t="shared" si="81"/>
        <v>0</v>
      </c>
      <c r="AM128" s="109">
        <f t="shared" ca="1" si="81"/>
        <v>29791584</v>
      </c>
      <c r="AN128" s="109">
        <f t="shared" ca="1" si="81"/>
        <v>210224256.21976197</v>
      </c>
      <c r="AO128" s="109">
        <f t="shared" ca="1" si="81"/>
        <v>1343346.3096096197</v>
      </c>
      <c r="AP128" s="109">
        <f t="shared" ca="1" si="81"/>
        <v>208880909.91015235</v>
      </c>
      <c r="AQ128" s="109">
        <f t="shared" ca="1" si="81"/>
        <v>208880909.91015235</v>
      </c>
      <c r="AR128" s="109">
        <f t="shared" ca="1" si="81"/>
        <v>208881000</v>
      </c>
      <c r="AS128" s="109"/>
      <c r="AT128" s="109"/>
      <c r="AU128" s="111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36"/>
      <c r="BG128" s="113"/>
    </row>
    <row r="129" spans="1:59" ht="15.75" customHeight="1">
      <c r="A129" s="113"/>
      <c r="B129" s="105"/>
      <c r="C129" s="112"/>
      <c r="D129" s="113"/>
      <c r="E129" s="105"/>
      <c r="F129" s="95"/>
      <c r="G129" s="113"/>
      <c r="H129" s="113"/>
      <c r="I129" s="72"/>
      <c r="J129" s="115"/>
      <c r="K129" s="115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130"/>
      <c r="W129" s="370" t="s">
        <v>1358</v>
      </c>
      <c r="X129" s="211"/>
      <c r="Y129" s="211"/>
      <c r="Z129" s="371"/>
      <c r="AA129" s="371"/>
      <c r="AB129" s="103"/>
      <c r="AC129" s="103"/>
      <c r="AD129" s="103"/>
      <c r="AE129" s="115">
        <f ca="1">SUM(Z128:AD128)</f>
        <v>21</v>
      </c>
      <c r="AF129" s="114">
        <v>34</v>
      </c>
      <c r="AG129" s="108">
        <v>32</v>
      </c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103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113"/>
      <c r="BG129" s="113"/>
    </row>
    <row r="130" spans="1:59" ht="15.75" customHeight="1">
      <c r="A130" s="113"/>
      <c r="B130" s="105"/>
      <c r="C130" s="112"/>
      <c r="D130" s="113"/>
      <c r="E130" s="105"/>
      <c r="F130" s="95"/>
      <c r="G130" s="113"/>
      <c r="H130" s="113"/>
      <c r="I130" s="72"/>
      <c r="J130" s="115"/>
      <c r="K130" s="115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130"/>
      <c r="W130" s="141" t="s">
        <v>1344</v>
      </c>
      <c r="X130" s="72"/>
      <c r="Y130" s="72"/>
      <c r="Z130" s="103"/>
      <c r="AA130" s="103"/>
      <c r="AB130" s="103"/>
      <c r="AC130" s="103"/>
      <c r="AD130" s="103"/>
      <c r="AE130" s="115"/>
      <c r="AF130" s="108"/>
      <c r="AG130" s="108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103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113"/>
      <c r="BG130" s="113"/>
    </row>
    <row r="131" spans="1:59" ht="15.75" customHeight="1">
      <c r="A131" s="113"/>
      <c r="B131" s="105"/>
      <c r="C131" s="112"/>
      <c r="D131" s="113"/>
      <c r="E131" s="105"/>
      <c r="F131" s="95"/>
      <c r="G131" s="113"/>
      <c r="H131" s="113"/>
      <c r="I131" s="72"/>
      <c r="J131" s="115"/>
      <c r="K131" s="115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130"/>
      <c r="W131" s="72"/>
      <c r="X131" s="72"/>
      <c r="Y131" s="72"/>
      <c r="Z131" s="103"/>
      <c r="AA131" s="103"/>
      <c r="AB131" s="103"/>
      <c r="AC131" s="103"/>
      <c r="AD131" s="103"/>
      <c r="AE131" s="115"/>
      <c r="AF131" s="108"/>
      <c r="AG131" s="108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103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113"/>
      <c r="BG131" s="113"/>
    </row>
    <row r="132" spans="1:59" ht="15.75" customHeight="1" outlineLevel="1">
      <c r="A132" s="138"/>
      <c r="B132" s="440" t="s">
        <v>20</v>
      </c>
      <c r="C132" s="452" t="s">
        <v>21</v>
      </c>
      <c r="D132" s="440" t="s">
        <v>22</v>
      </c>
      <c r="E132" s="456" t="s">
        <v>23</v>
      </c>
      <c r="F132" s="411"/>
      <c r="G132" s="440" t="s">
        <v>24</v>
      </c>
      <c r="H132" s="442" t="s">
        <v>4</v>
      </c>
      <c r="I132" s="436" t="s">
        <v>259</v>
      </c>
      <c r="J132" s="410"/>
      <c r="K132" s="410"/>
      <c r="L132" s="410"/>
      <c r="M132" s="410"/>
      <c r="N132" s="410"/>
      <c r="O132" s="410"/>
      <c r="P132" s="410"/>
      <c r="Q132" s="410"/>
      <c r="R132" s="410"/>
      <c r="S132" s="410"/>
      <c r="T132" s="410"/>
      <c r="U132" s="410"/>
      <c r="V132" s="410"/>
      <c r="W132" s="410"/>
      <c r="X132" s="410"/>
      <c r="Y132" s="411"/>
      <c r="Z132" s="436" t="s">
        <v>260</v>
      </c>
      <c r="AA132" s="410"/>
      <c r="AB132" s="410"/>
      <c r="AC132" s="410"/>
      <c r="AD132" s="410"/>
      <c r="AE132" s="410"/>
      <c r="AF132" s="410"/>
      <c r="AG132" s="410"/>
      <c r="AH132" s="410"/>
      <c r="AI132" s="410"/>
      <c r="AJ132" s="410"/>
      <c r="AK132" s="410"/>
      <c r="AL132" s="410"/>
      <c r="AM132" s="411"/>
      <c r="AN132" s="443" t="s">
        <v>261</v>
      </c>
      <c r="AO132" s="443" t="s">
        <v>262</v>
      </c>
      <c r="AP132" s="443" t="s">
        <v>1022</v>
      </c>
      <c r="AQ132" s="443" t="s">
        <v>1023</v>
      </c>
      <c r="AR132" s="444" t="s">
        <v>1024</v>
      </c>
      <c r="AS132" s="111"/>
      <c r="AT132" s="435" t="s">
        <v>262</v>
      </c>
      <c r="AU132" s="410"/>
      <c r="AV132" s="410"/>
      <c r="AW132" s="410"/>
      <c r="AX132" s="410"/>
      <c r="AY132" s="410"/>
      <c r="AZ132" s="410"/>
      <c r="BA132" s="410"/>
      <c r="BB132" s="410"/>
      <c r="BC132" s="410"/>
      <c r="BD132" s="410"/>
      <c r="BE132" s="411"/>
      <c r="BF132" s="138"/>
      <c r="BG132" s="113"/>
    </row>
    <row r="133" spans="1:59" ht="15.75" customHeight="1">
      <c r="A133" s="138"/>
      <c r="B133" s="413"/>
      <c r="C133" s="413"/>
      <c r="D133" s="413"/>
      <c r="E133" s="448" t="s">
        <v>26</v>
      </c>
      <c r="F133" s="457" t="s">
        <v>27</v>
      </c>
      <c r="G133" s="413"/>
      <c r="H133" s="413"/>
      <c r="I133" s="431" t="s">
        <v>1025</v>
      </c>
      <c r="J133" s="437" t="s">
        <v>266</v>
      </c>
      <c r="K133" s="411"/>
      <c r="L133" s="436" t="s">
        <v>267</v>
      </c>
      <c r="M133" s="410"/>
      <c r="N133" s="410"/>
      <c r="O133" s="410"/>
      <c r="P133" s="411"/>
      <c r="Q133" s="122"/>
      <c r="R133" s="438" t="s">
        <v>268</v>
      </c>
      <c r="S133" s="410"/>
      <c r="T133" s="411"/>
      <c r="U133" s="436" t="s">
        <v>269</v>
      </c>
      <c r="V133" s="410"/>
      <c r="W133" s="411"/>
      <c r="X133" s="439" t="s">
        <v>270</v>
      </c>
      <c r="Y133" s="431" t="s">
        <v>271</v>
      </c>
      <c r="Z133" s="436" t="s">
        <v>272</v>
      </c>
      <c r="AA133" s="410"/>
      <c r="AB133" s="410"/>
      <c r="AC133" s="410"/>
      <c r="AD133" s="410"/>
      <c r="AE133" s="411"/>
      <c r="AF133" s="437" t="s">
        <v>266</v>
      </c>
      <c r="AG133" s="411"/>
      <c r="AH133" s="439" t="s">
        <v>273</v>
      </c>
      <c r="AI133" s="438" t="s">
        <v>274</v>
      </c>
      <c r="AJ133" s="410"/>
      <c r="AK133" s="411"/>
      <c r="AL133" s="439" t="s">
        <v>275</v>
      </c>
      <c r="AM133" s="431" t="s">
        <v>271</v>
      </c>
      <c r="AN133" s="413"/>
      <c r="AO133" s="413"/>
      <c r="AP133" s="413"/>
      <c r="AQ133" s="413"/>
      <c r="AR133" s="413"/>
      <c r="AS133" s="111"/>
      <c r="AT133" s="431" t="s">
        <v>4</v>
      </c>
      <c r="AU133" s="431" t="s">
        <v>276</v>
      </c>
      <c r="AV133" s="431" t="s">
        <v>277</v>
      </c>
      <c r="AW133" s="431" t="s">
        <v>278</v>
      </c>
      <c r="AX133" s="431" t="s">
        <v>269</v>
      </c>
      <c r="AY133" s="431" t="s">
        <v>270</v>
      </c>
      <c r="AZ133" s="436" t="s">
        <v>266</v>
      </c>
      <c r="BA133" s="410"/>
      <c r="BB133" s="411"/>
      <c r="BC133" s="431" t="s">
        <v>261</v>
      </c>
      <c r="BD133" s="431" t="s">
        <v>279</v>
      </c>
      <c r="BE133" s="431" t="s">
        <v>262</v>
      </c>
      <c r="BF133" s="138"/>
      <c r="BG133" s="113"/>
    </row>
    <row r="134" spans="1:59" ht="15.75" customHeight="1">
      <c r="A134" s="138"/>
      <c r="B134" s="414"/>
      <c r="C134" s="414"/>
      <c r="D134" s="414"/>
      <c r="E134" s="414"/>
      <c r="F134" s="414"/>
      <c r="G134" s="414"/>
      <c r="H134" s="414"/>
      <c r="I134" s="414"/>
      <c r="J134" s="123" t="s">
        <v>280</v>
      </c>
      <c r="K134" s="123" t="s">
        <v>281</v>
      </c>
      <c r="L134" s="109" t="s">
        <v>282</v>
      </c>
      <c r="M134" s="109" t="s">
        <v>283</v>
      </c>
      <c r="N134" s="123" t="s">
        <v>284</v>
      </c>
      <c r="O134" s="123" t="s">
        <v>285</v>
      </c>
      <c r="P134" s="109" t="s">
        <v>286</v>
      </c>
      <c r="Q134" s="122"/>
      <c r="R134" s="122" t="s">
        <v>282</v>
      </c>
      <c r="S134" s="122" t="s">
        <v>287</v>
      </c>
      <c r="T134" s="122" t="s">
        <v>288</v>
      </c>
      <c r="U134" s="109" t="s">
        <v>289</v>
      </c>
      <c r="V134" s="123" t="s">
        <v>290</v>
      </c>
      <c r="W134" s="109" t="s">
        <v>286</v>
      </c>
      <c r="X134" s="414"/>
      <c r="Y134" s="414"/>
      <c r="Z134" s="123" t="s">
        <v>291</v>
      </c>
      <c r="AA134" s="123" t="s">
        <v>292</v>
      </c>
      <c r="AB134" s="123" t="s">
        <v>293</v>
      </c>
      <c r="AC134" s="123" t="s">
        <v>280</v>
      </c>
      <c r="AD134" s="123"/>
      <c r="AE134" s="109" t="s">
        <v>286</v>
      </c>
      <c r="AF134" s="123" t="s">
        <v>280</v>
      </c>
      <c r="AG134" s="123" t="s">
        <v>281</v>
      </c>
      <c r="AH134" s="414"/>
      <c r="AI134" s="122" t="s">
        <v>295</v>
      </c>
      <c r="AJ134" s="122" t="s">
        <v>296</v>
      </c>
      <c r="AK134" s="122" t="s">
        <v>297</v>
      </c>
      <c r="AL134" s="414"/>
      <c r="AM134" s="414"/>
      <c r="AN134" s="414"/>
      <c r="AO134" s="414"/>
      <c r="AP134" s="414"/>
      <c r="AQ134" s="414"/>
      <c r="AR134" s="414"/>
      <c r="AS134" s="111"/>
      <c r="AT134" s="414"/>
      <c r="AU134" s="414"/>
      <c r="AV134" s="414"/>
      <c r="AW134" s="414"/>
      <c r="AX134" s="414"/>
      <c r="AY134" s="414"/>
      <c r="AZ134" s="109" t="s">
        <v>298</v>
      </c>
      <c r="BA134" s="109" t="s">
        <v>299</v>
      </c>
      <c r="BB134" s="109" t="s">
        <v>281</v>
      </c>
      <c r="BC134" s="414"/>
      <c r="BD134" s="414"/>
      <c r="BE134" s="414"/>
      <c r="BF134" s="138"/>
      <c r="BG134" s="113"/>
    </row>
    <row r="135" spans="1:59" ht="15.75" customHeight="1">
      <c r="A135" s="113"/>
      <c r="B135" s="224">
        <v>1</v>
      </c>
      <c r="C135" s="131" t="s">
        <v>50</v>
      </c>
      <c r="D135" s="66" t="s">
        <v>51</v>
      </c>
      <c r="E135" s="67" t="s">
        <v>57</v>
      </c>
      <c r="F135" s="68" t="s">
        <v>1233</v>
      </c>
      <c r="G135" s="66" t="s">
        <v>31</v>
      </c>
      <c r="H135" s="66" t="s">
        <v>32</v>
      </c>
      <c r="I135" s="69">
        <f t="shared" ref="I135:I137" si="82">IF(H135="FULL - EXISTING",5729876,5729876/O135*N135)</f>
        <v>5729876</v>
      </c>
      <c r="J135" s="315">
        <v>316.20499999999998</v>
      </c>
      <c r="K135" s="315">
        <v>202.69499999999999</v>
      </c>
      <c r="L135" s="70">
        <v>1000000</v>
      </c>
      <c r="M135" s="69">
        <f t="shared" ref="M135:M137" ca="1" si="83">L135/O135</f>
        <v>47619.047619047618</v>
      </c>
      <c r="N135" s="125">
        <f ca="1">IFERROR(__xludf.DUMMYFUNCTION("VLOOKUP(C135,IMPORTRANGE(""https://docs.google.com/spreadsheets/d/1ZLN5T8y7NSBIP1rvSj6TTUR_vTQbRwUKSt8zZJ_EfE4/edit?gid=1559406549#gid=1559406549"",""SCHEDULE_KMK_JAN26""),35,0)"),21)</f>
        <v>21</v>
      </c>
      <c r="O135" s="125">
        <f ca="1">IFERROR(__xludf.DUMMYFUNCTION("VLOOKUP(C135,IMPORTRANGE(""https://docs.google.com/spreadsheets/d/1ZLN5T8y7NSBIP1rvSj6TTUR_vTQbRwUKSt8zZJ_EfE4/edit?gid=1559406549#gid=1559406549"",""SCHEDULE_KMK_JAN26""),34,0)"),21)</f>
        <v>21</v>
      </c>
      <c r="P135" s="69">
        <f t="shared" ref="P135:P137" ca="1" si="84">M135*N135</f>
        <v>1000000</v>
      </c>
      <c r="Q135" s="71"/>
      <c r="R135" s="314">
        <f t="shared" ref="R135:R137" si="85">I135+J135+K135+L135</f>
        <v>6730394.9000000004</v>
      </c>
      <c r="S135" s="314">
        <f t="shared" ref="S135:S137" ca="1" si="86">I135+J135+K135+P135</f>
        <v>6730394.9000000004</v>
      </c>
      <c r="T135" s="69">
        <f t="shared" ref="T135:T137" ca="1" si="87">IF(R135-S135&lt;0,R135-S135,0)</f>
        <v>0</v>
      </c>
      <c r="U135" s="70">
        <v>250000</v>
      </c>
      <c r="V135" s="125">
        <f ca="1">IFERROR(__xludf.DUMMYFUNCTION("VLOOKUP(C135,IMPORTRANGE(""https://https://docs.google.com/spreadsheets/d/1Yr1FAmXgLLqQ-3kIS51oZtMz3yMaX2Ds6wSFcRcBQls/edit?gid=1156888565#gid=1156888565"",""SCHEDULE_KMK_DES25""),36,0)"),0)</f>
        <v>0</v>
      </c>
      <c r="W135" s="69">
        <f t="shared" ref="W135:W137" ca="1" si="88">U135*V135</f>
        <v>0</v>
      </c>
      <c r="X135" s="69">
        <v>0</v>
      </c>
      <c r="Y135" s="314">
        <f t="shared" ref="Y135:Y137" ca="1" si="89">I135+J135+K135+P135+W135+X135</f>
        <v>6730394.9000000004</v>
      </c>
      <c r="Z135" s="61">
        <f ca="1">IFERROR(__xludf.DUMMYFUNCTION("VLOOKUP(C135,IMPORTRANGE(""https://docs.google.com/spreadsheets/d/1ZLN5T8y7NSBIP1rvSj6TTUR_vTQbRwUKSt8zZJ_EfE4/edit?gid=1559406549#gid=1559406549"",""SCHEDULE_KMK_JAN26""),38,0)+VLOOKUP(C135,IMPORTRANGE(""https://docs.google.com/spreadsheets/d/1ZLN5T8y7NS"&amp;"BIP1rvSj6TTUR_vTQbRwUKSt8zZJ_EfE4/edit?gid=1559406549#gid=1559406549"",""SCHEDULE_KMK_JAN26""),39,0)"),0)</f>
        <v>0</v>
      </c>
      <c r="AA135" s="61">
        <f ca="1">IFERROR(__xludf.DUMMYFUNCTION("VLOOKUP(C135,IMPORTRANGE(""https://docs.google.com/spreadsheets/d/1ZLN5T8y7NSBIP1rvSj6TTUR_vTQbRwUKSt8zZJ_EfE4/edit?gid=1559406549#gid=1559406549"",""SCHEDULE_KMK_JAN26""),40,0)"),0)</f>
        <v>0</v>
      </c>
      <c r="AB135" s="61">
        <f ca="1">IFERROR(__xludf.DUMMYFUNCTION("VLOOKUP(C135,IMPORTRANGE(""https://docs.google.com/spreadsheets/d/1ZLN5T8y7NSBIP1rvSj6TTUR_vTQbRwUKSt8zZJ_EfE4/edit?gid=1559406549#gid=1559406549"",""SCHEDULE_KMK_JAN26""),41,0)"),0)</f>
        <v>0</v>
      </c>
      <c r="AC135" s="61">
        <f ca="1">IFERROR(__xludf.DUMMYFUNCTION("VLOOKUP(C135,IMPORTRANGE(""https://docs.google.com/spreadsheets/d/1ZLN5T8y7NSBIP1rvSj6TTUR_vTQbRwUKSt8zZJ_EfE4/edit?gid=1559406549#gid=1559406549"",""SCHEDULE_KMK_JAN26""),42,0)"),0)</f>
        <v>0</v>
      </c>
      <c r="AD135" s="61"/>
      <c r="AE135" s="69">
        <v>0</v>
      </c>
      <c r="AF135" s="313">
        <v>468468</v>
      </c>
      <c r="AG135" s="313">
        <v>253500</v>
      </c>
      <c r="AH135" s="69">
        <v>0</v>
      </c>
      <c r="AI135" s="69">
        <v>0</v>
      </c>
      <c r="AJ135" s="69">
        <v>0</v>
      </c>
      <c r="AK135" s="69">
        <v>0</v>
      </c>
      <c r="AL135" s="69">
        <v>0</v>
      </c>
      <c r="AM135" s="314">
        <f t="shared" ref="AM135:AM137" si="90">AE135+AF135+AG135+AH135+AJ135+AL135</f>
        <v>721968</v>
      </c>
      <c r="AN135" s="314">
        <f t="shared" ref="AN135:AN137" ca="1" si="91">Y135-AM135</f>
        <v>6008426.9000000004</v>
      </c>
      <c r="AO135" s="69">
        <f t="shared" ref="AO135:AO137" ca="1" si="92">BE135</f>
        <v>87375.154630000005</v>
      </c>
      <c r="AP135" s="314">
        <f t="shared" ref="AP135:AP137" ca="1" si="93">AN135-AO135</f>
        <v>5921051.7453700006</v>
      </c>
      <c r="AQ135" s="314">
        <f t="shared" ref="AQ135:AQ137" ca="1" si="94">AP135-X135</f>
        <v>5921051.7453700006</v>
      </c>
      <c r="AR135" s="314">
        <f t="shared" ref="AR135:AR137" ca="1" si="95">IF(AQ135&gt;0,ROUND(AQ135,-2),0)</f>
        <v>5921100</v>
      </c>
      <c r="AS135" s="72"/>
      <c r="AT135" s="73" t="s">
        <v>9</v>
      </c>
      <c r="AU135" s="61" t="s">
        <v>10</v>
      </c>
      <c r="AV135" s="69">
        <f t="shared" ref="AV135:AV137" si="96">I135</f>
        <v>5729876</v>
      </c>
      <c r="AW135" s="69">
        <f t="shared" ref="AW135:AW137" ca="1" si="97">P135</f>
        <v>1000000</v>
      </c>
      <c r="AX135" s="69">
        <v>0</v>
      </c>
      <c r="AY135" s="69">
        <v>0</v>
      </c>
      <c r="AZ135" s="69">
        <f t="shared" ref="AZ135:AZ137" si="98">IF(J135=0,0,AV135*0.24%)</f>
        <v>13751.702399999998</v>
      </c>
      <c r="BA135" s="69">
        <f t="shared" ref="BA135:BA137" si="99">IF(J135=0,0,AV135*0.3%)</f>
        <v>17189.628000000001</v>
      </c>
      <c r="BB135" s="69">
        <f t="shared" ref="BB135:BB137" si="100">IF(K135=0,0,AV135*4%)</f>
        <v>229195.04</v>
      </c>
      <c r="BC135" s="69">
        <f t="shared" ref="BC135:BC137" ca="1" si="101">SUM(AV135:BB135)</f>
        <v>6990012.3703999994</v>
      </c>
      <c r="BD135" s="61">
        <f ca="1">IF(AU135="C",VLOOKUP(BC135,TER!$J$4:$L$50,3,TRUE),IF(AU135="B",VLOOKUP(BC135,TER!$F$4:$H$50,3,TRUE),IF(AU135="A",VLOOKUP(BC135,TER!$B$4:$D$50,3,TRUE),"ERROR")))</f>
        <v>1.2500000000000001E-2</v>
      </c>
      <c r="BE135" s="69">
        <f t="shared" ref="BE135:BE137" ca="1" si="102">BC135*BD135</f>
        <v>87375.154630000005</v>
      </c>
      <c r="BF135" s="113"/>
      <c r="BG135" s="113"/>
    </row>
    <row r="136" spans="1:59" ht="15.75" customHeight="1">
      <c r="A136" s="113"/>
      <c r="B136" s="224">
        <v>2</v>
      </c>
      <c r="C136" s="131" t="s">
        <v>439</v>
      </c>
      <c r="D136" s="66" t="s">
        <v>440</v>
      </c>
      <c r="E136" s="67" t="s">
        <v>57</v>
      </c>
      <c r="F136" s="68" t="s">
        <v>1234</v>
      </c>
      <c r="G136" s="66" t="s">
        <v>31</v>
      </c>
      <c r="H136" s="66" t="s">
        <v>32</v>
      </c>
      <c r="I136" s="69">
        <f t="shared" si="82"/>
        <v>5729876</v>
      </c>
      <c r="J136" s="315">
        <v>316.20499999999998</v>
      </c>
      <c r="K136" s="315">
        <v>202.69499999999999</v>
      </c>
      <c r="L136" s="70">
        <v>1000000</v>
      </c>
      <c r="M136" s="69">
        <f t="shared" ca="1" si="83"/>
        <v>47619.047619047618</v>
      </c>
      <c r="N136" s="125">
        <f ca="1">IFERROR(__xludf.DUMMYFUNCTION("VLOOKUP(C136,IMPORTRANGE(""https://docs.google.com/spreadsheets/d/1ZLN5T8y7NSBIP1rvSj6TTUR_vTQbRwUKSt8zZJ_EfE4/edit?gid=1559406549#gid=1559406549"",""SCHEDULE_KMK_JAN26""),35,0)"),21)</f>
        <v>21</v>
      </c>
      <c r="O136" s="125">
        <f ca="1">IFERROR(__xludf.DUMMYFUNCTION("VLOOKUP(C136,IMPORTRANGE(""https://docs.google.com/spreadsheets/d/1ZLN5T8y7NSBIP1rvSj6TTUR_vTQbRwUKSt8zZJ_EfE4/edit?gid=1559406549#gid=1559406549"",""SCHEDULE_KMK_JAN26""),34,0)"),21)</f>
        <v>21</v>
      </c>
      <c r="P136" s="69">
        <f t="shared" ca="1" si="84"/>
        <v>1000000</v>
      </c>
      <c r="Q136" s="71"/>
      <c r="R136" s="314">
        <f t="shared" si="85"/>
        <v>6730394.9000000004</v>
      </c>
      <c r="S136" s="314">
        <f t="shared" ca="1" si="86"/>
        <v>6730394.9000000004</v>
      </c>
      <c r="T136" s="69">
        <f t="shared" ca="1" si="87"/>
        <v>0</v>
      </c>
      <c r="U136" s="70">
        <v>250000</v>
      </c>
      <c r="V136" s="125">
        <f ca="1">IFERROR(__xludf.DUMMYFUNCTION("VLOOKUP(C136,IMPORTRANGE(""https://https://docs.google.com/spreadsheets/d/1Yr1FAmXgLLqQ-3kIS51oZtMz3yMaX2Ds6wSFcRcBQls/edit?gid=1156888565#gid=1156888565"",""SCHEDULE_KMK_DES25""),36,0)"),0)</f>
        <v>0</v>
      </c>
      <c r="W136" s="69">
        <f t="shared" ca="1" si="88"/>
        <v>0</v>
      </c>
      <c r="X136" s="69">
        <v>0</v>
      </c>
      <c r="Y136" s="314">
        <f t="shared" ca="1" si="89"/>
        <v>6730394.9000000004</v>
      </c>
      <c r="Z136" s="61">
        <f ca="1">IFERROR(__xludf.DUMMYFUNCTION("VLOOKUP(C136,IMPORTRANGE(""https://docs.google.com/spreadsheets/d/1ZLN5T8y7NSBIP1rvSj6TTUR_vTQbRwUKSt8zZJ_EfE4/edit?gid=1559406549#gid=1559406549"",""SCHEDULE_KMK_JAN26""),38,0)+VLOOKUP(C136,IMPORTRANGE(""https://docs.google.com/spreadsheets/d/1ZLN5T8y7NS"&amp;"BIP1rvSj6TTUR_vTQbRwUKSt8zZJ_EfE4/edit?gid=1559406549#gid=1559406549"",""SCHEDULE_KMK_JAN26""),39,0)"),0)</f>
        <v>0</v>
      </c>
      <c r="AA136" s="61">
        <f ca="1">IFERROR(__xludf.DUMMYFUNCTION("VLOOKUP(C136,IMPORTRANGE(""https://docs.google.com/spreadsheets/d/1ZLN5T8y7NSBIP1rvSj6TTUR_vTQbRwUKSt8zZJ_EfE4/edit?gid=1559406549#gid=1559406549"",""SCHEDULE_KMK_JAN26""),40,0)"),0)</f>
        <v>0</v>
      </c>
      <c r="AB136" s="61">
        <f ca="1">IFERROR(__xludf.DUMMYFUNCTION("VLOOKUP(C136,IMPORTRANGE(""https://docs.google.com/spreadsheets/d/1ZLN5T8y7NSBIP1rvSj6TTUR_vTQbRwUKSt8zZJ_EfE4/edit?gid=1559406549#gid=1559406549"",""SCHEDULE_KMK_JAN26""),41,0)"),0)</f>
        <v>0</v>
      </c>
      <c r="AC136" s="61">
        <f ca="1">IFERROR(__xludf.DUMMYFUNCTION("VLOOKUP(C136,IMPORTRANGE(""https://docs.google.com/spreadsheets/d/1ZLN5T8y7NSBIP1rvSj6TTUR_vTQbRwUKSt8zZJ_EfE4/edit?gid=1559406549#gid=1559406549"",""SCHEDULE_KMK_JAN26""),42,0)"),0)</f>
        <v>0</v>
      </c>
      <c r="AD136" s="61"/>
      <c r="AE136" s="69">
        <v>0</v>
      </c>
      <c r="AF136" s="313">
        <v>468468</v>
      </c>
      <c r="AG136" s="313">
        <v>253500</v>
      </c>
      <c r="AH136" s="69">
        <v>0</v>
      </c>
      <c r="AI136" s="69">
        <v>0</v>
      </c>
      <c r="AJ136" s="69">
        <v>0</v>
      </c>
      <c r="AK136" s="69">
        <v>0</v>
      </c>
      <c r="AL136" s="69">
        <v>0</v>
      </c>
      <c r="AM136" s="314">
        <f t="shared" si="90"/>
        <v>721968</v>
      </c>
      <c r="AN136" s="314">
        <f t="shared" ca="1" si="91"/>
        <v>6008426.9000000004</v>
      </c>
      <c r="AO136" s="69">
        <f t="shared" ca="1" si="92"/>
        <v>34950.061851999999</v>
      </c>
      <c r="AP136" s="314">
        <f t="shared" ca="1" si="93"/>
        <v>5973476.8381480007</v>
      </c>
      <c r="AQ136" s="314">
        <f t="shared" ca="1" si="94"/>
        <v>5973476.8381480007</v>
      </c>
      <c r="AR136" s="314">
        <f t="shared" ca="1" si="95"/>
        <v>5973500</v>
      </c>
      <c r="AS136" s="72"/>
      <c r="AT136" s="73" t="s">
        <v>8</v>
      </c>
      <c r="AU136" s="61" t="s">
        <v>19</v>
      </c>
      <c r="AV136" s="69">
        <f t="shared" si="96"/>
        <v>5729876</v>
      </c>
      <c r="AW136" s="69">
        <f t="shared" ca="1" si="97"/>
        <v>1000000</v>
      </c>
      <c r="AX136" s="69">
        <v>0</v>
      </c>
      <c r="AY136" s="69">
        <v>0</v>
      </c>
      <c r="AZ136" s="69">
        <f t="shared" si="98"/>
        <v>13751.702399999998</v>
      </c>
      <c r="BA136" s="69">
        <f t="shared" si="99"/>
        <v>17189.628000000001</v>
      </c>
      <c r="BB136" s="69">
        <f t="shared" si="100"/>
        <v>229195.04</v>
      </c>
      <c r="BC136" s="69">
        <f t="shared" ca="1" si="101"/>
        <v>6990012.3703999994</v>
      </c>
      <c r="BD136" s="61">
        <f ca="1">IF(AU136="C",VLOOKUP(BC136,TER!$J$4:$L$50,3,TRUE),IF(AU136="B",VLOOKUP(BC136,TER!$F$4:$H$50,3,TRUE),IF(AU136="A",VLOOKUP(BC136,TER!$B$4:$D$50,3,TRUE),"ERROR")))</f>
        <v>5.0000000000000001E-3</v>
      </c>
      <c r="BE136" s="69">
        <f t="shared" ca="1" si="102"/>
        <v>34950.061851999999</v>
      </c>
      <c r="BF136" s="113"/>
      <c r="BG136" s="113"/>
    </row>
    <row r="137" spans="1:59" ht="15.75" customHeight="1">
      <c r="A137" s="113"/>
      <c r="B137" s="224">
        <v>3</v>
      </c>
      <c r="C137" s="132" t="s">
        <v>441</v>
      </c>
      <c r="D137" s="66" t="s">
        <v>442</v>
      </c>
      <c r="E137" s="67" t="s">
        <v>57</v>
      </c>
      <c r="F137" s="68" t="s">
        <v>1235</v>
      </c>
      <c r="G137" s="66" t="s">
        <v>31</v>
      </c>
      <c r="H137" s="66" t="s">
        <v>32</v>
      </c>
      <c r="I137" s="69">
        <f t="shared" si="82"/>
        <v>5729876</v>
      </c>
      <c r="J137" s="315">
        <v>316.20499999999998</v>
      </c>
      <c r="K137" s="315">
        <v>202.69499999999999</v>
      </c>
      <c r="L137" s="70">
        <v>1000000</v>
      </c>
      <c r="M137" s="69">
        <f t="shared" ca="1" si="83"/>
        <v>50000</v>
      </c>
      <c r="N137" s="125">
        <f ca="1">IFERROR(__xludf.DUMMYFUNCTION("VLOOKUP(C137,IMPORTRANGE(""https://docs.google.com/spreadsheets/d/1ZLN5T8y7NSBIP1rvSj6TTUR_vTQbRwUKSt8zZJ_EfE4/edit?gid=1559406549#gid=1559406549"",""SCHEDULE_KMK_JAN26""),35,0)"),20)</f>
        <v>20</v>
      </c>
      <c r="O137" s="125">
        <f ca="1">IFERROR(__xludf.DUMMYFUNCTION("VLOOKUP(C137,IMPORTRANGE(""https://docs.google.com/spreadsheets/d/1ZLN5T8y7NSBIP1rvSj6TTUR_vTQbRwUKSt8zZJ_EfE4/edit?gid=1559406549#gid=1559406549"",""SCHEDULE_KMK_JAN26""),34,0)"),20)</f>
        <v>20</v>
      </c>
      <c r="P137" s="69">
        <f t="shared" ca="1" si="84"/>
        <v>1000000</v>
      </c>
      <c r="Q137" s="71"/>
      <c r="R137" s="314">
        <f t="shared" si="85"/>
        <v>6730394.9000000004</v>
      </c>
      <c r="S137" s="314">
        <f t="shared" ca="1" si="86"/>
        <v>6730394.9000000004</v>
      </c>
      <c r="T137" s="69">
        <f t="shared" ca="1" si="87"/>
        <v>0</v>
      </c>
      <c r="U137" s="70">
        <v>250000</v>
      </c>
      <c r="V137" s="125">
        <f ca="1">IFERROR(__xludf.DUMMYFUNCTION("VLOOKUP(C137,IMPORTRANGE(""https://https://docs.google.com/spreadsheets/d/1Yr1FAmXgLLqQ-3kIS51oZtMz3yMaX2Ds6wSFcRcBQls/edit?gid=1156888565#gid=1156888565"",""SCHEDULE_KMK_DES25""),36,0)"),0)</f>
        <v>0</v>
      </c>
      <c r="W137" s="69">
        <f t="shared" ca="1" si="88"/>
        <v>0</v>
      </c>
      <c r="X137" s="69">
        <v>0</v>
      </c>
      <c r="Y137" s="314">
        <f t="shared" ca="1" si="89"/>
        <v>6730394.9000000004</v>
      </c>
      <c r="Z137" s="61">
        <f ca="1">IFERROR(__xludf.DUMMYFUNCTION("VLOOKUP(C137,IMPORTRANGE(""https://docs.google.com/spreadsheets/d/1ZLN5T8y7NSBIP1rvSj6TTUR_vTQbRwUKSt8zZJ_EfE4/edit?gid=1559406549#gid=1559406549"",""SCHEDULE_KMK_JAN26""),38,0)+VLOOKUP(C137,IMPORTRANGE(""https://docs.google.com/spreadsheets/d/1ZLN5T8y7NS"&amp;"BIP1rvSj6TTUR_vTQbRwUKSt8zZJ_EfE4/edit?gid=1559406549#gid=1559406549"",""SCHEDULE_KMK_JAN26""),39,0)"),0)</f>
        <v>0</v>
      </c>
      <c r="AA137" s="61">
        <f ca="1">IFERROR(__xludf.DUMMYFUNCTION("VLOOKUP(C137,IMPORTRANGE(""https://docs.google.com/spreadsheets/d/1ZLN5T8y7NSBIP1rvSj6TTUR_vTQbRwUKSt8zZJ_EfE4/edit?gid=1559406549#gid=1559406549"",""SCHEDULE_KMK_JAN26""),40,0)"),0)</f>
        <v>0</v>
      </c>
      <c r="AB137" s="61">
        <f ca="1">IFERROR(__xludf.DUMMYFUNCTION("VLOOKUP(C137,IMPORTRANGE(""https://docs.google.com/spreadsheets/d/1ZLN5T8y7NSBIP1rvSj6TTUR_vTQbRwUKSt8zZJ_EfE4/edit?gid=1559406549#gid=1559406549"",""SCHEDULE_KMK_JAN26""),41,0)"),0)</f>
        <v>0</v>
      </c>
      <c r="AC137" s="61">
        <f ca="1">IFERROR(__xludf.DUMMYFUNCTION("VLOOKUP(C137,IMPORTRANGE(""https://docs.google.com/spreadsheets/d/1ZLN5T8y7NSBIP1rvSj6TTUR_vTQbRwUKSt8zZJ_EfE4/edit?gid=1559406549#gid=1559406549"",""SCHEDULE_KMK_JAN26""),42,0)"),0)</f>
        <v>0</v>
      </c>
      <c r="AD137" s="61"/>
      <c r="AE137" s="69">
        <v>0</v>
      </c>
      <c r="AF137" s="313">
        <v>468468</v>
      </c>
      <c r="AG137" s="313">
        <v>253500</v>
      </c>
      <c r="AH137" s="69">
        <v>0</v>
      </c>
      <c r="AI137" s="69">
        <v>0</v>
      </c>
      <c r="AJ137" s="69">
        <v>0</v>
      </c>
      <c r="AK137" s="69">
        <v>0</v>
      </c>
      <c r="AL137" s="69">
        <v>0</v>
      </c>
      <c r="AM137" s="314">
        <f t="shared" si="90"/>
        <v>721968</v>
      </c>
      <c r="AN137" s="314">
        <f t="shared" ca="1" si="91"/>
        <v>6008426.9000000004</v>
      </c>
      <c r="AO137" s="69">
        <f t="shared" ca="1" si="92"/>
        <v>87375.154630000005</v>
      </c>
      <c r="AP137" s="314">
        <f t="shared" ca="1" si="93"/>
        <v>5921051.7453700006</v>
      </c>
      <c r="AQ137" s="314">
        <f t="shared" ca="1" si="94"/>
        <v>5921051.7453700006</v>
      </c>
      <c r="AR137" s="314">
        <f t="shared" ca="1" si="95"/>
        <v>5921100</v>
      </c>
      <c r="AS137" s="72"/>
      <c r="AT137" s="73" t="s">
        <v>9</v>
      </c>
      <c r="AU137" s="61" t="s">
        <v>10</v>
      </c>
      <c r="AV137" s="69">
        <f t="shared" si="96"/>
        <v>5729876</v>
      </c>
      <c r="AW137" s="69">
        <f t="shared" ca="1" si="97"/>
        <v>1000000</v>
      </c>
      <c r="AX137" s="69">
        <v>0</v>
      </c>
      <c r="AY137" s="69">
        <v>0</v>
      </c>
      <c r="AZ137" s="69">
        <f t="shared" si="98"/>
        <v>13751.702399999998</v>
      </c>
      <c r="BA137" s="69">
        <f t="shared" si="99"/>
        <v>17189.628000000001</v>
      </c>
      <c r="BB137" s="69">
        <f t="shared" si="100"/>
        <v>229195.04</v>
      </c>
      <c r="BC137" s="69">
        <f t="shared" ca="1" si="101"/>
        <v>6990012.3703999994</v>
      </c>
      <c r="BD137" s="61">
        <f ca="1">IF(AU137="C",VLOOKUP(BC137,TER!$J$4:$L$50,3,TRUE),IF(AU137="B",VLOOKUP(BC137,TER!$F$4:$H$50,3,TRUE),IF(AU137="A",VLOOKUP(BC137,TER!$B$4:$D$50,3,TRUE),"ERROR")))</f>
        <v>1.2500000000000001E-2</v>
      </c>
      <c r="BE137" s="69">
        <f t="shared" ca="1" si="102"/>
        <v>87375.154630000005</v>
      </c>
      <c r="BF137" s="113"/>
      <c r="BG137" s="113"/>
    </row>
    <row r="138" spans="1:59" ht="15.75" customHeight="1">
      <c r="A138" s="136"/>
      <c r="B138" s="253">
        <v>3</v>
      </c>
      <c r="C138" s="453" t="s">
        <v>52</v>
      </c>
      <c r="D138" s="411"/>
      <c r="E138" s="106"/>
      <c r="F138" s="102"/>
      <c r="G138" s="107"/>
      <c r="H138" s="107"/>
      <c r="I138" s="108">
        <f t="shared" ref="I138:K138" si="103">SUM(I135:I137)</f>
        <v>17189628</v>
      </c>
      <c r="J138" s="317">
        <f t="shared" si="103"/>
        <v>948.61500000000001</v>
      </c>
      <c r="K138" s="317">
        <f t="shared" si="103"/>
        <v>608.08500000000004</v>
      </c>
      <c r="L138" s="108" t="s">
        <v>1038</v>
      </c>
      <c r="M138" s="129"/>
      <c r="N138" s="109">
        <f t="shared" ref="N138:O138" ca="1" si="104">SUM(N135:N137)</f>
        <v>62</v>
      </c>
      <c r="O138" s="109">
        <f t="shared" ca="1" si="104"/>
        <v>62</v>
      </c>
      <c r="P138" s="108" t="s">
        <v>1038</v>
      </c>
      <c r="Q138" s="129"/>
      <c r="R138" s="318">
        <f t="shared" ref="R138:T138" si="105">SUM(R135:R137)</f>
        <v>20191184.700000003</v>
      </c>
      <c r="S138" s="318">
        <f t="shared" ca="1" si="105"/>
        <v>20191184.700000003</v>
      </c>
      <c r="T138" s="108">
        <f t="shared" ca="1" si="105"/>
        <v>0</v>
      </c>
      <c r="U138" s="129"/>
      <c r="V138" s="109">
        <f ca="1">SUM(V135:V137)</f>
        <v>0</v>
      </c>
      <c r="W138" s="108">
        <v>0</v>
      </c>
      <c r="X138" s="108">
        <v>0</v>
      </c>
      <c r="Y138" s="318">
        <f t="shared" ref="Y138:AC138" ca="1" si="106">SUM(Y135:Y137)</f>
        <v>20191184.700000003</v>
      </c>
      <c r="Z138" s="109">
        <f t="shared" ca="1" si="106"/>
        <v>0</v>
      </c>
      <c r="AA138" s="109">
        <f t="shared" ca="1" si="106"/>
        <v>0</v>
      </c>
      <c r="AB138" s="109">
        <f t="shared" ca="1" si="106"/>
        <v>0</v>
      </c>
      <c r="AC138" s="109">
        <f t="shared" ca="1" si="106"/>
        <v>0</v>
      </c>
      <c r="AD138" s="109"/>
      <c r="AE138" s="108">
        <v>0</v>
      </c>
      <c r="AF138" s="318" t="s">
        <v>1039</v>
      </c>
      <c r="AG138" s="318">
        <f>SUM(AG135:AG137)</f>
        <v>760500</v>
      </c>
      <c r="AH138" s="108">
        <v>0</v>
      </c>
      <c r="AI138" s="108">
        <v>0</v>
      </c>
      <c r="AJ138" s="108">
        <v>0</v>
      </c>
      <c r="AK138" s="108">
        <v>0</v>
      </c>
      <c r="AL138" s="108">
        <v>0</v>
      </c>
      <c r="AM138" s="318">
        <f t="shared" ref="AM138:AN138" si="107">SUM(AM135:AM137)</f>
        <v>2165904</v>
      </c>
      <c r="AN138" s="318">
        <f t="shared" ca="1" si="107"/>
        <v>18025280.700000003</v>
      </c>
      <c r="AO138" s="108"/>
      <c r="AP138" s="318">
        <f t="shared" ref="AP138:AR138" ca="1" si="108">SUM(AP135:AP137)</f>
        <v>17815580.328888003</v>
      </c>
      <c r="AQ138" s="318">
        <f t="shared" ca="1" si="108"/>
        <v>17815580.328888003</v>
      </c>
      <c r="AR138" s="318">
        <f t="shared" ca="1" si="108"/>
        <v>17815700</v>
      </c>
      <c r="AS138" s="110"/>
      <c r="AT138" s="110"/>
      <c r="AU138" s="111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36"/>
      <c r="BG138" s="113"/>
    </row>
    <row r="139" spans="1:59" ht="15.75" customHeight="1">
      <c r="A139" s="113"/>
      <c r="B139" s="105"/>
      <c r="C139" s="112"/>
      <c r="D139" s="113"/>
      <c r="E139" s="105"/>
      <c r="F139" s="95"/>
      <c r="G139" s="113"/>
      <c r="H139" s="113"/>
      <c r="I139" s="72"/>
      <c r="J139" s="115"/>
      <c r="K139" s="115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118" t="s">
        <v>1343</v>
      </c>
      <c r="W139" s="72"/>
      <c r="X139" s="72"/>
      <c r="Y139" s="72"/>
      <c r="Z139" s="103"/>
      <c r="AA139" s="103"/>
      <c r="AB139" s="103"/>
      <c r="AC139" s="103"/>
      <c r="AD139" s="103"/>
      <c r="AE139" s="72"/>
      <c r="AF139" s="114">
        <v>3</v>
      </c>
      <c r="AG139" s="108">
        <v>3</v>
      </c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103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113"/>
      <c r="BG139" s="113"/>
    </row>
    <row r="140" spans="1:59" ht="15.75" customHeight="1">
      <c r="A140" s="113"/>
      <c r="B140" s="105"/>
      <c r="C140" s="112"/>
      <c r="D140" s="113"/>
      <c r="E140" s="105"/>
      <c r="F140" s="95"/>
      <c r="G140" s="113"/>
      <c r="H140" s="113"/>
      <c r="I140" s="72"/>
      <c r="J140" s="115"/>
      <c r="K140" s="115"/>
      <c r="L140" s="115"/>
      <c r="M140" s="72"/>
      <c r="N140" s="72"/>
      <c r="O140" s="72"/>
      <c r="P140" s="72"/>
      <c r="Q140" s="72"/>
      <c r="R140" s="72"/>
      <c r="S140" s="72"/>
      <c r="T140" s="72"/>
      <c r="U140" s="72"/>
      <c r="V140" s="103"/>
      <c r="W140" s="72"/>
      <c r="X140" s="72"/>
      <c r="Y140" s="72"/>
      <c r="Z140" s="103"/>
      <c r="AA140" s="103"/>
      <c r="AB140" s="103"/>
      <c r="AC140" s="103"/>
      <c r="AD140" s="103"/>
      <c r="AE140" s="72"/>
      <c r="AF140" s="108"/>
      <c r="AG140" s="108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103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113"/>
      <c r="BG140" s="113"/>
    </row>
    <row r="141" spans="1:59" ht="15.75" customHeight="1" outlineLevel="1">
      <c r="A141" s="138"/>
      <c r="B141" s="440" t="s">
        <v>20</v>
      </c>
      <c r="C141" s="452" t="s">
        <v>21</v>
      </c>
      <c r="D141" s="440" t="s">
        <v>22</v>
      </c>
      <c r="E141" s="456" t="s">
        <v>23</v>
      </c>
      <c r="F141" s="411"/>
      <c r="G141" s="440" t="s">
        <v>24</v>
      </c>
      <c r="H141" s="441" t="s">
        <v>4</v>
      </c>
      <c r="I141" s="436" t="s">
        <v>259</v>
      </c>
      <c r="J141" s="410"/>
      <c r="K141" s="410"/>
      <c r="L141" s="410"/>
      <c r="M141" s="410"/>
      <c r="N141" s="410"/>
      <c r="O141" s="410"/>
      <c r="P141" s="410"/>
      <c r="Q141" s="410"/>
      <c r="R141" s="410"/>
      <c r="S141" s="410"/>
      <c r="T141" s="410"/>
      <c r="U141" s="410"/>
      <c r="V141" s="410"/>
      <c r="W141" s="410"/>
      <c r="X141" s="410"/>
      <c r="Y141" s="411"/>
      <c r="Z141" s="436" t="s">
        <v>260</v>
      </c>
      <c r="AA141" s="410"/>
      <c r="AB141" s="410"/>
      <c r="AC141" s="410"/>
      <c r="AD141" s="410"/>
      <c r="AE141" s="410"/>
      <c r="AF141" s="410"/>
      <c r="AG141" s="410"/>
      <c r="AH141" s="410"/>
      <c r="AI141" s="410"/>
      <c r="AJ141" s="410"/>
      <c r="AK141" s="410"/>
      <c r="AL141" s="410"/>
      <c r="AM141" s="411"/>
      <c r="AN141" s="433" t="s">
        <v>261</v>
      </c>
      <c r="AO141" s="433" t="s">
        <v>262</v>
      </c>
      <c r="AP141" s="433" t="s">
        <v>1022</v>
      </c>
      <c r="AQ141" s="433" t="s">
        <v>1023</v>
      </c>
      <c r="AR141" s="434" t="s">
        <v>1024</v>
      </c>
      <c r="AS141" s="111"/>
      <c r="AT141" s="435" t="s">
        <v>262</v>
      </c>
      <c r="AU141" s="410"/>
      <c r="AV141" s="410"/>
      <c r="AW141" s="410"/>
      <c r="AX141" s="410"/>
      <c r="AY141" s="410"/>
      <c r="AZ141" s="410"/>
      <c r="BA141" s="410"/>
      <c r="BB141" s="410"/>
      <c r="BC141" s="410"/>
      <c r="BD141" s="410"/>
      <c r="BE141" s="411"/>
      <c r="BF141" s="138"/>
      <c r="BG141" s="113"/>
    </row>
    <row r="142" spans="1:59" ht="15.75" customHeight="1">
      <c r="A142" s="138"/>
      <c r="B142" s="413"/>
      <c r="C142" s="413"/>
      <c r="D142" s="413"/>
      <c r="E142" s="448" t="s">
        <v>26</v>
      </c>
      <c r="F142" s="457" t="s">
        <v>27</v>
      </c>
      <c r="G142" s="413"/>
      <c r="H142" s="413"/>
      <c r="I142" s="431" t="s">
        <v>1025</v>
      </c>
      <c r="J142" s="437" t="s">
        <v>266</v>
      </c>
      <c r="K142" s="411"/>
      <c r="L142" s="436" t="s">
        <v>267</v>
      </c>
      <c r="M142" s="410"/>
      <c r="N142" s="410"/>
      <c r="O142" s="410"/>
      <c r="P142" s="411"/>
      <c r="Q142" s="122"/>
      <c r="R142" s="438" t="s">
        <v>268</v>
      </c>
      <c r="S142" s="410"/>
      <c r="T142" s="411"/>
      <c r="U142" s="436" t="s">
        <v>269</v>
      </c>
      <c r="V142" s="410"/>
      <c r="W142" s="411"/>
      <c r="X142" s="439" t="s">
        <v>270</v>
      </c>
      <c r="Y142" s="431" t="s">
        <v>271</v>
      </c>
      <c r="Z142" s="436" t="s">
        <v>272</v>
      </c>
      <c r="AA142" s="410"/>
      <c r="AB142" s="410"/>
      <c r="AC142" s="410"/>
      <c r="AD142" s="410"/>
      <c r="AE142" s="411"/>
      <c r="AF142" s="437" t="s">
        <v>266</v>
      </c>
      <c r="AG142" s="411"/>
      <c r="AH142" s="439" t="s">
        <v>273</v>
      </c>
      <c r="AI142" s="438" t="s">
        <v>274</v>
      </c>
      <c r="AJ142" s="410"/>
      <c r="AK142" s="411"/>
      <c r="AL142" s="439" t="s">
        <v>275</v>
      </c>
      <c r="AM142" s="431" t="s">
        <v>271</v>
      </c>
      <c r="AN142" s="413"/>
      <c r="AO142" s="413"/>
      <c r="AP142" s="413"/>
      <c r="AQ142" s="413"/>
      <c r="AR142" s="413"/>
      <c r="AS142" s="111"/>
      <c r="AT142" s="431" t="s">
        <v>4</v>
      </c>
      <c r="AU142" s="431" t="s">
        <v>276</v>
      </c>
      <c r="AV142" s="431" t="s">
        <v>277</v>
      </c>
      <c r="AW142" s="431" t="s">
        <v>278</v>
      </c>
      <c r="AX142" s="431" t="s">
        <v>269</v>
      </c>
      <c r="AY142" s="431" t="s">
        <v>270</v>
      </c>
      <c r="AZ142" s="436" t="s">
        <v>266</v>
      </c>
      <c r="BA142" s="410"/>
      <c r="BB142" s="411"/>
      <c r="BC142" s="431" t="s">
        <v>261</v>
      </c>
      <c r="BD142" s="431" t="s">
        <v>279</v>
      </c>
      <c r="BE142" s="431" t="s">
        <v>262</v>
      </c>
      <c r="BF142" s="138"/>
      <c r="BG142" s="113"/>
    </row>
    <row r="143" spans="1:59" ht="15.75" customHeight="1">
      <c r="A143" s="138"/>
      <c r="B143" s="414"/>
      <c r="C143" s="414"/>
      <c r="D143" s="414"/>
      <c r="E143" s="414"/>
      <c r="F143" s="414"/>
      <c r="G143" s="414"/>
      <c r="H143" s="414"/>
      <c r="I143" s="414"/>
      <c r="J143" s="123" t="s">
        <v>280</v>
      </c>
      <c r="K143" s="123" t="s">
        <v>281</v>
      </c>
      <c r="L143" s="109" t="s">
        <v>282</v>
      </c>
      <c r="M143" s="109" t="s">
        <v>283</v>
      </c>
      <c r="N143" s="123" t="s">
        <v>284</v>
      </c>
      <c r="O143" s="123" t="s">
        <v>285</v>
      </c>
      <c r="P143" s="109" t="s">
        <v>286</v>
      </c>
      <c r="Q143" s="122"/>
      <c r="R143" s="122" t="s">
        <v>282</v>
      </c>
      <c r="S143" s="122" t="s">
        <v>287</v>
      </c>
      <c r="T143" s="122" t="s">
        <v>288</v>
      </c>
      <c r="U143" s="109" t="s">
        <v>289</v>
      </c>
      <c r="V143" s="123" t="s">
        <v>290</v>
      </c>
      <c r="W143" s="109" t="s">
        <v>286</v>
      </c>
      <c r="X143" s="414"/>
      <c r="Y143" s="414"/>
      <c r="Z143" s="123" t="s">
        <v>291</v>
      </c>
      <c r="AA143" s="123" t="s">
        <v>292</v>
      </c>
      <c r="AB143" s="123" t="s">
        <v>293</v>
      </c>
      <c r="AC143" s="123" t="s">
        <v>280</v>
      </c>
      <c r="AD143" s="123"/>
      <c r="AE143" s="109" t="s">
        <v>286</v>
      </c>
      <c r="AF143" s="123" t="s">
        <v>280</v>
      </c>
      <c r="AG143" s="123" t="s">
        <v>281</v>
      </c>
      <c r="AH143" s="414"/>
      <c r="AI143" s="122" t="s">
        <v>295</v>
      </c>
      <c r="AJ143" s="122" t="s">
        <v>296</v>
      </c>
      <c r="AK143" s="122" t="s">
        <v>297</v>
      </c>
      <c r="AL143" s="414"/>
      <c r="AM143" s="414"/>
      <c r="AN143" s="414"/>
      <c r="AO143" s="414"/>
      <c r="AP143" s="414"/>
      <c r="AQ143" s="414"/>
      <c r="AR143" s="414"/>
      <c r="AS143" s="111"/>
      <c r="AT143" s="414"/>
      <c r="AU143" s="414"/>
      <c r="AV143" s="414"/>
      <c r="AW143" s="414"/>
      <c r="AX143" s="414"/>
      <c r="AY143" s="414"/>
      <c r="AZ143" s="109" t="s">
        <v>298</v>
      </c>
      <c r="BA143" s="109" t="s">
        <v>299</v>
      </c>
      <c r="BB143" s="109" t="s">
        <v>281</v>
      </c>
      <c r="BC143" s="414"/>
      <c r="BD143" s="414"/>
      <c r="BE143" s="414"/>
      <c r="BF143" s="138"/>
      <c r="BG143" s="113"/>
    </row>
    <row r="144" spans="1:59" ht="15.75" customHeight="1">
      <c r="A144" s="113"/>
      <c r="B144" s="224">
        <v>1</v>
      </c>
      <c r="C144" s="131" t="s">
        <v>443</v>
      </c>
      <c r="D144" s="66" t="s">
        <v>444</v>
      </c>
      <c r="E144" s="67" t="s">
        <v>57</v>
      </c>
      <c r="F144" s="68" t="s">
        <v>1236</v>
      </c>
      <c r="G144" s="66" t="s">
        <v>31</v>
      </c>
      <c r="H144" s="66" t="s">
        <v>32</v>
      </c>
      <c r="I144" s="319">
        <f>IF(H144="FULL - EXISTING",5729876,5729876/O144*N144)</f>
        <v>5729876</v>
      </c>
      <c r="J144" s="315">
        <v>316.20499999999998</v>
      </c>
      <c r="K144" s="315">
        <v>202.69499999999999</v>
      </c>
      <c r="L144" s="312">
        <v>200000</v>
      </c>
      <c r="M144" s="368">
        <f>L144/O144</f>
        <v>10000</v>
      </c>
      <c r="N144" s="125">
        <v>20</v>
      </c>
      <c r="O144" s="125">
        <v>20</v>
      </c>
      <c r="P144" s="314">
        <f>M144*N144</f>
        <v>200000</v>
      </c>
      <c r="Q144" s="71"/>
      <c r="R144" s="314">
        <f>I144+J144+K144+L144</f>
        <v>5930394.9000000004</v>
      </c>
      <c r="S144" s="314">
        <f>I144+J144+K144+P144</f>
        <v>5930394.9000000004</v>
      </c>
      <c r="T144" s="312">
        <f t="shared" ref="T144:T146" si="109">IF(R144-S144&lt;0,R144-S144,0)</f>
        <v>0</v>
      </c>
      <c r="U144" s="312">
        <v>250000</v>
      </c>
      <c r="V144" s="61">
        <f ca="1">IFERROR(__xludf.DUMMYFUNCTION("VLOOKUP(C144,IMPORTRANGE(""https://https://https://docs.google.com/spreadsheets/d/1Yr1FAmXgLLqQ-3kIS51oZtMz3yMaX2Ds6wSFcRcBQls/edit?gid=619701614#gid=619701614"",""SCHEDULE_BSJ_DES25""),36,0)"),0)</f>
        <v>0</v>
      </c>
      <c r="W144" s="69">
        <f ca="1">U144*V144</f>
        <v>0</v>
      </c>
      <c r="X144" s="70">
        <v>0</v>
      </c>
      <c r="Y144" s="314">
        <f ca="1">I144+J144+K144+P144+W144+X144</f>
        <v>5930394.9000000004</v>
      </c>
      <c r="Z144" s="125">
        <f ca="1">IFERROR(__xludf.DUMMYFUNCTION("VLOOKUP(C144,IMPORTRANGE(""https://https://https://docs.google.com/spreadsheets/d/1Yr1FAmXgLLqQ-3kIS51oZtMz3yMaX2Ds6wSFcRcBQls/edit?gid=619701614#gid=619701614"",""SCHEDULE_BSJ_DES25""),38,0)+VLOOKUP(C144,IMPORTRANGE(""https://https://https://docs.google."&amp;"com/spreadsheets/d/1Yr1FAmXgLLqQ-3kIS51oZtMz3yMaX2Ds6wSFcRcBQls/edit?gid=619701614#gid=619701614"",""SCHEDULE_BSJ_DES25""),39,0)"),0)</f>
        <v>0</v>
      </c>
      <c r="AA144" s="125">
        <f ca="1">IFERROR(__xludf.DUMMYFUNCTION("VLOOKUP(C144,IMPORTRANGE(""https://https://https://docs.google.com/spreadsheets/d/1Yr1FAmXgLLqQ-3kIS51oZtMz3yMaX2Ds6wSFcRcBQls/edit?gid=619701614#gid=619701614"",""SCHEDULE_BSJ_DES25""),40,0)"),0)</f>
        <v>0</v>
      </c>
      <c r="AB144" s="125">
        <f ca="1">IFERROR(__xludf.DUMMYFUNCTION("VLOOKUP(C144,IMPORTRANGE(""https://https://https://docs.google.com/spreadsheets/d/1Yr1FAmXgLLqQ-3kIS51oZtMz3yMaX2Ds6wSFcRcBQls/edit?gid=619701614#gid=619701614"",""SCHEDULE_BSJ_DES25""),41,0)"),0)</f>
        <v>0</v>
      </c>
      <c r="AC144" s="125">
        <f ca="1">IFERROR(__xludf.DUMMYFUNCTION("VLOOKUP(C144,IMPORTRANGE(""https://https://https://docs.google.com/spreadsheets/d/1Yr1FAmXgLLqQ-3kIS51oZtMz3yMaX2Ds6wSFcRcBQls/edit?gid=619701614#gid=619701614"",""SCHEDULE_BSJ_DES25""),42,0)"),0)</f>
        <v>0</v>
      </c>
      <c r="AD144" s="61"/>
      <c r="AE144" s="69">
        <f ca="1">U144*(Z144+AA144+AD144+(AC144*2))</f>
        <v>0</v>
      </c>
      <c r="AF144" s="313">
        <v>468468</v>
      </c>
      <c r="AG144" s="313">
        <v>253500</v>
      </c>
      <c r="AH144" s="69">
        <v>0</v>
      </c>
      <c r="AI144" s="71"/>
      <c r="AJ144" s="69">
        <v>0</v>
      </c>
      <c r="AK144" s="69">
        <f>AI144-AJ144</f>
        <v>0</v>
      </c>
      <c r="AL144" s="70">
        <v>0</v>
      </c>
      <c r="AM144" s="314">
        <f ca="1">AE144+AF144+AG144+AH144+AJ144+AL144</f>
        <v>721968</v>
      </c>
      <c r="AN144" s="314">
        <f ca="1">Y144-AM144</f>
        <v>5208426.9000000004</v>
      </c>
      <c r="AO144" s="69">
        <f ca="1">BE144</f>
        <v>46425.092777999991</v>
      </c>
      <c r="AP144" s="70">
        <f ca="1">AN144-AO144</f>
        <v>5162001.8072220003</v>
      </c>
      <c r="AQ144" s="69">
        <f ca="1">AP144-X144</f>
        <v>5162001.8072220003</v>
      </c>
      <c r="AR144" s="314">
        <f ca="1">IF(AQ144&gt;0,ROUND(AQ144,-2),0)</f>
        <v>5162000</v>
      </c>
      <c r="AS144" s="72"/>
      <c r="AT144" s="73" t="s">
        <v>9</v>
      </c>
      <c r="AU144" s="61" t="s">
        <v>10</v>
      </c>
      <c r="AV144" s="69">
        <f>I144</f>
        <v>5729876</v>
      </c>
      <c r="AW144" s="69">
        <f>P144</f>
        <v>200000</v>
      </c>
      <c r="AX144" s="69">
        <f ca="1">W144</f>
        <v>0</v>
      </c>
      <c r="AY144" s="70">
        <v>0</v>
      </c>
      <c r="AZ144" s="69">
        <f>IF(J144=0,0,AV144*0.24%)</f>
        <v>13751.702399999998</v>
      </c>
      <c r="BA144" s="69">
        <f>IF(J144=0,0,AV144*0.3%)</f>
        <v>17189.628000000001</v>
      </c>
      <c r="BB144" s="69">
        <f>IF(K144=0,0,AV144*4%)</f>
        <v>229195.04</v>
      </c>
      <c r="BC144" s="69">
        <f ca="1">SUM(AV144:BB144)</f>
        <v>6190012.3703999994</v>
      </c>
      <c r="BD144" s="125">
        <f ca="1">IF(AU144="C",VLOOKUP(BC144,TER!$J$4:$L$50,3,TRUE),IF(AU144="B",VLOOKUP(BC144,TER!$F$4:$H$50,3,TRUE),IF(AU144="A",VLOOKUP(BC144,TER!$B$4:$D$50,3,TRUE),"ERROR")))</f>
        <v>7.4999999999999997E-3</v>
      </c>
      <c r="BE144" s="69">
        <f ca="1">BC144*BD144</f>
        <v>46425.092777999991</v>
      </c>
      <c r="BF144" s="113"/>
      <c r="BG144" s="113"/>
    </row>
    <row r="145" spans="1:59" ht="15.75" customHeight="1">
      <c r="A145" s="113"/>
      <c r="B145" s="224">
        <v>2</v>
      </c>
      <c r="C145" s="131"/>
      <c r="D145" s="66"/>
      <c r="E145" s="67"/>
      <c r="F145" s="68"/>
      <c r="G145" s="134"/>
      <c r="H145" s="66"/>
      <c r="I145" s="315">
        <v>0</v>
      </c>
      <c r="J145" s="315">
        <v>0</v>
      </c>
      <c r="K145" s="315">
        <v>0</v>
      </c>
      <c r="L145" s="320"/>
      <c r="M145" s="314">
        <v>0</v>
      </c>
      <c r="N145" s="61"/>
      <c r="O145" s="61"/>
      <c r="P145" s="314">
        <v>0</v>
      </c>
      <c r="Q145" s="71"/>
      <c r="R145" s="314">
        <v>0</v>
      </c>
      <c r="S145" s="314">
        <v>0</v>
      </c>
      <c r="T145" s="312">
        <f t="shared" si="109"/>
        <v>0</v>
      </c>
      <c r="U145" s="312">
        <v>250000</v>
      </c>
      <c r="V145" s="61"/>
      <c r="W145" s="69">
        <v>0</v>
      </c>
      <c r="X145" s="69">
        <v>0</v>
      </c>
      <c r="Y145" s="314">
        <v>0</v>
      </c>
      <c r="Z145" s="61"/>
      <c r="AA145" s="61"/>
      <c r="AB145" s="61"/>
      <c r="AC145" s="61"/>
      <c r="AD145" s="61"/>
      <c r="AE145" s="69">
        <v>0</v>
      </c>
      <c r="AF145" s="314"/>
      <c r="AG145" s="314"/>
      <c r="AH145" s="69"/>
      <c r="AI145" s="71"/>
      <c r="AJ145" s="69"/>
      <c r="AK145" s="69"/>
      <c r="AL145" s="69"/>
      <c r="AM145" s="315"/>
      <c r="AN145" s="315"/>
      <c r="AO145" s="69"/>
      <c r="AP145" s="69"/>
      <c r="AQ145" s="69"/>
      <c r="AR145" s="69"/>
      <c r="AS145" s="72"/>
      <c r="AT145" s="73"/>
      <c r="AU145" s="61"/>
      <c r="AV145" s="71"/>
      <c r="AW145" s="71"/>
      <c r="AX145" s="71"/>
      <c r="AY145" s="71"/>
      <c r="AZ145" s="71"/>
      <c r="BA145" s="71"/>
      <c r="BB145" s="71"/>
      <c r="BC145" s="71"/>
      <c r="BD145" s="61"/>
      <c r="BE145" s="71"/>
      <c r="BF145" s="72"/>
      <c r="BG145" s="72"/>
    </row>
    <row r="146" spans="1:59" ht="15.75" customHeight="1">
      <c r="A146" s="113"/>
      <c r="B146" s="224">
        <v>3</v>
      </c>
      <c r="C146" s="131"/>
      <c r="D146" s="66"/>
      <c r="E146" s="67"/>
      <c r="F146" s="68"/>
      <c r="G146" s="134"/>
      <c r="H146" s="66"/>
      <c r="I146" s="315">
        <v>0</v>
      </c>
      <c r="J146" s="315">
        <v>0</v>
      </c>
      <c r="K146" s="315">
        <v>0</v>
      </c>
      <c r="L146" s="320"/>
      <c r="M146" s="314">
        <v>0</v>
      </c>
      <c r="N146" s="61"/>
      <c r="O146" s="61"/>
      <c r="P146" s="314">
        <v>0</v>
      </c>
      <c r="Q146" s="71"/>
      <c r="R146" s="314">
        <v>0</v>
      </c>
      <c r="S146" s="314">
        <v>0</v>
      </c>
      <c r="T146" s="312">
        <f t="shared" si="109"/>
        <v>0</v>
      </c>
      <c r="U146" s="312">
        <v>250000</v>
      </c>
      <c r="V146" s="61"/>
      <c r="W146" s="69">
        <v>0</v>
      </c>
      <c r="X146" s="69">
        <v>0</v>
      </c>
      <c r="Y146" s="314">
        <v>0</v>
      </c>
      <c r="Z146" s="61"/>
      <c r="AA146" s="61"/>
      <c r="AB146" s="61"/>
      <c r="AC146" s="61"/>
      <c r="AD146" s="61"/>
      <c r="AE146" s="69">
        <v>0</v>
      </c>
      <c r="AF146" s="314"/>
      <c r="AG146" s="314"/>
      <c r="AH146" s="69"/>
      <c r="AI146" s="71"/>
      <c r="AJ146" s="69"/>
      <c r="AK146" s="69"/>
      <c r="AL146" s="69"/>
      <c r="AM146" s="315"/>
      <c r="AN146" s="315"/>
      <c r="AO146" s="69"/>
      <c r="AP146" s="69"/>
      <c r="AQ146" s="69"/>
      <c r="AR146" s="69"/>
      <c r="AS146" s="72"/>
      <c r="AT146" s="73"/>
      <c r="AU146" s="61"/>
      <c r="AV146" s="71"/>
      <c r="AW146" s="71"/>
      <c r="AX146" s="71"/>
      <c r="AY146" s="71"/>
      <c r="AZ146" s="71"/>
      <c r="BA146" s="71"/>
      <c r="BB146" s="71"/>
      <c r="BC146" s="71"/>
      <c r="BD146" s="61"/>
      <c r="BE146" s="71"/>
      <c r="BF146" s="72"/>
      <c r="BG146" s="72"/>
    </row>
    <row r="147" spans="1:59" ht="15.75" customHeight="1">
      <c r="A147" s="136"/>
      <c r="B147" s="256">
        <v>1</v>
      </c>
      <c r="C147" s="454" t="s">
        <v>53</v>
      </c>
      <c r="D147" s="411"/>
      <c r="E147" s="106"/>
      <c r="F147" s="102"/>
      <c r="G147" s="135"/>
      <c r="H147" s="107"/>
      <c r="I147" s="317">
        <f t="shared" ref="I147:K147" si="110">SUM(I144:I146)</f>
        <v>5729876</v>
      </c>
      <c r="J147" s="321">
        <f t="shared" si="110"/>
        <v>316.20499999999998</v>
      </c>
      <c r="K147" s="321">
        <f t="shared" si="110"/>
        <v>202.69499999999999</v>
      </c>
      <c r="L147" s="317">
        <v>200</v>
      </c>
      <c r="M147" s="322"/>
      <c r="N147" s="109">
        <f t="shared" ref="N147:O147" si="111">SUM(N144:N146)</f>
        <v>20</v>
      </c>
      <c r="O147" s="109">
        <f t="shared" si="111"/>
        <v>20</v>
      </c>
      <c r="P147" s="317">
        <v>200</v>
      </c>
      <c r="Q147" s="129"/>
      <c r="R147" s="318" t="s">
        <v>1040</v>
      </c>
      <c r="S147" s="318" t="s">
        <v>1040</v>
      </c>
      <c r="T147" s="318">
        <v>0</v>
      </c>
      <c r="U147" s="323"/>
      <c r="V147" s="109">
        <f ca="1">SUM(V144:V146)</f>
        <v>0</v>
      </c>
      <c r="W147" s="108">
        <v>0</v>
      </c>
      <c r="X147" s="108">
        <v>0</v>
      </c>
      <c r="Y147" s="318" t="s">
        <v>1040</v>
      </c>
      <c r="Z147" s="109">
        <v>0</v>
      </c>
      <c r="AA147" s="109">
        <v>0</v>
      </c>
      <c r="AB147" s="109">
        <v>0</v>
      </c>
      <c r="AC147" s="109">
        <v>0</v>
      </c>
      <c r="AD147" s="109"/>
      <c r="AE147" s="108">
        <v>0</v>
      </c>
      <c r="AF147" s="318">
        <f t="shared" ref="AF147:AG147" si="112">SUM(AF144:AF146)</f>
        <v>468468</v>
      </c>
      <c r="AG147" s="318">
        <f t="shared" si="112"/>
        <v>253500</v>
      </c>
      <c r="AH147" s="108">
        <v>0</v>
      </c>
      <c r="AI147" s="108">
        <v>0</v>
      </c>
      <c r="AJ147" s="108">
        <v>0</v>
      </c>
      <c r="AK147" s="108">
        <v>0</v>
      </c>
      <c r="AL147" s="108">
        <v>0</v>
      </c>
      <c r="AM147" s="317">
        <v>721.96799999999996</v>
      </c>
      <c r="AN147" s="317" t="s">
        <v>1041</v>
      </c>
      <c r="AO147" s="108">
        <v>13.75</v>
      </c>
      <c r="AP147" s="108" t="s">
        <v>1042</v>
      </c>
      <c r="AQ147" s="108" t="s">
        <v>1042</v>
      </c>
      <c r="AR147" s="108" t="s">
        <v>1043</v>
      </c>
      <c r="AS147" s="110"/>
      <c r="AT147" s="136"/>
      <c r="AU147" s="111"/>
      <c r="AV147" s="110"/>
      <c r="AW147" s="110"/>
      <c r="AX147" s="110"/>
      <c r="AY147" s="110"/>
      <c r="AZ147" s="110"/>
      <c r="BA147" s="110"/>
      <c r="BB147" s="110"/>
      <c r="BC147" s="110"/>
      <c r="BD147" s="110"/>
      <c r="BE147" s="110"/>
      <c r="BF147" s="110"/>
      <c r="BG147" s="72"/>
    </row>
    <row r="148" spans="1:59" ht="15.75" customHeight="1">
      <c r="A148" s="136"/>
      <c r="B148" s="138"/>
      <c r="C148" s="137"/>
      <c r="D148" s="138"/>
      <c r="E148" s="138"/>
      <c r="F148" s="137"/>
      <c r="G148" s="136"/>
      <c r="H148" s="136"/>
      <c r="I148" s="110"/>
      <c r="J148" s="115"/>
      <c r="K148" s="115"/>
      <c r="L148" s="110"/>
      <c r="M148" s="110"/>
      <c r="N148" s="111"/>
      <c r="O148" s="111"/>
      <c r="P148" s="110"/>
      <c r="Q148" s="110"/>
      <c r="R148" s="110"/>
      <c r="S148" s="110"/>
      <c r="T148" s="110"/>
      <c r="U148" s="110"/>
      <c r="V148" s="118" t="s">
        <v>1343</v>
      </c>
      <c r="W148" s="110"/>
      <c r="X148" s="110"/>
      <c r="Y148" s="110"/>
      <c r="Z148" s="111"/>
      <c r="AA148" s="111"/>
      <c r="AB148" s="138"/>
      <c r="AC148" s="138"/>
      <c r="AD148" s="138"/>
      <c r="AE148" s="136"/>
      <c r="AF148" s="139">
        <v>1</v>
      </c>
      <c r="AG148" s="140">
        <v>1</v>
      </c>
      <c r="AH148" s="136"/>
      <c r="AI148" s="136"/>
      <c r="AJ148" s="136"/>
      <c r="AK148" s="136"/>
      <c r="AL148" s="136"/>
      <c r="AM148" s="136"/>
      <c r="AN148" s="110"/>
      <c r="AO148" s="110"/>
      <c r="AP148" s="110"/>
      <c r="AQ148" s="110"/>
      <c r="AR148" s="110"/>
      <c r="AS148" s="136"/>
      <c r="AT148" s="110"/>
      <c r="AU148" s="138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13"/>
    </row>
    <row r="149" spans="1:59" ht="15.75" customHeight="1">
      <c r="A149" s="136"/>
      <c r="B149" s="138"/>
      <c r="C149" s="137"/>
      <c r="D149" s="138"/>
      <c r="E149" s="138"/>
      <c r="F149" s="137"/>
      <c r="G149" s="136"/>
      <c r="H149" s="136"/>
      <c r="I149" s="110"/>
      <c r="J149" s="110"/>
      <c r="K149" s="110"/>
      <c r="L149" s="110"/>
      <c r="M149" s="110"/>
      <c r="N149" s="111"/>
      <c r="O149" s="111"/>
      <c r="P149" s="110"/>
      <c r="Q149" s="110"/>
      <c r="R149" s="110"/>
      <c r="S149" s="110"/>
      <c r="T149" s="110"/>
      <c r="U149" s="110"/>
      <c r="V149" s="111"/>
      <c r="W149" s="110"/>
      <c r="X149" s="110"/>
      <c r="Y149" s="110"/>
      <c r="Z149" s="111"/>
      <c r="AA149" s="111"/>
      <c r="AB149" s="111"/>
      <c r="AC149" s="111"/>
      <c r="AD149" s="111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36"/>
      <c r="AT149" s="110"/>
      <c r="AU149" s="111"/>
      <c r="AV149" s="110"/>
      <c r="AW149" s="110"/>
      <c r="AX149" s="110"/>
      <c r="AY149" s="110"/>
      <c r="AZ149" s="110"/>
      <c r="BA149" s="136"/>
      <c r="BB149" s="136"/>
      <c r="BC149" s="110"/>
      <c r="BD149" s="110"/>
      <c r="BE149" s="110"/>
      <c r="BF149" s="136"/>
      <c r="BG149" s="113"/>
    </row>
    <row r="150" spans="1:59" ht="15.75" customHeight="1">
      <c r="A150" s="113"/>
      <c r="B150" s="142"/>
      <c r="C150" s="116"/>
      <c r="D150" s="117"/>
      <c r="E150" s="117"/>
      <c r="F150" s="116"/>
      <c r="G150" s="117"/>
      <c r="H150" s="117"/>
      <c r="I150" s="141"/>
      <c r="J150" s="141"/>
      <c r="K150" s="141"/>
      <c r="L150" s="141"/>
      <c r="M150" s="141"/>
      <c r="N150" s="141"/>
      <c r="O150" s="118"/>
      <c r="P150" s="118"/>
      <c r="Q150" s="118"/>
      <c r="R150" s="141"/>
      <c r="S150" s="141"/>
      <c r="T150" s="141"/>
      <c r="U150" s="141"/>
      <c r="V150" s="141"/>
      <c r="W150" s="141"/>
      <c r="X150" s="118"/>
      <c r="Y150" s="141"/>
      <c r="Z150" s="141"/>
      <c r="AA150" s="141"/>
      <c r="AB150" s="118"/>
      <c r="AC150" s="118"/>
      <c r="AD150" s="118"/>
      <c r="AE150" s="118"/>
      <c r="AF150" s="118"/>
      <c r="AG150" s="141"/>
      <c r="AH150" s="141"/>
      <c r="AI150" s="141"/>
      <c r="AJ150" s="141"/>
      <c r="AK150" s="141"/>
      <c r="AL150" s="142"/>
      <c r="AM150" s="142"/>
      <c r="AN150" s="141"/>
      <c r="AO150" s="141"/>
      <c r="AP150" s="141"/>
      <c r="AQ150" s="141"/>
      <c r="AR150" s="141"/>
      <c r="AS150" s="142"/>
      <c r="AT150" s="142"/>
      <c r="AU150" s="142"/>
      <c r="AV150" s="142"/>
      <c r="AW150" s="117"/>
      <c r="AX150" s="142"/>
      <c r="AY150" s="142"/>
      <c r="AZ150" s="141"/>
      <c r="BA150" s="141"/>
      <c r="BB150" s="141"/>
      <c r="BC150" s="142"/>
      <c r="BD150" s="142"/>
      <c r="BE150" s="142"/>
      <c r="BF150" s="142"/>
      <c r="BG150" s="142"/>
    </row>
    <row r="151" spans="1:59" ht="13.5" hidden="1" customHeight="1">
      <c r="A151" s="113"/>
      <c r="B151" s="142"/>
      <c r="C151" s="455" t="s">
        <v>54</v>
      </c>
      <c r="D151" s="411"/>
      <c r="E151" s="117"/>
      <c r="F151" s="116"/>
      <c r="G151" s="117"/>
      <c r="H151" s="117"/>
      <c r="I151" s="141"/>
      <c r="J151" s="141"/>
      <c r="K151" s="141"/>
      <c r="L151" s="141"/>
      <c r="M151" s="141"/>
      <c r="N151" s="141"/>
      <c r="O151" s="118"/>
      <c r="P151" s="118"/>
      <c r="Q151" s="117"/>
      <c r="R151" s="141"/>
      <c r="S151" s="141"/>
      <c r="T151" s="141"/>
      <c r="U151" s="141"/>
      <c r="V151" s="141"/>
      <c r="W151" s="141"/>
      <c r="X151" s="118"/>
      <c r="Y151" s="141"/>
      <c r="Z151" s="141"/>
      <c r="AA151" s="141"/>
      <c r="AB151" s="118"/>
      <c r="AC151" s="118"/>
      <c r="AD151" s="118"/>
      <c r="AE151" s="118"/>
      <c r="AF151" s="118"/>
      <c r="AG151" s="141"/>
      <c r="AH151" s="141"/>
      <c r="AI151" s="141"/>
      <c r="AJ151" s="141"/>
      <c r="AK151" s="143"/>
      <c r="AL151" s="141"/>
      <c r="AM151" s="141"/>
      <c r="AN151" s="141"/>
      <c r="AO151" s="141"/>
      <c r="AP151" s="141"/>
      <c r="AQ151" s="141"/>
      <c r="AR151" s="141"/>
      <c r="AS151" s="142"/>
      <c r="AT151" s="141"/>
      <c r="AU151" s="141"/>
      <c r="AV151" s="141"/>
      <c r="AW151" s="118"/>
      <c r="AX151" s="141"/>
      <c r="AY151" s="141"/>
      <c r="AZ151" s="141"/>
      <c r="BA151" s="141"/>
      <c r="BB151" s="141"/>
      <c r="BC151" s="141"/>
      <c r="BD151" s="144"/>
      <c r="BE151" s="141"/>
      <c r="BF151" s="142"/>
      <c r="BG151" s="142"/>
    </row>
    <row r="152" spans="1:59" ht="13.5" hidden="1" customHeight="1">
      <c r="A152" s="113"/>
      <c r="B152" s="147"/>
      <c r="C152" s="145"/>
      <c r="D152" s="146"/>
      <c r="E152" s="147"/>
      <c r="F152" s="145"/>
      <c r="G152" s="146"/>
      <c r="H152" s="146"/>
      <c r="I152" s="148"/>
      <c r="J152" s="90">
        <v>220.709</v>
      </c>
      <c r="K152" s="149">
        <v>141.47999999999999</v>
      </c>
      <c r="L152" s="148"/>
      <c r="M152" s="148"/>
      <c r="N152" s="148"/>
      <c r="O152" s="130"/>
      <c r="P152" s="130"/>
      <c r="Q152" s="147"/>
      <c r="R152" s="148"/>
      <c r="S152" s="148"/>
      <c r="T152" s="148"/>
      <c r="U152" s="148"/>
      <c r="V152" s="148"/>
      <c r="W152" s="130"/>
      <c r="X152" s="148"/>
      <c r="Y152" s="148"/>
      <c r="Z152" s="148"/>
      <c r="AA152" s="130">
        <v>77</v>
      </c>
      <c r="AB152" s="130"/>
      <c r="AC152" s="130"/>
      <c r="AD152" s="130"/>
      <c r="AE152" s="130"/>
      <c r="AF152" s="148"/>
      <c r="AG152" s="90">
        <v>326.81900000000002</v>
      </c>
      <c r="AH152" s="149">
        <v>176.85</v>
      </c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8"/>
      <c r="AS152" s="147"/>
      <c r="AT152" s="72"/>
      <c r="AU152" s="148"/>
      <c r="AV152" s="148"/>
      <c r="AW152" s="130"/>
      <c r="AX152" s="148"/>
      <c r="AY152" s="148"/>
      <c r="AZ152" s="148"/>
      <c r="BA152" s="148"/>
      <c r="BB152" s="148"/>
      <c r="BC152" s="148"/>
      <c r="BD152" s="150"/>
      <c r="BE152" s="148"/>
      <c r="BF152" s="147"/>
      <c r="BG152" s="147"/>
    </row>
    <row r="153" spans="1:59" ht="13.5" hidden="1" customHeight="1">
      <c r="A153" s="113"/>
      <c r="B153" s="440" t="s">
        <v>20</v>
      </c>
      <c r="C153" s="452" t="s">
        <v>21</v>
      </c>
      <c r="D153" s="151" t="s">
        <v>22</v>
      </c>
      <c r="E153" s="121" t="s">
        <v>23</v>
      </c>
      <c r="F153" s="152"/>
      <c r="G153" s="151" t="s">
        <v>24</v>
      </c>
      <c r="H153" s="441" t="s">
        <v>4</v>
      </c>
      <c r="I153" s="445" t="s">
        <v>259</v>
      </c>
      <c r="J153" s="410"/>
      <c r="K153" s="410"/>
      <c r="L153" s="410"/>
      <c r="M153" s="410"/>
      <c r="N153" s="410"/>
      <c r="O153" s="410"/>
      <c r="P153" s="410"/>
      <c r="Q153" s="410"/>
      <c r="R153" s="410"/>
      <c r="S153" s="410"/>
      <c r="T153" s="410"/>
      <c r="U153" s="410"/>
      <c r="V153" s="410"/>
      <c r="W153" s="410"/>
      <c r="X153" s="410"/>
      <c r="Y153" s="410"/>
      <c r="Z153" s="411"/>
      <c r="AA153" s="153" t="s">
        <v>260</v>
      </c>
      <c r="AB153" s="154"/>
      <c r="AC153" s="154"/>
      <c r="AD153" s="154"/>
      <c r="AE153" s="154"/>
      <c r="AF153" s="154"/>
      <c r="AG153" s="155"/>
      <c r="AH153" s="155"/>
      <c r="AI153" s="154"/>
      <c r="AJ153" s="154"/>
      <c r="AK153" s="154"/>
      <c r="AL153" s="154"/>
      <c r="AM153" s="154"/>
      <c r="AN153" s="433" t="s">
        <v>261</v>
      </c>
      <c r="AO153" s="433" t="s">
        <v>262</v>
      </c>
      <c r="AP153" s="433" t="s">
        <v>1022</v>
      </c>
      <c r="AQ153" s="433" t="s">
        <v>1023</v>
      </c>
      <c r="AR153" s="434" t="s">
        <v>1044</v>
      </c>
      <c r="AS153" s="113"/>
      <c r="AT153" s="156" t="s">
        <v>262</v>
      </c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7"/>
      <c r="BE153" s="158"/>
      <c r="BF153" s="113"/>
      <c r="BG153" s="113"/>
    </row>
    <row r="154" spans="1:59" ht="13.5" hidden="1" customHeight="1">
      <c r="A154" s="113"/>
      <c r="B154" s="413"/>
      <c r="C154" s="413"/>
      <c r="D154" s="159"/>
      <c r="E154" s="160" t="s">
        <v>26</v>
      </c>
      <c r="F154" s="161" t="s">
        <v>27</v>
      </c>
      <c r="G154" s="160"/>
      <c r="H154" s="413"/>
      <c r="I154" s="447" t="s">
        <v>1025</v>
      </c>
      <c r="J154" s="451" t="s">
        <v>266</v>
      </c>
      <c r="K154" s="411"/>
      <c r="L154" s="445" t="s">
        <v>267</v>
      </c>
      <c r="M154" s="410"/>
      <c r="N154" s="410"/>
      <c r="O154" s="410"/>
      <c r="P154" s="411"/>
      <c r="Q154" s="163"/>
      <c r="R154" s="164" t="s">
        <v>268</v>
      </c>
      <c r="S154" s="164"/>
      <c r="T154" s="165"/>
      <c r="U154" s="445" t="s">
        <v>269</v>
      </c>
      <c r="V154" s="410"/>
      <c r="W154" s="411"/>
      <c r="X154" s="166" t="s">
        <v>270</v>
      </c>
      <c r="Y154" s="167" t="s">
        <v>271</v>
      </c>
      <c r="Z154" s="445" t="s">
        <v>272</v>
      </c>
      <c r="AA154" s="410"/>
      <c r="AB154" s="410"/>
      <c r="AC154" s="410"/>
      <c r="AD154" s="410"/>
      <c r="AE154" s="411"/>
      <c r="AF154" s="458" t="s">
        <v>266</v>
      </c>
      <c r="AG154" s="411"/>
      <c r="AH154" s="450" t="s">
        <v>273</v>
      </c>
      <c r="AI154" s="446" t="s">
        <v>274</v>
      </c>
      <c r="AJ154" s="410"/>
      <c r="AK154" s="411"/>
      <c r="AL154" s="166" t="s">
        <v>275</v>
      </c>
      <c r="AM154" s="167" t="s">
        <v>271</v>
      </c>
      <c r="AN154" s="413"/>
      <c r="AO154" s="413"/>
      <c r="AP154" s="413"/>
      <c r="AQ154" s="413"/>
      <c r="AR154" s="413"/>
      <c r="AS154" s="113"/>
      <c r="AT154" s="162" t="s">
        <v>4</v>
      </c>
      <c r="AU154" s="167" t="s">
        <v>276</v>
      </c>
      <c r="AV154" s="167" t="s">
        <v>277</v>
      </c>
      <c r="AW154" s="167" t="s">
        <v>278</v>
      </c>
      <c r="AX154" s="167" t="s">
        <v>269</v>
      </c>
      <c r="AY154" s="167" t="s">
        <v>270</v>
      </c>
      <c r="AZ154" s="168" t="s">
        <v>266</v>
      </c>
      <c r="BA154" s="155"/>
      <c r="BB154" s="169"/>
      <c r="BC154" s="167" t="s">
        <v>261</v>
      </c>
      <c r="BD154" s="160" t="s">
        <v>279</v>
      </c>
      <c r="BE154" s="167" t="s">
        <v>262</v>
      </c>
      <c r="BF154" s="113"/>
      <c r="BG154" s="113"/>
    </row>
    <row r="155" spans="1:59" ht="13.5" hidden="1" customHeight="1">
      <c r="A155" s="113"/>
      <c r="B155" s="414"/>
      <c r="C155" s="414"/>
      <c r="D155" s="92"/>
      <c r="E155" s="170"/>
      <c r="F155" s="171"/>
      <c r="G155" s="170"/>
      <c r="H155" s="414"/>
      <c r="I155" s="414"/>
      <c r="J155" s="172" t="s">
        <v>280</v>
      </c>
      <c r="K155" s="172" t="s">
        <v>281</v>
      </c>
      <c r="L155" s="173" t="s">
        <v>282</v>
      </c>
      <c r="M155" s="173" t="s">
        <v>283</v>
      </c>
      <c r="N155" s="172" t="s">
        <v>284</v>
      </c>
      <c r="O155" s="174" t="s">
        <v>285</v>
      </c>
      <c r="P155" s="173" t="s">
        <v>286</v>
      </c>
      <c r="Q155" s="163"/>
      <c r="R155" s="165" t="s">
        <v>282</v>
      </c>
      <c r="S155" s="165" t="s">
        <v>287</v>
      </c>
      <c r="T155" s="165" t="s">
        <v>288</v>
      </c>
      <c r="U155" s="173" t="s">
        <v>289</v>
      </c>
      <c r="V155" s="172" t="s">
        <v>290</v>
      </c>
      <c r="W155" s="173" t="s">
        <v>286</v>
      </c>
      <c r="X155" s="172"/>
      <c r="Y155" s="173"/>
      <c r="Z155" s="172" t="s">
        <v>291</v>
      </c>
      <c r="AA155" s="172" t="s">
        <v>292</v>
      </c>
      <c r="AB155" s="172" t="s">
        <v>293</v>
      </c>
      <c r="AC155" s="172" t="s">
        <v>280</v>
      </c>
      <c r="AD155" s="172" t="s">
        <v>294</v>
      </c>
      <c r="AE155" s="173" t="s">
        <v>286</v>
      </c>
      <c r="AF155" s="172" t="s">
        <v>280</v>
      </c>
      <c r="AG155" s="172" t="s">
        <v>281</v>
      </c>
      <c r="AH155" s="414"/>
      <c r="AI155" s="165" t="s">
        <v>295</v>
      </c>
      <c r="AJ155" s="165" t="s">
        <v>296</v>
      </c>
      <c r="AK155" s="165" t="s">
        <v>297</v>
      </c>
      <c r="AL155" s="169"/>
      <c r="AM155" s="169"/>
      <c r="AN155" s="414"/>
      <c r="AO155" s="414"/>
      <c r="AP155" s="414"/>
      <c r="AQ155" s="414"/>
      <c r="AR155" s="414"/>
      <c r="AS155" s="113"/>
      <c r="AT155" s="175"/>
      <c r="AU155" s="169"/>
      <c r="AV155" s="169"/>
      <c r="AW155" s="169"/>
      <c r="AX155" s="169"/>
      <c r="AY155" s="169"/>
      <c r="AZ155" s="173" t="s">
        <v>298</v>
      </c>
      <c r="BA155" s="173" t="s">
        <v>299</v>
      </c>
      <c r="BB155" s="173" t="s">
        <v>281</v>
      </c>
      <c r="BC155" s="169"/>
      <c r="BD155" s="176"/>
      <c r="BE155" s="169"/>
      <c r="BF155" s="113"/>
      <c r="BG155" s="113"/>
    </row>
    <row r="156" spans="1:59" ht="13.5" hidden="1" customHeight="1">
      <c r="A156" s="113"/>
      <c r="B156" s="224">
        <v>1</v>
      </c>
      <c r="C156" s="124" t="s">
        <v>445</v>
      </c>
      <c r="D156" s="66" t="s">
        <v>446</v>
      </c>
      <c r="E156" s="67" t="s">
        <v>57</v>
      </c>
      <c r="F156" s="68" t="s">
        <v>1237</v>
      </c>
      <c r="G156" s="67" t="s">
        <v>31</v>
      </c>
      <c r="H156" s="66" t="s">
        <v>32</v>
      </c>
      <c r="I156" s="69">
        <f t="shared" ref="I156:I189" si="113">IF(H156="FULL - EXISTING",3537000,3537000/O156*N156)</f>
        <v>3537000</v>
      </c>
      <c r="J156" s="70">
        <v>220709</v>
      </c>
      <c r="K156" s="70">
        <v>141480</v>
      </c>
      <c r="L156" s="70">
        <v>2766394</v>
      </c>
      <c r="M156" s="69">
        <f t="shared" ref="M156:M189" ca="1" si="114">L156/O156</f>
        <v>110655.76</v>
      </c>
      <c r="N156" s="61">
        <f ca="1">IFERROR(__xludf.DUMMYFUNCTION("VLOOKUP(C156,IMPORTRANGE(""https://docs.google.com/spreadsheets/d/1rlIahxEPRJNi2AZ1Wg_ST6ULVsuP72ohSpCzHj_8yUg/edit?gid=18363260#gid=18363260"",""SCHEDULE_KAI_JULI25""),39,0)"),24)</f>
        <v>24</v>
      </c>
      <c r="O156" s="61">
        <f ca="1">IFERROR(__xludf.DUMMYFUNCTION("VLOOKUP(C156,IMPORTRANGE(""https://docs.google.com/spreadsheets/d/1rlIahxEPRJNi2AZ1Wg_ST6ULVsuP72ohSpCzHj_8yUg/edit?gid=18363260#gid=18363260"",""SCHEDULE_KAI_JULI25""),40,0)"),25)</f>
        <v>25</v>
      </c>
      <c r="P156" s="69">
        <f t="shared" ref="P156:P189" ca="1" si="115">M156*N156</f>
        <v>2655738.2399999998</v>
      </c>
      <c r="Q156" s="66"/>
      <c r="R156" s="69">
        <f t="shared" ref="R156:R189" si="116">I156+J156+K156+L156</f>
        <v>6665583</v>
      </c>
      <c r="S156" s="69">
        <f t="shared" ref="S156:S189" ca="1" si="117">I156+J156+K156+P156</f>
        <v>6554927.2400000002</v>
      </c>
      <c r="T156" s="69">
        <f t="shared" ref="T156:T189" ca="1" si="118">IF(R156-S156&lt;0,R156-S156,0)</f>
        <v>0</v>
      </c>
      <c r="U156" s="20">
        <v>259867</v>
      </c>
      <c r="V156" s="177">
        <f ca="1">IFERROR(__xludf.DUMMYFUNCTION("VLOOKUP(C156,IMPORTRANGE(""https://docs.google.com/spreadsheets/d/1heLiqWF_2HiP-P9QpK84CTP6DxpoT_aG9fTdG9C1JMk/edit?gid=1535728046#gid=1535728046"",""DATA_ABSEN_JUNI25""),41,0)"),2)</f>
        <v>2</v>
      </c>
      <c r="W156" s="69">
        <f t="shared" ref="W156:W189" ca="1" si="119">U156*V156</f>
        <v>519734</v>
      </c>
      <c r="X156" s="69">
        <v>0</v>
      </c>
      <c r="Y156" s="69">
        <f t="shared" ref="Y156:Y189" ca="1" si="120">I156+J156+K156+P156+W156+X156</f>
        <v>7074661.2400000002</v>
      </c>
      <c r="Z156" s="61">
        <f ca="1">IFERROR(__xludf.DUMMYFUNCTION("VLOOKUP(C156,IMPORTRANGE(""https://docs.google.com/spreadsheets/d/1heLiqWF_2HiP-P9QpK84CTP6DxpoT_aG9fTdG9C1JMk/edit?gid=1535728046#gid=1535728046"",""DATA_ABSEN_JUNI25""),42,0)+VLOOKUP(C156,IMPORTRANGE(""https://docs.google.com/spreadsheets/d/1heLiqWF_2Hi"&amp;"P-P9QpK84CTP6DxpoT_aG9fTdG9C1JMk/edit?gid=1535728046#gid=1535728046"",""DATA_ABSEN_JUNI25""),43,0)"),0)</f>
        <v>0</v>
      </c>
      <c r="AA156" s="61">
        <f ca="1">IFERROR(__xludf.DUMMYFUNCTION("VLOOKUP(C156,IMPORTRANGE(""https://docs.google.com/spreadsheets/d/1heLiqWF_2HiP-P9QpK84CTP6DxpoT_aG9fTdG9C1JMk/edit?gid=1535728046#gid=1535728046"",""DATA_ABSEN_JUNI25""),44,0)"),0)</f>
        <v>0</v>
      </c>
      <c r="AB156" s="61">
        <f ca="1">IFERROR(__xludf.DUMMYFUNCTION("VLOOKUP(C156,IMPORTRANGE(""https://docs.google.com/spreadsheets/d/1heLiqWF_2HiP-P9QpK84CTP6DxpoT_aG9fTdG9C1JMk/edit?gid=1535728046#gid=1535728046"",""DATA_ABSEN_JUNI25""),45,0)"),0)</f>
        <v>0</v>
      </c>
      <c r="AC156" s="61">
        <f ca="1">IFERROR(__xludf.DUMMYFUNCTION("VLOOKUP(C156,IMPORTRANGE(""https://docs.google.com/spreadsheets/d/1heLiqWF_2HiP-P9QpK84CTP6DxpoT_aG9fTdG9C1JMk/edit?gid=1535728046#gid=1535728046"",""DATA_ABSEN_JUNI25""),46,0)"),0)</f>
        <v>0</v>
      </c>
      <c r="AD156" s="125">
        <v>0</v>
      </c>
      <c r="AE156" s="69">
        <f t="shared" ref="AE156:AE189" ca="1" si="121">U156*(Z156+AA156+AD156+(AC156*2))</f>
        <v>0</v>
      </c>
      <c r="AF156" s="20">
        <v>326819</v>
      </c>
      <c r="AG156" s="20">
        <v>176850</v>
      </c>
      <c r="AH156" s="69">
        <v>0</v>
      </c>
      <c r="AI156" s="69" t="e">
        <f t="shared" ref="AI156:AI189" si="122">VLOOKUP(C156,PINJAMAN_KAI_JULI_25,35,0)</f>
        <v>#REF!</v>
      </c>
      <c r="AJ156" s="69">
        <v>0</v>
      </c>
      <c r="AK156" s="69" t="e">
        <f t="shared" ref="AK156:AK254" si="123">AI156-AJ156</f>
        <v>#REF!</v>
      </c>
      <c r="AL156" s="69">
        <v>0</v>
      </c>
      <c r="AM156" s="69">
        <f t="shared" ref="AM156:AM189" ca="1" si="124">AE156+AF156+AG156+AH156+AJ156+AL156</f>
        <v>503669</v>
      </c>
      <c r="AN156" s="69">
        <f t="shared" ref="AN156:AN189" ca="1" si="125">Y156-AM156</f>
        <v>6570992.2400000002</v>
      </c>
      <c r="AO156" s="69">
        <f t="shared" ref="AO156:AO189" ca="1" si="126">BE156</f>
        <v>51547.890299999999</v>
      </c>
      <c r="AP156" s="69">
        <f t="shared" ref="AP156:AP189" ca="1" si="127">AN156-AO156</f>
        <v>6519444.3497000001</v>
      </c>
      <c r="AQ156" s="69">
        <f t="shared" ref="AQ156:AQ189" ca="1" si="128">AP156-X156</f>
        <v>6519444.3497000001</v>
      </c>
      <c r="AR156" s="70">
        <f t="shared" ref="AR156:AR189" ca="1" si="129">AP156-X156</f>
        <v>6519444.3497000001</v>
      </c>
      <c r="AS156" s="113"/>
      <c r="AT156" s="73" t="s">
        <v>17</v>
      </c>
      <c r="AU156" s="61" t="s">
        <v>15</v>
      </c>
      <c r="AV156" s="69">
        <f t="shared" ref="AV156:AV189" si="130">I156</f>
        <v>3537000</v>
      </c>
      <c r="AW156" s="69">
        <f t="shared" ref="AW156:AW189" ca="1" si="131">P156</f>
        <v>2655738.2399999998</v>
      </c>
      <c r="AX156" s="69">
        <f t="shared" ref="AX156:AX189" ca="1" si="132">W156</f>
        <v>519734</v>
      </c>
      <c r="AY156" s="69">
        <v>0</v>
      </c>
      <c r="AZ156" s="69">
        <f t="shared" ref="AZ156:AZ189" si="133">IF(J156=0,0,AV156*0.24%)</f>
        <v>8488.7999999999993</v>
      </c>
      <c r="BA156" s="69">
        <f t="shared" ref="BA156:BA189" si="134">IF(J156=0,0,AV156*0.3%)</f>
        <v>10611</v>
      </c>
      <c r="BB156" s="69">
        <f t="shared" ref="BB156:BB189" si="135">IF(K156=0,0,AV156*4%)</f>
        <v>141480</v>
      </c>
      <c r="BC156" s="69">
        <f t="shared" ref="BC156:BC189" ca="1" si="136">SUM(AV156:BB156)</f>
        <v>6873052.04</v>
      </c>
      <c r="BD156" s="74">
        <f ca="1">IF(AU156="C",VLOOKUP(BC156,TER!$J$4:$L$50,3,TRUE),IF(AU156="B",VLOOKUP(BC156,TER!$F$4:$H$50,3,TRUE),IF(AU156="A",VLOOKUP(BC156,TER!$B$4:$D$50,3,TRUE),"ERROR")))</f>
        <v>7.4999999999999997E-3</v>
      </c>
      <c r="BE156" s="69">
        <f t="shared" ref="BE156:BE189" ca="1" si="137">BC156*BD156</f>
        <v>51547.890299999999</v>
      </c>
      <c r="BF156" s="113"/>
      <c r="BG156" s="113"/>
    </row>
    <row r="157" spans="1:59" ht="13.5" hidden="1" customHeight="1">
      <c r="A157" s="113"/>
      <c r="B157" s="224">
        <v>2</v>
      </c>
      <c r="C157" s="178" t="s">
        <v>451</v>
      </c>
      <c r="D157" s="179" t="s">
        <v>452</v>
      </c>
      <c r="E157" s="67" t="s">
        <v>57</v>
      </c>
      <c r="F157" s="68" t="s">
        <v>1238</v>
      </c>
      <c r="G157" s="180" t="s">
        <v>94</v>
      </c>
      <c r="H157" s="179" t="s">
        <v>32</v>
      </c>
      <c r="I157" s="69">
        <f t="shared" si="113"/>
        <v>3537000</v>
      </c>
      <c r="J157" s="70">
        <v>220709</v>
      </c>
      <c r="K157" s="70">
        <v>141480</v>
      </c>
      <c r="L157" s="181">
        <v>2934427</v>
      </c>
      <c r="M157" s="69">
        <f t="shared" ca="1" si="114"/>
        <v>139734.61904761905</v>
      </c>
      <c r="N157" s="61">
        <f ca="1">IFERROR(__xludf.DUMMYFUNCTION("VLOOKUP(C157,IMPORTRANGE(""https://docs.google.com/spreadsheets/d/1rlIahxEPRJNi2AZ1Wg_ST6ULVsuP72ohSpCzHj_8yUg/edit?gid=18363260#gid=18363260"",""SCHEDULE_KAI_JULI25""),39,0)"),21)</f>
        <v>21</v>
      </c>
      <c r="O157" s="61">
        <f ca="1">IFERROR(__xludf.DUMMYFUNCTION("VLOOKUP(C157,IMPORTRANGE(""https://docs.google.com/spreadsheets/d/1rlIahxEPRJNi2AZ1Wg_ST6ULVsuP72ohSpCzHj_8yUg/edit?gid=18363260#gid=18363260"",""SCHEDULE_KAI_JULI25""),40,0)"),21)</f>
        <v>21</v>
      </c>
      <c r="P157" s="182">
        <f t="shared" ca="1" si="115"/>
        <v>2934427</v>
      </c>
      <c r="Q157" s="179"/>
      <c r="R157" s="69">
        <f t="shared" si="116"/>
        <v>6833616</v>
      </c>
      <c r="S157" s="69">
        <f t="shared" ca="1" si="117"/>
        <v>6833616</v>
      </c>
      <c r="T157" s="69">
        <f t="shared" ca="1" si="118"/>
        <v>0</v>
      </c>
      <c r="U157" s="20">
        <v>259867</v>
      </c>
      <c r="V157" s="177">
        <f ca="1">IFERROR(__xludf.DUMMYFUNCTION("VLOOKUP(C157,IMPORTRANGE(""https://docs.google.com/spreadsheets/d/1heLiqWF_2HiP-P9QpK84CTP6DxpoT_aG9fTdG9C1JMk/edit?gid=1535728046#gid=1535728046"",""DATA_ABSEN_JUNI25""),41,0)"),0)</f>
        <v>0</v>
      </c>
      <c r="W157" s="69">
        <f t="shared" ca="1" si="119"/>
        <v>0</v>
      </c>
      <c r="X157" s="183">
        <v>0</v>
      </c>
      <c r="Y157" s="69">
        <f t="shared" ca="1" si="120"/>
        <v>6833616</v>
      </c>
      <c r="Z157" s="61">
        <f ca="1">IFERROR(__xludf.DUMMYFUNCTION("VLOOKUP(C157,IMPORTRANGE(""https://docs.google.com/spreadsheets/d/1heLiqWF_2HiP-P9QpK84CTP6DxpoT_aG9fTdG9C1JMk/edit?gid=1535728046#gid=1535728046"",""DATA_ABSEN_JUNI25""),42,0)+VLOOKUP(C157,IMPORTRANGE(""https://docs.google.com/spreadsheets/d/1heLiqWF_2Hi"&amp;"P-P9QpK84CTP6DxpoT_aG9fTdG9C1JMk/edit?gid=1535728046#gid=1535728046"",""DATA_ABSEN_JUNI25""),43,0)"),0)</f>
        <v>0</v>
      </c>
      <c r="AA157" s="61">
        <f ca="1">IFERROR(__xludf.DUMMYFUNCTION("VLOOKUP(C157,IMPORTRANGE(""https://docs.google.com/spreadsheets/d/1heLiqWF_2HiP-P9QpK84CTP6DxpoT_aG9fTdG9C1JMk/edit?gid=1535728046#gid=1535728046"",""DATA_ABSEN_JUNI25""),44,0)"),0)</f>
        <v>0</v>
      </c>
      <c r="AB157" s="61">
        <f ca="1">IFERROR(__xludf.DUMMYFUNCTION("VLOOKUP(C157,IMPORTRANGE(""https://docs.google.com/spreadsheets/d/1heLiqWF_2HiP-P9QpK84CTP6DxpoT_aG9fTdG9C1JMk/edit?gid=1535728046#gid=1535728046"",""DATA_ABSEN_JUNI25""),45,0)"),10)</f>
        <v>10</v>
      </c>
      <c r="AC157" s="61">
        <f ca="1">IFERROR(__xludf.DUMMYFUNCTION("VLOOKUP(C157,IMPORTRANGE(""https://docs.google.com/spreadsheets/d/1heLiqWF_2HiP-P9QpK84CTP6DxpoT_aG9fTdG9C1JMk/edit?gid=1535728046#gid=1535728046"",""DATA_ABSEN_JUNI25""),46,0)"),0)</f>
        <v>0</v>
      </c>
      <c r="AD157" s="125">
        <v>0</v>
      </c>
      <c r="AE157" s="69">
        <f t="shared" ca="1" si="121"/>
        <v>0</v>
      </c>
      <c r="AF157" s="20">
        <v>326819</v>
      </c>
      <c r="AG157" s="20">
        <v>176850</v>
      </c>
      <c r="AH157" s="69">
        <v>0</v>
      </c>
      <c r="AI157" s="69" t="e">
        <f t="shared" si="122"/>
        <v>#REF!</v>
      </c>
      <c r="AJ157" s="69">
        <v>0</v>
      </c>
      <c r="AK157" s="69" t="e">
        <f t="shared" si="123"/>
        <v>#REF!</v>
      </c>
      <c r="AL157" s="183">
        <v>0</v>
      </c>
      <c r="AM157" s="69">
        <f t="shared" ca="1" si="124"/>
        <v>503669</v>
      </c>
      <c r="AN157" s="69">
        <f t="shared" ca="1" si="125"/>
        <v>6329947</v>
      </c>
      <c r="AO157" s="69">
        <f t="shared" ca="1" si="126"/>
        <v>66320.067999999999</v>
      </c>
      <c r="AP157" s="69">
        <f t="shared" ca="1" si="127"/>
        <v>6263626.932</v>
      </c>
      <c r="AQ157" s="69">
        <f t="shared" ca="1" si="128"/>
        <v>6263626.932</v>
      </c>
      <c r="AR157" s="70">
        <f t="shared" ca="1" si="129"/>
        <v>6263626.932</v>
      </c>
      <c r="AS157" s="184"/>
      <c r="AT157" s="185" t="s">
        <v>9</v>
      </c>
      <c r="AU157" s="186" t="s">
        <v>10</v>
      </c>
      <c r="AV157" s="69">
        <f t="shared" si="130"/>
        <v>3537000</v>
      </c>
      <c r="AW157" s="69">
        <f t="shared" ca="1" si="131"/>
        <v>2934427</v>
      </c>
      <c r="AX157" s="69">
        <f t="shared" ca="1" si="132"/>
        <v>0</v>
      </c>
      <c r="AY157" s="183">
        <v>0</v>
      </c>
      <c r="AZ157" s="69">
        <f t="shared" si="133"/>
        <v>8488.7999999999993</v>
      </c>
      <c r="BA157" s="69">
        <f t="shared" si="134"/>
        <v>10611</v>
      </c>
      <c r="BB157" s="69">
        <f t="shared" si="135"/>
        <v>141480</v>
      </c>
      <c r="BC157" s="69">
        <f t="shared" ca="1" si="136"/>
        <v>6632006.7999999998</v>
      </c>
      <c r="BD157" s="74">
        <f ca="1">IF(AU157="C",VLOOKUP(BC157,TER!$J$4:$L$50,3,TRUE),IF(AU157="B",VLOOKUP(BC157,TER!$F$4:$H$50,3,TRUE),IF(AU157="A",VLOOKUP(BC157,TER!$B$4:$D$50,3,TRUE),"ERROR")))</f>
        <v>0.01</v>
      </c>
      <c r="BE157" s="69">
        <f t="shared" ca="1" si="137"/>
        <v>66320.067999999999</v>
      </c>
      <c r="BF157" s="113"/>
      <c r="BG157" s="113"/>
    </row>
    <row r="158" spans="1:59" ht="13.5" hidden="1" customHeight="1">
      <c r="A158" s="113"/>
      <c r="B158" s="224">
        <v>3</v>
      </c>
      <c r="C158" s="68" t="s">
        <v>453</v>
      </c>
      <c r="D158" s="66" t="s">
        <v>454</v>
      </c>
      <c r="E158" s="67" t="s">
        <v>57</v>
      </c>
      <c r="F158" s="68" t="s">
        <v>1239</v>
      </c>
      <c r="G158" s="67" t="s">
        <v>31</v>
      </c>
      <c r="H158" s="66" t="s">
        <v>32</v>
      </c>
      <c r="I158" s="69">
        <f t="shared" si="113"/>
        <v>3537000</v>
      </c>
      <c r="J158" s="70">
        <v>220709</v>
      </c>
      <c r="K158" s="70">
        <v>141480</v>
      </c>
      <c r="L158" s="70">
        <v>2766394</v>
      </c>
      <c r="M158" s="69">
        <f t="shared" ca="1" si="114"/>
        <v>110655.76</v>
      </c>
      <c r="N158" s="61">
        <f ca="1">IFERROR(__xludf.DUMMYFUNCTION("VLOOKUP(C158,IMPORTRANGE(""https://docs.google.com/spreadsheets/d/1rlIahxEPRJNi2AZ1Wg_ST6ULVsuP72ohSpCzHj_8yUg/edit?gid=18363260#gid=18363260"",""SCHEDULE_KAI_JULI25""),39,0)"),24)</f>
        <v>24</v>
      </c>
      <c r="O158" s="61">
        <f ca="1">IFERROR(__xludf.DUMMYFUNCTION("VLOOKUP(C158,IMPORTRANGE(""https://docs.google.com/spreadsheets/d/1rlIahxEPRJNi2AZ1Wg_ST6ULVsuP72ohSpCzHj_8yUg/edit?gid=18363260#gid=18363260"",""SCHEDULE_KAI_JULI25""),40,0)"),25)</f>
        <v>25</v>
      </c>
      <c r="P158" s="69">
        <f t="shared" ca="1" si="115"/>
        <v>2655738.2399999998</v>
      </c>
      <c r="Q158" s="66"/>
      <c r="R158" s="69">
        <f t="shared" si="116"/>
        <v>6665583</v>
      </c>
      <c r="S158" s="69">
        <f t="shared" ca="1" si="117"/>
        <v>6554927.2400000002</v>
      </c>
      <c r="T158" s="69">
        <f t="shared" ca="1" si="118"/>
        <v>0</v>
      </c>
      <c r="U158" s="20">
        <v>259867</v>
      </c>
      <c r="V158" s="177">
        <f ca="1">IFERROR(__xludf.DUMMYFUNCTION("VLOOKUP(C158,IMPORTRANGE(""https://docs.google.com/spreadsheets/d/1heLiqWF_2HiP-P9QpK84CTP6DxpoT_aG9fTdG9C1JMk/edit?gid=1535728046#gid=1535728046"",""DATA_ABSEN_JUNI25""),41,0)"),2)</f>
        <v>2</v>
      </c>
      <c r="W158" s="69">
        <f t="shared" ca="1" si="119"/>
        <v>519734</v>
      </c>
      <c r="X158" s="69">
        <v>0</v>
      </c>
      <c r="Y158" s="69">
        <f t="shared" ca="1" si="120"/>
        <v>7074661.2400000002</v>
      </c>
      <c r="Z158" s="61">
        <f ca="1">IFERROR(__xludf.DUMMYFUNCTION("VLOOKUP(C158,IMPORTRANGE(""https://docs.google.com/spreadsheets/d/1heLiqWF_2HiP-P9QpK84CTP6DxpoT_aG9fTdG9C1JMk/edit?gid=1535728046#gid=1535728046"",""DATA_ABSEN_JUNI25""),42,0)+VLOOKUP(C158,IMPORTRANGE(""https://docs.google.com/spreadsheets/d/1heLiqWF_2Hi"&amp;"P-P9QpK84CTP6DxpoT_aG9fTdG9C1JMk/edit?gid=1535728046#gid=1535728046"",""DATA_ABSEN_JUNI25""),43,0)"),0)</f>
        <v>0</v>
      </c>
      <c r="AA158" s="61">
        <f ca="1">IFERROR(__xludf.DUMMYFUNCTION("VLOOKUP(C158,IMPORTRANGE(""https://docs.google.com/spreadsheets/d/1heLiqWF_2HiP-P9QpK84CTP6DxpoT_aG9fTdG9C1JMk/edit?gid=1535728046#gid=1535728046"",""DATA_ABSEN_JUNI25""),44,0)"),0)</f>
        <v>0</v>
      </c>
      <c r="AB158" s="61">
        <f ca="1">IFERROR(__xludf.DUMMYFUNCTION("VLOOKUP(C158,IMPORTRANGE(""https://docs.google.com/spreadsheets/d/1heLiqWF_2HiP-P9QpK84CTP6DxpoT_aG9fTdG9C1JMk/edit?gid=1535728046#gid=1535728046"",""DATA_ABSEN_JUNI25""),45,0)"),0)</f>
        <v>0</v>
      </c>
      <c r="AC158" s="61">
        <f ca="1">IFERROR(__xludf.DUMMYFUNCTION("VLOOKUP(C158,IMPORTRANGE(""https://docs.google.com/spreadsheets/d/1heLiqWF_2HiP-P9QpK84CTP6DxpoT_aG9fTdG9C1JMk/edit?gid=1535728046#gid=1535728046"",""DATA_ABSEN_JUNI25""),46,0)"),0)</f>
        <v>0</v>
      </c>
      <c r="AD158" s="125">
        <v>0</v>
      </c>
      <c r="AE158" s="69">
        <f t="shared" ca="1" si="121"/>
        <v>0</v>
      </c>
      <c r="AF158" s="20">
        <v>326819</v>
      </c>
      <c r="AG158" s="20">
        <v>176850</v>
      </c>
      <c r="AH158" s="69">
        <v>0</v>
      </c>
      <c r="AI158" s="69" t="e">
        <f t="shared" si="122"/>
        <v>#REF!</v>
      </c>
      <c r="AJ158" s="69">
        <v>0</v>
      </c>
      <c r="AK158" s="69" t="e">
        <f t="shared" si="123"/>
        <v>#REF!</v>
      </c>
      <c r="AL158" s="69">
        <v>0</v>
      </c>
      <c r="AM158" s="69">
        <f t="shared" ca="1" si="124"/>
        <v>503669</v>
      </c>
      <c r="AN158" s="69">
        <f t="shared" ca="1" si="125"/>
        <v>6570992.2400000002</v>
      </c>
      <c r="AO158" s="69">
        <f t="shared" ca="1" si="126"/>
        <v>85913.150500000003</v>
      </c>
      <c r="AP158" s="69">
        <f t="shared" ca="1" si="127"/>
        <v>6485079.0894999998</v>
      </c>
      <c r="AQ158" s="69">
        <f t="shared" ca="1" si="128"/>
        <v>6485079.0894999998</v>
      </c>
      <c r="AR158" s="70">
        <f t="shared" ca="1" si="129"/>
        <v>6485079.0894999998</v>
      </c>
      <c r="AS158" s="113"/>
      <c r="AT158" s="73" t="s">
        <v>9</v>
      </c>
      <c r="AU158" s="61" t="s">
        <v>10</v>
      </c>
      <c r="AV158" s="69">
        <f t="shared" si="130"/>
        <v>3537000</v>
      </c>
      <c r="AW158" s="69">
        <f t="shared" ca="1" si="131"/>
        <v>2655738.2399999998</v>
      </c>
      <c r="AX158" s="69">
        <f t="shared" ca="1" si="132"/>
        <v>519734</v>
      </c>
      <c r="AY158" s="69">
        <v>0</v>
      </c>
      <c r="AZ158" s="69">
        <f t="shared" si="133"/>
        <v>8488.7999999999993</v>
      </c>
      <c r="BA158" s="69">
        <f t="shared" si="134"/>
        <v>10611</v>
      </c>
      <c r="BB158" s="69">
        <f t="shared" si="135"/>
        <v>141480</v>
      </c>
      <c r="BC158" s="69">
        <f t="shared" ca="1" si="136"/>
        <v>6873052.04</v>
      </c>
      <c r="BD158" s="74">
        <f ca="1">IF(AU158="C",VLOOKUP(BC158,TER!$J$4:$L$50,3,TRUE),IF(AU158="B",VLOOKUP(BC158,TER!$F$4:$H$50,3,TRUE),IF(AU158="A",VLOOKUP(BC158,TER!$B$4:$D$50,3,TRUE),"ERROR")))</f>
        <v>1.2500000000000001E-2</v>
      </c>
      <c r="BE158" s="69">
        <f t="shared" ca="1" si="137"/>
        <v>85913.150500000003</v>
      </c>
      <c r="BF158" s="113"/>
      <c r="BG158" s="113"/>
    </row>
    <row r="159" spans="1:59" ht="13.5" hidden="1" customHeight="1">
      <c r="A159" s="113"/>
      <c r="B159" s="224">
        <v>4</v>
      </c>
      <c r="C159" s="68" t="s">
        <v>455</v>
      </c>
      <c r="D159" s="98" t="s">
        <v>456</v>
      </c>
      <c r="E159" s="67" t="s">
        <v>57</v>
      </c>
      <c r="F159" s="68" t="s">
        <v>1240</v>
      </c>
      <c r="G159" s="67" t="s">
        <v>31</v>
      </c>
      <c r="H159" s="66" t="s">
        <v>32</v>
      </c>
      <c r="I159" s="69">
        <f t="shared" si="113"/>
        <v>3537000</v>
      </c>
      <c r="J159" s="70">
        <v>220709</v>
      </c>
      <c r="K159" s="70">
        <v>141480</v>
      </c>
      <c r="L159" s="70">
        <v>2766394</v>
      </c>
      <c r="M159" s="69">
        <f t="shared" ca="1" si="114"/>
        <v>115266.41666666667</v>
      </c>
      <c r="N159" s="61">
        <f ca="1">IFERROR(__xludf.DUMMYFUNCTION("VLOOKUP(C159,IMPORTRANGE(""https://docs.google.com/spreadsheets/d/1rlIahxEPRJNi2AZ1Wg_ST6ULVsuP72ohSpCzHj_8yUg/edit?gid=18363260#gid=18363260"",""SCHEDULE_KAI_JULI25""),39,0)"),24)</f>
        <v>24</v>
      </c>
      <c r="O159" s="61">
        <f ca="1">IFERROR(__xludf.DUMMYFUNCTION("VLOOKUP(C159,IMPORTRANGE(""https://docs.google.com/spreadsheets/d/1rlIahxEPRJNi2AZ1Wg_ST6ULVsuP72ohSpCzHj_8yUg/edit?gid=18363260#gid=18363260"",""SCHEDULE_KAI_JULI25""),40,0)"),24)</f>
        <v>24</v>
      </c>
      <c r="P159" s="69">
        <f t="shared" ca="1" si="115"/>
        <v>2766394</v>
      </c>
      <c r="Q159" s="66"/>
      <c r="R159" s="69">
        <f t="shared" si="116"/>
        <v>6665583</v>
      </c>
      <c r="S159" s="69">
        <f t="shared" ca="1" si="117"/>
        <v>6665583</v>
      </c>
      <c r="T159" s="69">
        <f t="shared" ca="1" si="118"/>
        <v>0</v>
      </c>
      <c r="U159" s="20">
        <v>259867</v>
      </c>
      <c r="V159" s="177">
        <f ca="1">IFERROR(__xludf.DUMMYFUNCTION("VLOOKUP(C159,IMPORTRANGE(""https://docs.google.com/spreadsheets/d/1heLiqWF_2HiP-P9QpK84CTP6DxpoT_aG9fTdG9C1JMk/edit?gid=1535728046#gid=1535728046"",""DATA_ABSEN_JUNI25""),41,0)"),2)</f>
        <v>2</v>
      </c>
      <c r="W159" s="69">
        <f t="shared" ca="1" si="119"/>
        <v>519734</v>
      </c>
      <c r="X159" s="69">
        <v>0</v>
      </c>
      <c r="Y159" s="69">
        <f t="shared" ca="1" si="120"/>
        <v>7185317</v>
      </c>
      <c r="Z159" s="61">
        <f ca="1">IFERROR(__xludf.DUMMYFUNCTION("VLOOKUP(C159,IMPORTRANGE(""https://docs.google.com/spreadsheets/d/1heLiqWF_2HiP-P9QpK84CTP6DxpoT_aG9fTdG9C1JMk/edit?gid=1535728046#gid=1535728046"",""DATA_ABSEN_JUNI25""),42,0)+VLOOKUP(C159,IMPORTRANGE(""https://docs.google.com/spreadsheets/d/1heLiqWF_2Hi"&amp;"P-P9QpK84CTP6DxpoT_aG9fTdG9C1JMk/edit?gid=1535728046#gid=1535728046"",""DATA_ABSEN_JUNI25""),43,0)"),0)</f>
        <v>0</v>
      </c>
      <c r="AA159" s="61">
        <f ca="1">IFERROR(__xludf.DUMMYFUNCTION("VLOOKUP(C159,IMPORTRANGE(""https://docs.google.com/spreadsheets/d/1heLiqWF_2HiP-P9QpK84CTP6DxpoT_aG9fTdG9C1JMk/edit?gid=1535728046#gid=1535728046"",""DATA_ABSEN_JUNI25""),44,0)"),0)</f>
        <v>0</v>
      </c>
      <c r="AB159" s="61">
        <f ca="1">IFERROR(__xludf.DUMMYFUNCTION("VLOOKUP(C159,IMPORTRANGE(""https://docs.google.com/spreadsheets/d/1heLiqWF_2HiP-P9QpK84CTP6DxpoT_aG9fTdG9C1JMk/edit?gid=1535728046#gid=1535728046"",""DATA_ABSEN_JUNI25""),45,0)"),0)</f>
        <v>0</v>
      </c>
      <c r="AC159" s="61">
        <f ca="1">IFERROR(__xludf.DUMMYFUNCTION("VLOOKUP(C159,IMPORTRANGE(""https://docs.google.com/spreadsheets/d/1heLiqWF_2HiP-P9QpK84CTP6DxpoT_aG9fTdG9C1JMk/edit?gid=1535728046#gid=1535728046"",""DATA_ABSEN_JUNI25""),46,0)"),0)</f>
        <v>0</v>
      </c>
      <c r="AD159" s="125">
        <v>0</v>
      </c>
      <c r="AE159" s="69">
        <f t="shared" ca="1" si="121"/>
        <v>0</v>
      </c>
      <c r="AF159" s="20">
        <v>326819</v>
      </c>
      <c r="AG159" s="20">
        <v>176850</v>
      </c>
      <c r="AH159" s="69">
        <v>0</v>
      </c>
      <c r="AI159" s="69" t="e">
        <f t="shared" si="122"/>
        <v>#REF!</v>
      </c>
      <c r="AJ159" s="69">
        <v>0</v>
      </c>
      <c r="AK159" s="69" t="e">
        <f t="shared" si="123"/>
        <v>#REF!</v>
      </c>
      <c r="AL159" s="69">
        <v>0</v>
      </c>
      <c r="AM159" s="69">
        <f t="shared" ca="1" si="124"/>
        <v>503669</v>
      </c>
      <c r="AN159" s="69">
        <f t="shared" ca="1" si="125"/>
        <v>6681648</v>
      </c>
      <c r="AO159" s="69">
        <f t="shared" ca="1" si="126"/>
        <v>52377.808499999999</v>
      </c>
      <c r="AP159" s="69">
        <f t="shared" ca="1" si="127"/>
        <v>6629270.1914999997</v>
      </c>
      <c r="AQ159" s="69">
        <f t="shared" ca="1" si="128"/>
        <v>6629270.1914999997</v>
      </c>
      <c r="AR159" s="70">
        <f t="shared" ca="1" si="129"/>
        <v>6629270.1914999997</v>
      </c>
      <c r="AS159" s="113"/>
      <c r="AT159" s="73" t="s">
        <v>18</v>
      </c>
      <c r="AU159" s="61" t="s">
        <v>15</v>
      </c>
      <c r="AV159" s="69">
        <f t="shared" si="130"/>
        <v>3537000</v>
      </c>
      <c r="AW159" s="69">
        <f t="shared" ca="1" si="131"/>
        <v>2766394</v>
      </c>
      <c r="AX159" s="69">
        <f t="shared" ca="1" si="132"/>
        <v>519734</v>
      </c>
      <c r="AY159" s="69">
        <v>0</v>
      </c>
      <c r="AZ159" s="69">
        <f t="shared" si="133"/>
        <v>8488.7999999999993</v>
      </c>
      <c r="BA159" s="69">
        <f t="shared" si="134"/>
        <v>10611</v>
      </c>
      <c r="BB159" s="69">
        <f t="shared" si="135"/>
        <v>141480</v>
      </c>
      <c r="BC159" s="69">
        <f t="shared" ca="1" si="136"/>
        <v>6983707.7999999998</v>
      </c>
      <c r="BD159" s="74">
        <f ca="1">IF(AU159="C",VLOOKUP(BC159,TER!$J$4:$L$50,3,TRUE),IF(AU159="B",VLOOKUP(BC159,TER!$F$4:$H$50,3,TRUE),IF(AU159="A",VLOOKUP(BC159,TER!$B$4:$D$50,3,TRUE),"ERROR")))</f>
        <v>7.4999999999999997E-3</v>
      </c>
      <c r="BE159" s="69">
        <f t="shared" ca="1" si="137"/>
        <v>52377.808499999999</v>
      </c>
      <c r="BF159" s="113"/>
      <c r="BG159" s="113"/>
    </row>
    <row r="160" spans="1:59" ht="13.5" hidden="1" customHeight="1">
      <c r="A160" s="113"/>
      <c r="B160" s="224">
        <v>5</v>
      </c>
      <c r="C160" s="105" t="s">
        <v>457</v>
      </c>
      <c r="D160" s="187" t="s">
        <v>458</v>
      </c>
      <c r="E160" s="67" t="s">
        <v>57</v>
      </c>
      <c r="F160" s="68" t="s">
        <v>1241</v>
      </c>
      <c r="G160" s="67" t="s">
        <v>31</v>
      </c>
      <c r="H160" s="66" t="s">
        <v>32</v>
      </c>
      <c r="I160" s="69">
        <f t="shared" si="113"/>
        <v>3537000</v>
      </c>
      <c r="J160" s="70">
        <v>220709</v>
      </c>
      <c r="K160" s="70">
        <v>141480</v>
      </c>
      <c r="L160" s="70">
        <v>2766394</v>
      </c>
      <c r="M160" s="69">
        <f t="shared" ca="1" si="114"/>
        <v>110655.76</v>
      </c>
      <c r="N160" s="61">
        <f ca="1">IFERROR(__xludf.DUMMYFUNCTION("VLOOKUP(C160,IMPORTRANGE(""https://docs.google.com/spreadsheets/d/1rlIahxEPRJNi2AZ1Wg_ST6ULVsuP72ohSpCzHj_8yUg/edit?gid=18363260#gid=18363260"",""SCHEDULE_KAI_JULI25""),39,0)"),25)</f>
        <v>25</v>
      </c>
      <c r="O160" s="61">
        <f ca="1">IFERROR(__xludf.DUMMYFUNCTION("VLOOKUP(C160,IMPORTRANGE(""https://docs.google.com/spreadsheets/d/1rlIahxEPRJNi2AZ1Wg_ST6ULVsuP72ohSpCzHj_8yUg/edit?gid=18363260#gid=18363260"",""SCHEDULE_KAI_JULI25""),40,0)"),25)</f>
        <v>25</v>
      </c>
      <c r="P160" s="69">
        <f t="shared" ca="1" si="115"/>
        <v>2766394</v>
      </c>
      <c r="Q160" s="66"/>
      <c r="R160" s="69">
        <f t="shared" si="116"/>
        <v>6665583</v>
      </c>
      <c r="S160" s="69">
        <f t="shared" ca="1" si="117"/>
        <v>6665583</v>
      </c>
      <c r="T160" s="69">
        <f t="shared" ca="1" si="118"/>
        <v>0</v>
      </c>
      <c r="U160" s="20">
        <v>259867</v>
      </c>
      <c r="V160" s="177">
        <f ca="1">IFERROR(__xludf.DUMMYFUNCTION("VLOOKUP(C160,IMPORTRANGE(""https://docs.google.com/spreadsheets/d/1heLiqWF_2HiP-P9QpK84CTP6DxpoT_aG9fTdG9C1JMk/edit?gid=1535728046#gid=1535728046"",""DATA_ABSEN_JUNI25""),41,0)"),2)</f>
        <v>2</v>
      </c>
      <c r="W160" s="69">
        <f t="shared" ca="1" si="119"/>
        <v>519734</v>
      </c>
      <c r="X160" s="69">
        <v>0</v>
      </c>
      <c r="Y160" s="69">
        <f t="shared" ca="1" si="120"/>
        <v>7185317</v>
      </c>
      <c r="Z160" s="61">
        <f ca="1">IFERROR(__xludf.DUMMYFUNCTION("VLOOKUP(C160,IMPORTRANGE(""https://docs.google.com/spreadsheets/d/1heLiqWF_2HiP-P9QpK84CTP6DxpoT_aG9fTdG9C1JMk/edit?gid=1535728046#gid=1535728046"",""DATA_ABSEN_JUNI25""),42,0)+VLOOKUP(C160,IMPORTRANGE(""https://docs.google.com/spreadsheets/d/1heLiqWF_2Hi"&amp;"P-P9QpK84CTP6DxpoT_aG9fTdG9C1JMk/edit?gid=1535728046#gid=1535728046"",""DATA_ABSEN_JUNI25""),43,0)"),0)</f>
        <v>0</v>
      </c>
      <c r="AA160" s="61">
        <f ca="1">IFERROR(__xludf.DUMMYFUNCTION("VLOOKUP(C160,IMPORTRANGE(""https://docs.google.com/spreadsheets/d/1heLiqWF_2HiP-P9QpK84CTP6DxpoT_aG9fTdG9C1JMk/edit?gid=1535728046#gid=1535728046"",""DATA_ABSEN_JUNI25""),44,0)"),0)</f>
        <v>0</v>
      </c>
      <c r="AB160" s="61">
        <f ca="1">IFERROR(__xludf.DUMMYFUNCTION("VLOOKUP(C160,IMPORTRANGE(""https://docs.google.com/spreadsheets/d/1heLiqWF_2HiP-P9QpK84CTP6DxpoT_aG9fTdG9C1JMk/edit?gid=1535728046#gid=1535728046"",""DATA_ABSEN_JUNI25""),45,0)"),0)</f>
        <v>0</v>
      </c>
      <c r="AC160" s="61">
        <f ca="1">IFERROR(__xludf.DUMMYFUNCTION("VLOOKUP(C160,IMPORTRANGE(""https://docs.google.com/spreadsheets/d/1heLiqWF_2HiP-P9QpK84CTP6DxpoT_aG9fTdG9C1JMk/edit?gid=1535728046#gid=1535728046"",""DATA_ABSEN_JUNI25""),46,0)"),0)</f>
        <v>0</v>
      </c>
      <c r="AD160" s="125">
        <v>0</v>
      </c>
      <c r="AE160" s="69">
        <f t="shared" ca="1" si="121"/>
        <v>0</v>
      </c>
      <c r="AF160" s="20">
        <v>326819</v>
      </c>
      <c r="AG160" s="20">
        <v>176850</v>
      </c>
      <c r="AH160" s="69">
        <v>0</v>
      </c>
      <c r="AI160" s="69" t="e">
        <f t="shared" si="122"/>
        <v>#REF!</v>
      </c>
      <c r="AJ160" s="69">
        <v>0</v>
      </c>
      <c r="AK160" s="69" t="e">
        <f t="shared" si="123"/>
        <v>#REF!</v>
      </c>
      <c r="AL160" s="69">
        <v>0</v>
      </c>
      <c r="AM160" s="69">
        <f t="shared" ca="1" si="124"/>
        <v>503669</v>
      </c>
      <c r="AN160" s="69">
        <f t="shared" ca="1" si="125"/>
        <v>6681648</v>
      </c>
      <c r="AO160" s="69">
        <f t="shared" ca="1" si="126"/>
        <v>87296.347500000003</v>
      </c>
      <c r="AP160" s="69">
        <f t="shared" ca="1" si="127"/>
        <v>6594351.6524999999</v>
      </c>
      <c r="AQ160" s="69">
        <f t="shared" ca="1" si="128"/>
        <v>6594351.6524999999</v>
      </c>
      <c r="AR160" s="70">
        <f t="shared" ca="1" si="129"/>
        <v>6594351.6524999999</v>
      </c>
      <c r="AS160" s="113"/>
      <c r="AT160" s="73" t="s">
        <v>9</v>
      </c>
      <c r="AU160" s="61" t="s">
        <v>10</v>
      </c>
      <c r="AV160" s="69">
        <f t="shared" si="130"/>
        <v>3537000</v>
      </c>
      <c r="AW160" s="69">
        <f t="shared" ca="1" si="131"/>
        <v>2766394</v>
      </c>
      <c r="AX160" s="69">
        <f t="shared" ca="1" si="132"/>
        <v>519734</v>
      </c>
      <c r="AY160" s="69">
        <v>0</v>
      </c>
      <c r="AZ160" s="69">
        <f t="shared" si="133"/>
        <v>8488.7999999999993</v>
      </c>
      <c r="BA160" s="69">
        <f t="shared" si="134"/>
        <v>10611</v>
      </c>
      <c r="BB160" s="69">
        <f t="shared" si="135"/>
        <v>141480</v>
      </c>
      <c r="BC160" s="69">
        <f t="shared" ca="1" si="136"/>
        <v>6983707.7999999998</v>
      </c>
      <c r="BD160" s="74">
        <f ca="1">IF(AU160="C",VLOOKUP(BC160,TER!$J$4:$L$50,3,TRUE),IF(AU160="B",VLOOKUP(BC160,TER!$F$4:$H$50,3,TRUE),IF(AU160="A",VLOOKUP(BC160,TER!$B$4:$D$50,3,TRUE),"ERROR")))</f>
        <v>1.2500000000000001E-2</v>
      </c>
      <c r="BE160" s="69">
        <f t="shared" ca="1" si="137"/>
        <v>87296.347500000003</v>
      </c>
      <c r="BF160" s="113"/>
      <c r="BG160" s="113"/>
    </row>
    <row r="161" spans="1:59" ht="13.5" hidden="1" customHeight="1">
      <c r="A161" s="113"/>
      <c r="B161" s="224">
        <v>6</v>
      </c>
      <c r="C161" s="97" t="s">
        <v>459</v>
      </c>
      <c r="D161" s="98" t="s">
        <v>460</v>
      </c>
      <c r="E161" s="67" t="s">
        <v>57</v>
      </c>
      <c r="F161" s="68" t="s">
        <v>461</v>
      </c>
      <c r="G161" s="67" t="s">
        <v>31</v>
      </c>
      <c r="H161" s="66" t="s">
        <v>32</v>
      </c>
      <c r="I161" s="69">
        <f t="shared" si="113"/>
        <v>3537000</v>
      </c>
      <c r="J161" s="70">
        <v>220709</v>
      </c>
      <c r="K161" s="70">
        <v>141480</v>
      </c>
      <c r="L161" s="70">
        <v>2766394</v>
      </c>
      <c r="M161" s="69">
        <f t="shared" ca="1" si="114"/>
        <v>110655.76</v>
      </c>
      <c r="N161" s="61">
        <f ca="1">IFERROR(__xludf.DUMMYFUNCTION("VLOOKUP(C161,IMPORTRANGE(""https://docs.google.com/spreadsheets/d/1rlIahxEPRJNi2AZ1Wg_ST6ULVsuP72ohSpCzHj_8yUg/edit?gid=18363260#gid=18363260"",""SCHEDULE_KAI_JULI25""),39,0)"),22)</f>
        <v>22</v>
      </c>
      <c r="O161" s="61">
        <f ca="1">IFERROR(__xludf.DUMMYFUNCTION("VLOOKUP(C161,IMPORTRANGE(""https://docs.google.com/spreadsheets/d/1rlIahxEPRJNi2AZ1Wg_ST6ULVsuP72ohSpCzHj_8yUg/edit?gid=18363260#gid=18363260"",""SCHEDULE_KAI_JULI25""),40,0)"),25)</f>
        <v>25</v>
      </c>
      <c r="P161" s="69">
        <f t="shared" ca="1" si="115"/>
        <v>2434426.7199999997</v>
      </c>
      <c r="Q161" s="66"/>
      <c r="R161" s="69">
        <f t="shared" si="116"/>
        <v>6665583</v>
      </c>
      <c r="S161" s="69">
        <f t="shared" ca="1" si="117"/>
        <v>6333615.7199999997</v>
      </c>
      <c r="T161" s="69">
        <f t="shared" ca="1" si="118"/>
        <v>0</v>
      </c>
      <c r="U161" s="20">
        <v>259867</v>
      </c>
      <c r="V161" s="177">
        <f ca="1">IFERROR(__xludf.DUMMYFUNCTION("VLOOKUP(C161,IMPORTRANGE(""https://docs.google.com/spreadsheets/d/1heLiqWF_2HiP-P9QpK84CTP6DxpoT_aG9fTdG9C1JMk/edit?gid=1535728046#gid=1535728046"",""DATA_ABSEN_JUNI25""),41,0)"),1)</f>
        <v>1</v>
      </c>
      <c r="W161" s="69">
        <f t="shared" ca="1" si="119"/>
        <v>259867</v>
      </c>
      <c r="X161" s="69">
        <v>0</v>
      </c>
      <c r="Y161" s="69">
        <f t="shared" ca="1" si="120"/>
        <v>6593482.7199999997</v>
      </c>
      <c r="Z161" s="61">
        <f ca="1">IFERROR(__xludf.DUMMYFUNCTION("VLOOKUP(C161,IMPORTRANGE(""https://docs.google.com/spreadsheets/d/1heLiqWF_2HiP-P9QpK84CTP6DxpoT_aG9fTdG9C1JMk/edit?gid=1535728046#gid=1535728046"",""DATA_ABSEN_JUNI25""),42,0)+VLOOKUP(C161,IMPORTRANGE(""https://docs.google.com/spreadsheets/d/1heLiqWF_2Hi"&amp;"P-P9QpK84CTP6DxpoT_aG9fTdG9C1JMk/edit?gid=1535728046#gid=1535728046"",""DATA_ABSEN_JUNI25""),43,0)"),2)</f>
        <v>2</v>
      </c>
      <c r="AA161" s="61">
        <f ca="1">IFERROR(__xludf.DUMMYFUNCTION("VLOOKUP(C161,IMPORTRANGE(""https://docs.google.com/spreadsheets/d/1heLiqWF_2HiP-P9QpK84CTP6DxpoT_aG9fTdG9C1JMk/edit?gid=1535728046#gid=1535728046"",""DATA_ABSEN_JUNI25""),44,0)"),4)</f>
        <v>4</v>
      </c>
      <c r="AB161" s="61">
        <f ca="1">IFERROR(__xludf.DUMMYFUNCTION("VLOOKUP(C161,IMPORTRANGE(""https://docs.google.com/spreadsheets/d/1heLiqWF_2HiP-P9QpK84CTP6DxpoT_aG9fTdG9C1JMk/edit?gid=1535728046#gid=1535728046"",""DATA_ABSEN_JUNI25""),45,0)"),3)</f>
        <v>3</v>
      </c>
      <c r="AC161" s="61">
        <f ca="1">IFERROR(__xludf.DUMMYFUNCTION("VLOOKUP(C161,IMPORTRANGE(""https://docs.google.com/spreadsheets/d/1heLiqWF_2HiP-P9QpK84CTP6DxpoT_aG9fTdG9C1JMk/edit?gid=1535728046#gid=1535728046"",""DATA_ABSEN_JUNI25""),46,0)"),0)</f>
        <v>0</v>
      </c>
      <c r="AD161" s="125">
        <v>0</v>
      </c>
      <c r="AE161" s="69">
        <f t="shared" ca="1" si="121"/>
        <v>1559202</v>
      </c>
      <c r="AF161" s="20">
        <v>326819</v>
      </c>
      <c r="AG161" s="20">
        <v>176850</v>
      </c>
      <c r="AH161" s="69">
        <v>0</v>
      </c>
      <c r="AI161" s="69" t="e">
        <f t="shared" si="122"/>
        <v>#REF!</v>
      </c>
      <c r="AJ161" s="69">
        <v>0</v>
      </c>
      <c r="AK161" s="69" t="e">
        <f t="shared" si="123"/>
        <v>#REF!</v>
      </c>
      <c r="AL161" s="69">
        <v>0</v>
      </c>
      <c r="AM161" s="69">
        <f t="shared" ca="1" si="124"/>
        <v>2062871</v>
      </c>
      <c r="AN161" s="69">
        <f t="shared" ca="1" si="125"/>
        <v>4530611.72</v>
      </c>
      <c r="AO161" s="69">
        <f t="shared" ca="1" si="126"/>
        <v>63918.735199999996</v>
      </c>
      <c r="AP161" s="69">
        <f t="shared" ca="1" si="127"/>
        <v>4466692.9847999997</v>
      </c>
      <c r="AQ161" s="69">
        <f t="shared" ca="1" si="128"/>
        <v>4466692.9847999997</v>
      </c>
      <c r="AR161" s="70">
        <f t="shared" ca="1" si="129"/>
        <v>4466692.9847999997</v>
      </c>
      <c r="AS161" s="113"/>
      <c r="AT161" s="73" t="s">
        <v>9</v>
      </c>
      <c r="AU161" s="61" t="s">
        <v>10</v>
      </c>
      <c r="AV161" s="69">
        <f t="shared" si="130"/>
        <v>3537000</v>
      </c>
      <c r="AW161" s="69">
        <f t="shared" ca="1" si="131"/>
        <v>2434426.7199999997</v>
      </c>
      <c r="AX161" s="69">
        <f t="shared" ca="1" si="132"/>
        <v>259867</v>
      </c>
      <c r="AY161" s="69">
        <v>0</v>
      </c>
      <c r="AZ161" s="69">
        <f t="shared" si="133"/>
        <v>8488.7999999999993</v>
      </c>
      <c r="BA161" s="69">
        <f t="shared" si="134"/>
        <v>10611</v>
      </c>
      <c r="BB161" s="69">
        <f t="shared" si="135"/>
        <v>141480</v>
      </c>
      <c r="BC161" s="69">
        <f t="shared" ca="1" si="136"/>
        <v>6391873.5199999996</v>
      </c>
      <c r="BD161" s="74">
        <f ca="1">IF(AU161="C",VLOOKUP(BC161,TER!$J$4:$L$50,3,TRUE),IF(AU161="B",VLOOKUP(BC161,TER!$F$4:$H$50,3,TRUE),IF(AU161="A",VLOOKUP(BC161,TER!$B$4:$D$50,3,TRUE),"ERROR")))</f>
        <v>0.01</v>
      </c>
      <c r="BE161" s="69">
        <f t="shared" ca="1" si="137"/>
        <v>63918.735199999996</v>
      </c>
      <c r="BF161" s="113"/>
      <c r="BG161" s="113"/>
    </row>
    <row r="162" spans="1:59" ht="13.5" hidden="1" customHeight="1">
      <c r="A162" s="113"/>
      <c r="B162" s="224">
        <v>7</v>
      </c>
      <c r="C162" s="68" t="s">
        <v>462</v>
      </c>
      <c r="D162" s="98" t="s">
        <v>463</v>
      </c>
      <c r="E162" s="67" t="s">
        <v>57</v>
      </c>
      <c r="F162" s="68" t="s">
        <v>1242</v>
      </c>
      <c r="G162" s="67" t="s">
        <v>31</v>
      </c>
      <c r="H162" s="66" t="s">
        <v>32</v>
      </c>
      <c r="I162" s="69">
        <f t="shared" si="113"/>
        <v>3537000</v>
      </c>
      <c r="J162" s="70">
        <v>220709</v>
      </c>
      <c r="K162" s="70">
        <v>141480</v>
      </c>
      <c r="L162" s="70">
        <v>2766394</v>
      </c>
      <c r="M162" s="69">
        <f t="shared" ca="1" si="114"/>
        <v>110655.76</v>
      </c>
      <c r="N162" s="61">
        <f ca="1">IFERROR(__xludf.DUMMYFUNCTION("VLOOKUP(C162,IMPORTRANGE(""https://docs.google.com/spreadsheets/d/1rlIahxEPRJNi2AZ1Wg_ST6ULVsuP72ohSpCzHj_8yUg/edit?gid=18363260#gid=18363260"",""SCHEDULE_KAI_JULI25""),39,0)"),25)</f>
        <v>25</v>
      </c>
      <c r="O162" s="61">
        <f ca="1">IFERROR(__xludf.DUMMYFUNCTION("VLOOKUP(C162,IMPORTRANGE(""https://docs.google.com/spreadsheets/d/1rlIahxEPRJNi2AZ1Wg_ST6ULVsuP72ohSpCzHj_8yUg/edit?gid=18363260#gid=18363260"",""SCHEDULE_KAI_JULI25""),40,0)"),25)</f>
        <v>25</v>
      </c>
      <c r="P162" s="69">
        <f t="shared" ca="1" si="115"/>
        <v>2766394</v>
      </c>
      <c r="Q162" s="66"/>
      <c r="R162" s="69">
        <f t="shared" si="116"/>
        <v>6665583</v>
      </c>
      <c r="S162" s="69">
        <f t="shared" ca="1" si="117"/>
        <v>6665583</v>
      </c>
      <c r="T162" s="69">
        <f t="shared" ca="1" si="118"/>
        <v>0</v>
      </c>
      <c r="U162" s="20">
        <v>259867</v>
      </c>
      <c r="V162" s="177">
        <f ca="1">IFERROR(__xludf.DUMMYFUNCTION("VLOOKUP(C162,IMPORTRANGE(""https://docs.google.com/spreadsheets/d/1heLiqWF_2HiP-P9QpK84CTP6DxpoT_aG9fTdG9C1JMk/edit?gid=1535728046#gid=1535728046"",""DATA_ABSEN_JUNI25""),41,0)"),1)</f>
        <v>1</v>
      </c>
      <c r="W162" s="69">
        <f t="shared" ca="1" si="119"/>
        <v>259867</v>
      </c>
      <c r="X162" s="69">
        <v>0</v>
      </c>
      <c r="Y162" s="69">
        <f t="shared" ca="1" si="120"/>
        <v>6925450</v>
      </c>
      <c r="Z162" s="61">
        <f ca="1">IFERROR(__xludf.DUMMYFUNCTION("VLOOKUP(C162,IMPORTRANGE(""https://docs.google.com/spreadsheets/d/1heLiqWF_2HiP-P9QpK84CTP6DxpoT_aG9fTdG9C1JMk/edit?gid=1535728046#gid=1535728046"",""DATA_ABSEN_JUNI25""),42,0)+VLOOKUP(C162,IMPORTRANGE(""https://docs.google.com/spreadsheets/d/1heLiqWF_2Hi"&amp;"P-P9QpK84CTP6DxpoT_aG9fTdG9C1JMk/edit?gid=1535728046#gid=1535728046"",""DATA_ABSEN_JUNI25""),43,0)"),0)</f>
        <v>0</v>
      </c>
      <c r="AA162" s="61">
        <f ca="1">IFERROR(__xludf.DUMMYFUNCTION("VLOOKUP(C162,IMPORTRANGE(""https://docs.google.com/spreadsheets/d/1heLiqWF_2HiP-P9QpK84CTP6DxpoT_aG9fTdG9C1JMk/edit?gid=1535728046#gid=1535728046"",""DATA_ABSEN_JUNI25""),44,0)"),0)</f>
        <v>0</v>
      </c>
      <c r="AB162" s="61">
        <f ca="1">IFERROR(__xludf.DUMMYFUNCTION("VLOOKUP(C162,IMPORTRANGE(""https://docs.google.com/spreadsheets/d/1heLiqWF_2HiP-P9QpK84CTP6DxpoT_aG9fTdG9C1JMk/edit?gid=1535728046#gid=1535728046"",""DATA_ABSEN_JUNI25""),45,0)"),0)</f>
        <v>0</v>
      </c>
      <c r="AC162" s="61">
        <f ca="1">IFERROR(__xludf.DUMMYFUNCTION("VLOOKUP(C162,IMPORTRANGE(""https://docs.google.com/spreadsheets/d/1heLiqWF_2HiP-P9QpK84CTP6DxpoT_aG9fTdG9C1JMk/edit?gid=1535728046#gid=1535728046"",""DATA_ABSEN_JUNI25""),46,0)"),0)</f>
        <v>0</v>
      </c>
      <c r="AD162" s="125">
        <v>0</v>
      </c>
      <c r="AE162" s="69">
        <f t="shared" ca="1" si="121"/>
        <v>0</v>
      </c>
      <c r="AF162" s="20">
        <v>326819</v>
      </c>
      <c r="AG162" s="20">
        <v>176850</v>
      </c>
      <c r="AH162" s="69">
        <v>0</v>
      </c>
      <c r="AI162" s="69" t="e">
        <f t="shared" si="122"/>
        <v>#REF!</v>
      </c>
      <c r="AJ162" s="69">
        <v>0</v>
      </c>
      <c r="AK162" s="69" t="e">
        <f t="shared" si="123"/>
        <v>#REF!</v>
      </c>
      <c r="AL162" s="69">
        <v>0</v>
      </c>
      <c r="AM162" s="69">
        <f t="shared" ca="1" si="124"/>
        <v>503669</v>
      </c>
      <c r="AN162" s="69">
        <f t="shared" ca="1" si="125"/>
        <v>6421781</v>
      </c>
      <c r="AO162" s="69">
        <f t="shared" ca="1" si="126"/>
        <v>67238.407999999996</v>
      </c>
      <c r="AP162" s="69">
        <f t="shared" ca="1" si="127"/>
        <v>6354542.5920000002</v>
      </c>
      <c r="AQ162" s="69">
        <f t="shared" ca="1" si="128"/>
        <v>6354542.5920000002</v>
      </c>
      <c r="AR162" s="70">
        <f t="shared" ca="1" si="129"/>
        <v>6354542.5920000002</v>
      </c>
      <c r="AS162" s="113"/>
      <c r="AT162" s="73" t="s">
        <v>9</v>
      </c>
      <c r="AU162" s="61" t="s">
        <v>10</v>
      </c>
      <c r="AV162" s="69">
        <f t="shared" si="130"/>
        <v>3537000</v>
      </c>
      <c r="AW162" s="69">
        <f t="shared" ca="1" si="131"/>
        <v>2766394</v>
      </c>
      <c r="AX162" s="69">
        <f t="shared" ca="1" si="132"/>
        <v>259867</v>
      </c>
      <c r="AY162" s="69">
        <v>0</v>
      </c>
      <c r="AZ162" s="69">
        <f t="shared" si="133"/>
        <v>8488.7999999999993</v>
      </c>
      <c r="BA162" s="69">
        <f t="shared" si="134"/>
        <v>10611</v>
      </c>
      <c r="BB162" s="69">
        <f t="shared" si="135"/>
        <v>141480</v>
      </c>
      <c r="BC162" s="69">
        <f t="shared" ca="1" si="136"/>
        <v>6723840.7999999998</v>
      </c>
      <c r="BD162" s="74">
        <f ca="1">IF(AU162="C",VLOOKUP(BC162,TER!$J$4:$L$50,3,TRUE),IF(AU162="B",VLOOKUP(BC162,TER!$F$4:$H$50,3,TRUE),IF(AU162="A",VLOOKUP(BC162,TER!$B$4:$D$50,3,TRUE),"ERROR")))</f>
        <v>0.01</v>
      </c>
      <c r="BE162" s="69">
        <f t="shared" ca="1" si="137"/>
        <v>67238.407999999996</v>
      </c>
      <c r="BF162" s="113"/>
      <c r="BG162" s="113"/>
    </row>
    <row r="163" spans="1:59" ht="13.5" hidden="1" customHeight="1">
      <c r="A163" s="113"/>
      <c r="B163" s="224">
        <v>8</v>
      </c>
      <c r="C163" s="68" t="s">
        <v>464</v>
      </c>
      <c r="D163" s="98" t="s">
        <v>465</v>
      </c>
      <c r="E163" s="67" t="s">
        <v>57</v>
      </c>
      <c r="F163" s="68" t="s">
        <v>466</v>
      </c>
      <c r="G163" s="67" t="s">
        <v>31</v>
      </c>
      <c r="H163" s="66" t="s">
        <v>32</v>
      </c>
      <c r="I163" s="69">
        <f t="shared" si="113"/>
        <v>3537000</v>
      </c>
      <c r="J163" s="70">
        <v>220709</v>
      </c>
      <c r="K163" s="70">
        <v>141480</v>
      </c>
      <c r="L163" s="70">
        <v>2766394</v>
      </c>
      <c r="M163" s="69">
        <f t="shared" ca="1" si="114"/>
        <v>115266.41666666667</v>
      </c>
      <c r="N163" s="61">
        <f ca="1">IFERROR(__xludf.DUMMYFUNCTION("VLOOKUP(C163,IMPORTRANGE(""https://docs.google.com/spreadsheets/d/1rlIahxEPRJNi2AZ1Wg_ST6ULVsuP72ohSpCzHj_8yUg/edit?gid=18363260#gid=18363260"",""SCHEDULE_KAI_JULI25""),39,0)"),24)</f>
        <v>24</v>
      </c>
      <c r="O163" s="61">
        <f ca="1">IFERROR(__xludf.DUMMYFUNCTION("VLOOKUP(C163,IMPORTRANGE(""https://docs.google.com/spreadsheets/d/1rlIahxEPRJNi2AZ1Wg_ST6ULVsuP72ohSpCzHj_8yUg/edit?gid=18363260#gid=18363260"",""SCHEDULE_KAI_JULI25""),40,0)"),24)</f>
        <v>24</v>
      </c>
      <c r="P163" s="69">
        <f t="shared" ca="1" si="115"/>
        <v>2766394</v>
      </c>
      <c r="Q163" s="66"/>
      <c r="R163" s="69">
        <f t="shared" si="116"/>
        <v>6665583</v>
      </c>
      <c r="S163" s="69">
        <f t="shared" ca="1" si="117"/>
        <v>6665583</v>
      </c>
      <c r="T163" s="69">
        <f t="shared" ca="1" si="118"/>
        <v>0</v>
      </c>
      <c r="U163" s="20">
        <v>259867</v>
      </c>
      <c r="V163" s="177">
        <f ca="1">IFERROR(__xludf.DUMMYFUNCTION("VLOOKUP(C163,IMPORTRANGE(""https://docs.google.com/spreadsheets/d/1heLiqWF_2HiP-P9QpK84CTP6DxpoT_aG9fTdG9C1JMk/edit?gid=1535728046#gid=1535728046"",""DATA_ABSEN_JUNI25""),41,0)"),2)</f>
        <v>2</v>
      </c>
      <c r="W163" s="69">
        <f t="shared" ca="1" si="119"/>
        <v>519734</v>
      </c>
      <c r="X163" s="69">
        <v>0</v>
      </c>
      <c r="Y163" s="69">
        <f t="shared" ca="1" si="120"/>
        <v>7185317</v>
      </c>
      <c r="Z163" s="61">
        <f ca="1">IFERROR(__xludf.DUMMYFUNCTION("VLOOKUP(C163,IMPORTRANGE(""https://docs.google.com/spreadsheets/d/1heLiqWF_2HiP-P9QpK84CTP6DxpoT_aG9fTdG9C1JMk/edit?gid=1535728046#gid=1535728046"",""DATA_ABSEN_JUNI25""),42,0)+VLOOKUP(C163,IMPORTRANGE(""https://docs.google.com/spreadsheets/d/1heLiqWF_2Hi"&amp;"P-P9QpK84CTP6DxpoT_aG9fTdG9C1JMk/edit?gid=1535728046#gid=1535728046"",""DATA_ABSEN_JUNI25""),43,0)"),0)</f>
        <v>0</v>
      </c>
      <c r="AA163" s="61">
        <f ca="1">IFERROR(__xludf.DUMMYFUNCTION("VLOOKUP(C163,IMPORTRANGE(""https://docs.google.com/spreadsheets/d/1heLiqWF_2HiP-P9QpK84CTP6DxpoT_aG9fTdG9C1JMk/edit?gid=1535728046#gid=1535728046"",""DATA_ABSEN_JUNI25""),44,0)"),0)</f>
        <v>0</v>
      </c>
      <c r="AB163" s="61">
        <f ca="1">IFERROR(__xludf.DUMMYFUNCTION("VLOOKUP(C163,IMPORTRANGE(""https://docs.google.com/spreadsheets/d/1heLiqWF_2HiP-P9QpK84CTP6DxpoT_aG9fTdG9C1JMk/edit?gid=1535728046#gid=1535728046"",""DATA_ABSEN_JUNI25""),45,0)"),0)</f>
        <v>0</v>
      </c>
      <c r="AC163" s="61">
        <f ca="1">IFERROR(__xludf.DUMMYFUNCTION("VLOOKUP(C163,IMPORTRANGE(""https://docs.google.com/spreadsheets/d/1heLiqWF_2HiP-P9QpK84CTP6DxpoT_aG9fTdG9C1JMk/edit?gid=1535728046#gid=1535728046"",""DATA_ABSEN_JUNI25""),46,0)"),2)</f>
        <v>2</v>
      </c>
      <c r="AD163" s="125">
        <v>0</v>
      </c>
      <c r="AE163" s="69">
        <f t="shared" ca="1" si="121"/>
        <v>1039468</v>
      </c>
      <c r="AF163" s="20">
        <v>326819</v>
      </c>
      <c r="AG163" s="20">
        <v>176850</v>
      </c>
      <c r="AH163" s="69">
        <v>0</v>
      </c>
      <c r="AI163" s="69" t="e">
        <f t="shared" si="122"/>
        <v>#REF!</v>
      </c>
      <c r="AJ163" s="69">
        <v>0</v>
      </c>
      <c r="AK163" s="69" t="e">
        <f t="shared" si="123"/>
        <v>#REF!</v>
      </c>
      <c r="AL163" s="69">
        <v>0</v>
      </c>
      <c r="AM163" s="69">
        <f t="shared" ca="1" si="124"/>
        <v>1543137</v>
      </c>
      <c r="AN163" s="69">
        <f t="shared" ca="1" si="125"/>
        <v>5642180</v>
      </c>
      <c r="AO163" s="69">
        <f t="shared" ca="1" si="126"/>
        <v>87296.347500000003</v>
      </c>
      <c r="AP163" s="69">
        <f t="shared" ca="1" si="127"/>
        <v>5554883.6524999999</v>
      </c>
      <c r="AQ163" s="69">
        <f t="shared" ca="1" si="128"/>
        <v>5554883.6524999999</v>
      </c>
      <c r="AR163" s="70">
        <f t="shared" ca="1" si="129"/>
        <v>5554883.6524999999</v>
      </c>
      <c r="AS163" s="113"/>
      <c r="AT163" s="73" t="s">
        <v>9</v>
      </c>
      <c r="AU163" s="61" t="s">
        <v>10</v>
      </c>
      <c r="AV163" s="69">
        <f t="shared" si="130"/>
        <v>3537000</v>
      </c>
      <c r="AW163" s="69">
        <f t="shared" ca="1" si="131"/>
        <v>2766394</v>
      </c>
      <c r="AX163" s="69">
        <f t="shared" ca="1" si="132"/>
        <v>519734</v>
      </c>
      <c r="AY163" s="69">
        <v>0</v>
      </c>
      <c r="AZ163" s="69">
        <f t="shared" si="133"/>
        <v>8488.7999999999993</v>
      </c>
      <c r="BA163" s="69">
        <f t="shared" si="134"/>
        <v>10611</v>
      </c>
      <c r="BB163" s="69">
        <f t="shared" si="135"/>
        <v>141480</v>
      </c>
      <c r="BC163" s="69">
        <f t="shared" ca="1" si="136"/>
        <v>6983707.7999999998</v>
      </c>
      <c r="BD163" s="74">
        <f ca="1">IF(AU163="C",VLOOKUP(BC163,TER!$J$4:$L$50,3,TRUE),IF(AU163="B",VLOOKUP(BC163,TER!$F$4:$H$50,3,TRUE),IF(AU163="A",VLOOKUP(BC163,TER!$B$4:$D$50,3,TRUE),"ERROR")))</f>
        <v>1.2500000000000001E-2</v>
      </c>
      <c r="BE163" s="69">
        <f t="shared" ca="1" si="137"/>
        <v>87296.347500000003</v>
      </c>
      <c r="BF163" s="113"/>
      <c r="BG163" s="113"/>
    </row>
    <row r="164" spans="1:59" ht="13.5" hidden="1" customHeight="1">
      <c r="A164" s="113"/>
      <c r="B164" s="224">
        <v>9</v>
      </c>
      <c r="C164" s="68" t="s">
        <v>467</v>
      </c>
      <c r="D164" s="98" t="s">
        <v>468</v>
      </c>
      <c r="E164" s="67" t="s">
        <v>57</v>
      </c>
      <c r="F164" s="68" t="s">
        <v>1243</v>
      </c>
      <c r="G164" s="67" t="s">
        <v>31</v>
      </c>
      <c r="H164" s="66" t="s">
        <v>32</v>
      </c>
      <c r="I164" s="69">
        <f t="shared" si="113"/>
        <v>3537000</v>
      </c>
      <c r="J164" s="70">
        <v>220709</v>
      </c>
      <c r="K164" s="70">
        <v>141480</v>
      </c>
      <c r="L164" s="70">
        <v>2766394</v>
      </c>
      <c r="M164" s="69">
        <f t="shared" ca="1" si="114"/>
        <v>110655.76</v>
      </c>
      <c r="N164" s="61">
        <f ca="1">IFERROR(__xludf.DUMMYFUNCTION("VLOOKUP(C164,IMPORTRANGE(""https://docs.google.com/spreadsheets/d/1rlIahxEPRJNi2AZ1Wg_ST6ULVsuP72ohSpCzHj_8yUg/edit?gid=18363260#gid=18363260"",""SCHEDULE_KAI_JULI25""),39,0)"),23)</f>
        <v>23</v>
      </c>
      <c r="O164" s="61">
        <f ca="1">IFERROR(__xludf.DUMMYFUNCTION("VLOOKUP(C164,IMPORTRANGE(""https://docs.google.com/spreadsheets/d/1rlIahxEPRJNi2AZ1Wg_ST6ULVsuP72ohSpCzHj_8yUg/edit?gid=18363260#gid=18363260"",""SCHEDULE_KAI_JULI25""),40,0)"),25)</f>
        <v>25</v>
      </c>
      <c r="P164" s="69">
        <f t="shared" ca="1" si="115"/>
        <v>2545082.48</v>
      </c>
      <c r="Q164" s="66"/>
      <c r="R164" s="69">
        <f t="shared" si="116"/>
        <v>6665583</v>
      </c>
      <c r="S164" s="69">
        <f t="shared" ca="1" si="117"/>
        <v>6444271.4800000004</v>
      </c>
      <c r="T164" s="69">
        <f t="shared" ca="1" si="118"/>
        <v>0</v>
      </c>
      <c r="U164" s="20">
        <v>259867</v>
      </c>
      <c r="V164" s="177">
        <f ca="1">IFERROR(__xludf.DUMMYFUNCTION("VLOOKUP(C164,IMPORTRANGE(""https://docs.google.com/spreadsheets/d/1heLiqWF_2HiP-P9QpK84CTP6DxpoT_aG9fTdG9C1JMk/edit?gid=1535728046#gid=1535728046"",""DATA_ABSEN_JUNI25""),41,0)"),1)</f>
        <v>1</v>
      </c>
      <c r="W164" s="69">
        <f t="shared" ca="1" si="119"/>
        <v>259867</v>
      </c>
      <c r="X164" s="69">
        <v>0</v>
      </c>
      <c r="Y164" s="69">
        <f t="shared" ca="1" si="120"/>
        <v>6704138.4800000004</v>
      </c>
      <c r="Z164" s="61">
        <f ca="1">IFERROR(__xludf.DUMMYFUNCTION("VLOOKUP(C164,IMPORTRANGE(""https://docs.google.com/spreadsheets/d/1heLiqWF_2HiP-P9QpK84CTP6DxpoT_aG9fTdG9C1JMk/edit?gid=1535728046#gid=1535728046"",""DATA_ABSEN_JUNI25""),42,0)+VLOOKUP(C164,IMPORTRANGE(""https://docs.google.com/spreadsheets/d/1heLiqWF_2Hi"&amp;"P-P9QpK84CTP6DxpoT_aG9fTdG9C1JMk/edit?gid=1535728046#gid=1535728046"",""DATA_ABSEN_JUNI25""),43,0)"),0)</f>
        <v>0</v>
      </c>
      <c r="AA164" s="61">
        <f ca="1">IFERROR(__xludf.DUMMYFUNCTION("VLOOKUP(C164,IMPORTRANGE(""https://docs.google.com/spreadsheets/d/1heLiqWF_2HiP-P9QpK84CTP6DxpoT_aG9fTdG9C1JMk/edit?gid=1535728046#gid=1535728046"",""DATA_ABSEN_JUNI25""),44,0)"),0)</f>
        <v>0</v>
      </c>
      <c r="AB164" s="61">
        <f ca="1">IFERROR(__xludf.DUMMYFUNCTION("VLOOKUP(C164,IMPORTRANGE(""https://docs.google.com/spreadsheets/d/1heLiqWF_2HiP-P9QpK84CTP6DxpoT_aG9fTdG9C1JMk/edit?gid=1535728046#gid=1535728046"",""DATA_ABSEN_JUNI25""),45,0)"),0)</f>
        <v>0</v>
      </c>
      <c r="AC164" s="61">
        <f ca="1">IFERROR(__xludf.DUMMYFUNCTION("VLOOKUP(C164,IMPORTRANGE(""https://docs.google.com/spreadsheets/d/1heLiqWF_2HiP-P9QpK84CTP6DxpoT_aG9fTdG9C1JMk/edit?gid=1535728046#gid=1535728046"",""DATA_ABSEN_JUNI25""),46,0)"),0)</f>
        <v>0</v>
      </c>
      <c r="AD164" s="125">
        <v>0</v>
      </c>
      <c r="AE164" s="69">
        <f t="shared" ca="1" si="121"/>
        <v>0</v>
      </c>
      <c r="AF164" s="20">
        <v>326819</v>
      </c>
      <c r="AG164" s="20">
        <v>176850</v>
      </c>
      <c r="AH164" s="69">
        <v>0</v>
      </c>
      <c r="AI164" s="69" t="e">
        <f t="shared" si="122"/>
        <v>#REF!</v>
      </c>
      <c r="AJ164" s="69">
        <v>0</v>
      </c>
      <c r="AK164" s="69" t="e">
        <f t="shared" si="123"/>
        <v>#REF!</v>
      </c>
      <c r="AL164" s="69">
        <v>0</v>
      </c>
      <c r="AM164" s="69">
        <f t="shared" ca="1" si="124"/>
        <v>503669</v>
      </c>
      <c r="AN164" s="69">
        <f t="shared" ca="1" si="125"/>
        <v>6200469.4800000004</v>
      </c>
      <c r="AO164" s="69">
        <f t="shared" ca="1" si="126"/>
        <v>32512.646400000001</v>
      </c>
      <c r="AP164" s="69">
        <f t="shared" ca="1" si="127"/>
        <v>6167956.8336000005</v>
      </c>
      <c r="AQ164" s="69">
        <f t="shared" ca="1" si="128"/>
        <v>6167956.8336000005</v>
      </c>
      <c r="AR164" s="70">
        <f t="shared" ca="1" si="129"/>
        <v>6167956.8336000005</v>
      </c>
      <c r="AS164" s="113"/>
      <c r="AT164" s="73" t="s">
        <v>18</v>
      </c>
      <c r="AU164" s="61" t="s">
        <v>15</v>
      </c>
      <c r="AV164" s="69">
        <f t="shared" si="130"/>
        <v>3537000</v>
      </c>
      <c r="AW164" s="69">
        <f t="shared" ca="1" si="131"/>
        <v>2545082.48</v>
      </c>
      <c r="AX164" s="69">
        <f t="shared" ca="1" si="132"/>
        <v>259867</v>
      </c>
      <c r="AY164" s="69">
        <v>0</v>
      </c>
      <c r="AZ164" s="69">
        <f t="shared" si="133"/>
        <v>8488.7999999999993</v>
      </c>
      <c r="BA164" s="69">
        <f t="shared" si="134"/>
        <v>10611</v>
      </c>
      <c r="BB164" s="69">
        <f t="shared" si="135"/>
        <v>141480</v>
      </c>
      <c r="BC164" s="69">
        <f t="shared" ca="1" si="136"/>
        <v>6502529.2800000003</v>
      </c>
      <c r="BD164" s="74">
        <f ca="1">IF(AU164="C",VLOOKUP(BC164,TER!$J$4:$L$50,3,TRUE),IF(AU164="B",VLOOKUP(BC164,TER!$F$4:$H$50,3,TRUE),IF(AU164="A",VLOOKUP(BC164,TER!$B$4:$D$50,3,TRUE),"ERROR")))</f>
        <v>5.0000000000000001E-3</v>
      </c>
      <c r="BE164" s="69">
        <f t="shared" ca="1" si="137"/>
        <v>32512.646400000001</v>
      </c>
      <c r="BF164" s="113"/>
      <c r="BG164" s="113"/>
    </row>
    <row r="165" spans="1:59" ht="13.5" hidden="1" customHeight="1">
      <c r="A165" s="113"/>
      <c r="B165" s="224">
        <v>10</v>
      </c>
      <c r="C165" s="95" t="s">
        <v>469</v>
      </c>
      <c r="D165" s="187" t="s">
        <v>470</v>
      </c>
      <c r="E165" s="67" t="s">
        <v>57</v>
      </c>
      <c r="F165" s="68" t="s">
        <v>471</v>
      </c>
      <c r="G165" s="67" t="s">
        <v>41</v>
      </c>
      <c r="H165" s="66" t="s">
        <v>32</v>
      </c>
      <c r="I165" s="69">
        <f t="shared" si="113"/>
        <v>3537000</v>
      </c>
      <c r="J165" s="70">
        <v>220709</v>
      </c>
      <c r="K165" s="70">
        <v>141480</v>
      </c>
      <c r="L165" s="70">
        <v>2766394</v>
      </c>
      <c r="M165" s="69">
        <f t="shared" ca="1" si="114"/>
        <v>110655.76</v>
      </c>
      <c r="N165" s="61">
        <f ca="1">IFERROR(__xludf.DUMMYFUNCTION("VLOOKUP(C165,IMPORTRANGE(""https://docs.google.com/spreadsheets/d/1rlIahxEPRJNi2AZ1Wg_ST6ULVsuP72ohSpCzHj_8yUg/edit?gid=18363260#gid=18363260"",""SCHEDULE_KAI_JULI25""),39,0)"),25)</f>
        <v>25</v>
      </c>
      <c r="O165" s="61">
        <f ca="1">IFERROR(__xludf.DUMMYFUNCTION("VLOOKUP(C165,IMPORTRANGE(""https://docs.google.com/spreadsheets/d/1rlIahxEPRJNi2AZ1Wg_ST6ULVsuP72ohSpCzHj_8yUg/edit?gid=18363260#gid=18363260"",""SCHEDULE_KAI_JULI25""),40,0)"),25)</f>
        <v>25</v>
      </c>
      <c r="P165" s="69">
        <f t="shared" ca="1" si="115"/>
        <v>2766394</v>
      </c>
      <c r="Q165" s="66"/>
      <c r="R165" s="69">
        <f t="shared" si="116"/>
        <v>6665583</v>
      </c>
      <c r="S165" s="69">
        <f t="shared" ca="1" si="117"/>
        <v>6665583</v>
      </c>
      <c r="T165" s="69">
        <f t="shared" ca="1" si="118"/>
        <v>0</v>
      </c>
      <c r="U165" s="20">
        <v>259867</v>
      </c>
      <c r="V165" s="177">
        <f ca="1">IFERROR(__xludf.DUMMYFUNCTION("VLOOKUP(C165,IMPORTRANGE(""https://docs.google.com/spreadsheets/d/1heLiqWF_2HiP-P9QpK84CTP6DxpoT_aG9fTdG9C1JMk/edit?gid=1535728046#gid=1535728046"",""DATA_ABSEN_JUNI25""),41,0)"),1)</f>
        <v>1</v>
      </c>
      <c r="W165" s="69">
        <f t="shared" ca="1" si="119"/>
        <v>259867</v>
      </c>
      <c r="X165" s="69">
        <v>0</v>
      </c>
      <c r="Y165" s="69">
        <f t="shared" ca="1" si="120"/>
        <v>6925450</v>
      </c>
      <c r="Z165" s="61">
        <f ca="1">IFERROR(__xludf.DUMMYFUNCTION("VLOOKUP(C165,IMPORTRANGE(""https://docs.google.com/spreadsheets/d/1heLiqWF_2HiP-P9QpK84CTP6DxpoT_aG9fTdG9C1JMk/edit?gid=1535728046#gid=1535728046"",""DATA_ABSEN_JUNI25""),42,0)+VLOOKUP(C165,IMPORTRANGE(""https://docs.google.com/spreadsheets/d/1heLiqWF_2Hi"&amp;"P-P9QpK84CTP6DxpoT_aG9fTdG9C1JMk/edit?gid=1535728046#gid=1535728046"",""DATA_ABSEN_JUNI25""),43,0)"),0)</f>
        <v>0</v>
      </c>
      <c r="AA165" s="61">
        <f ca="1">IFERROR(__xludf.DUMMYFUNCTION("VLOOKUP(C165,IMPORTRANGE(""https://docs.google.com/spreadsheets/d/1heLiqWF_2HiP-P9QpK84CTP6DxpoT_aG9fTdG9C1JMk/edit?gid=1535728046#gid=1535728046"",""DATA_ABSEN_JUNI25""),44,0)"),0)</f>
        <v>0</v>
      </c>
      <c r="AB165" s="61">
        <f ca="1">IFERROR(__xludf.DUMMYFUNCTION("VLOOKUP(C165,IMPORTRANGE(""https://docs.google.com/spreadsheets/d/1heLiqWF_2HiP-P9QpK84CTP6DxpoT_aG9fTdG9C1JMk/edit?gid=1535728046#gid=1535728046"",""DATA_ABSEN_JUNI25""),45,0)"),0)</f>
        <v>0</v>
      </c>
      <c r="AC165" s="61">
        <f ca="1">IFERROR(__xludf.DUMMYFUNCTION("VLOOKUP(C165,IMPORTRANGE(""https://docs.google.com/spreadsheets/d/1heLiqWF_2HiP-P9QpK84CTP6DxpoT_aG9fTdG9C1JMk/edit?gid=1535728046#gid=1535728046"",""DATA_ABSEN_JUNI25""),46,0)"),0)</f>
        <v>0</v>
      </c>
      <c r="AD165" s="125">
        <v>0</v>
      </c>
      <c r="AE165" s="69">
        <f t="shared" ca="1" si="121"/>
        <v>0</v>
      </c>
      <c r="AF165" s="20">
        <v>326819</v>
      </c>
      <c r="AG165" s="20">
        <v>176850</v>
      </c>
      <c r="AH165" s="69">
        <v>0</v>
      </c>
      <c r="AI165" s="69" t="e">
        <f t="shared" si="122"/>
        <v>#REF!</v>
      </c>
      <c r="AJ165" s="69">
        <v>0</v>
      </c>
      <c r="AK165" s="69" t="e">
        <f t="shared" si="123"/>
        <v>#REF!</v>
      </c>
      <c r="AL165" s="69">
        <v>0</v>
      </c>
      <c r="AM165" s="69">
        <f t="shared" ca="1" si="124"/>
        <v>503669</v>
      </c>
      <c r="AN165" s="69">
        <f t="shared" ca="1" si="125"/>
        <v>6421781</v>
      </c>
      <c r="AO165" s="69">
        <f t="shared" ca="1" si="126"/>
        <v>16809.601999999999</v>
      </c>
      <c r="AP165" s="69">
        <f t="shared" ca="1" si="127"/>
        <v>6404971.398</v>
      </c>
      <c r="AQ165" s="69">
        <f t="shared" ca="1" si="128"/>
        <v>6404971.398</v>
      </c>
      <c r="AR165" s="70">
        <f t="shared" ca="1" si="129"/>
        <v>6404971.398</v>
      </c>
      <c r="AS165" s="113"/>
      <c r="AT165" s="73" t="s">
        <v>8</v>
      </c>
      <c r="AU165" s="61" t="s">
        <v>19</v>
      </c>
      <c r="AV165" s="69">
        <f t="shared" si="130"/>
        <v>3537000</v>
      </c>
      <c r="AW165" s="69">
        <f t="shared" ca="1" si="131"/>
        <v>2766394</v>
      </c>
      <c r="AX165" s="69">
        <f t="shared" ca="1" si="132"/>
        <v>259867</v>
      </c>
      <c r="AY165" s="69">
        <v>0</v>
      </c>
      <c r="AZ165" s="69">
        <f t="shared" si="133"/>
        <v>8488.7999999999993</v>
      </c>
      <c r="BA165" s="69">
        <f t="shared" si="134"/>
        <v>10611</v>
      </c>
      <c r="BB165" s="69">
        <f t="shared" si="135"/>
        <v>141480</v>
      </c>
      <c r="BC165" s="69">
        <f t="shared" ca="1" si="136"/>
        <v>6723840.7999999998</v>
      </c>
      <c r="BD165" s="74">
        <f ca="1">IF(AU165="C",VLOOKUP(BC165,TER!$J$4:$L$50,3,TRUE),IF(AU165="B",VLOOKUP(BC165,TER!$F$4:$H$50,3,TRUE),IF(AU165="A",VLOOKUP(BC165,TER!$B$4:$D$50,3,TRUE),"ERROR")))</f>
        <v>2.5000000000000001E-3</v>
      </c>
      <c r="BE165" s="69">
        <f t="shared" ca="1" si="137"/>
        <v>16809.601999999999</v>
      </c>
      <c r="BF165" s="113"/>
      <c r="BG165" s="113"/>
    </row>
    <row r="166" spans="1:59" ht="13.5" hidden="1" customHeight="1">
      <c r="A166" s="113"/>
      <c r="B166" s="224">
        <v>11</v>
      </c>
      <c r="C166" s="97" t="s">
        <v>472</v>
      </c>
      <c r="D166" s="98" t="s">
        <v>473</v>
      </c>
      <c r="E166" s="67" t="s">
        <v>57</v>
      </c>
      <c r="F166" s="68" t="s">
        <v>1244</v>
      </c>
      <c r="G166" s="67" t="s">
        <v>31</v>
      </c>
      <c r="H166" s="66" t="s">
        <v>32</v>
      </c>
      <c r="I166" s="69">
        <f t="shared" si="113"/>
        <v>3537000</v>
      </c>
      <c r="J166" s="70">
        <v>220709</v>
      </c>
      <c r="K166" s="70">
        <v>141480</v>
      </c>
      <c r="L166" s="70">
        <v>2766394</v>
      </c>
      <c r="M166" s="69">
        <f t="shared" ca="1" si="114"/>
        <v>110655.76</v>
      </c>
      <c r="N166" s="61">
        <f ca="1">IFERROR(__xludf.DUMMYFUNCTION("VLOOKUP(C166,IMPORTRANGE(""https://docs.google.com/spreadsheets/d/1rlIahxEPRJNi2AZ1Wg_ST6ULVsuP72ohSpCzHj_8yUg/edit?gid=18363260#gid=18363260"",""SCHEDULE_KAI_JULI25""),39,0)"),23)</f>
        <v>23</v>
      </c>
      <c r="O166" s="61">
        <f ca="1">IFERROR(__xludf.DUMMYFUNCTION("VLOOKUP(C166,IMPORTRANGE(""https://docs.google.com/spreadsheets/d/1rlIahxEPRJNi2AZ1Wg_ST6ULVsuP72ohSpCzHj_8yUg/edit?gid=18363260#gid=18363260"",""SCHEDULE_KAI_JULI25""),40,0)"),25)</f>
        <v>25</v>
      </c>
      <c r="P166" s="69">
        <f t="shared" ca="1" si="115"/>
        <v>2545082.48</v>
      </c>
      <c r="Q166" s="66"/>
      <c r="R166" s="69">
        <f t="shared" si="116"/>
        <v>6665583</v>
      </c>
      <c r="S166" s="69">
        <f t="shared" ca="1" si="117"/>
        <v>6444271.4800000004</v>
      </c>
      <c r="T166" s="69">
        <f t="shared" ca="1" si="118"/>
        <v>0</v>
      </c>
      <c r="U166" s="20">
        <v>259867</v>
      </c>
      <c r="V166" s="177">
        <f ca="1">IFERROR(__xludf.DUMMYFUNCTION("VLOOKUP(C166,IMPORTRANGE(""https://docs.google.com/spreadsheets/d/1heLiqWF_2HiP-P9QpK84CTP6DxpoT_aG9fTdG9C1JMk/edit?gid=1535728046#gid=1535728046"",""DATA_ABSEN_JUNI25""),41,0)"),2)</f>
        <v>2</v>
      </c>
      <c r="W166" s="69">
        <f t="shared" ca="1" si="119"/>
        <v>519734</v>
      </c>
      <c r="X166" s="69">
        <v>0</v>
      </c>
      <c r="Y166" s="69">
        <f t="shared" ca="1" si="120"/>
        <v>6964005.4800000004</v>
      </c>
      <c r="Z166" s="61">
        <f ca="1">IFERROR(__xludf.DUMMYFUNCTION("VLOOKUP(C166,IMPORTRANGE(""https://docs.google.com/spreadsheets/d/1heLiqWF_2HiP-P9QpK84CTP6DxpoT_aG9fTdG9C1JMk/edit?gid=1535728046#gid=1535728046"",""DATA_ABSEN_JUNI25""),42,0)+VLOOKUP(C166,IMPORTRANGE(""https://docs.google.com/spreadsheets/d/1heLiqWF_2Hi"&amp;"P-P9QpK84CTP6DxpoT_aG9fTdG9C1JMk/edit?gid=1535728046#gid=1535728046"",""DATA_ABSEN_JUNI25""),43,0)"),0)</f>
        <v>0</v>
      </c>
      <c r="AA166" s="61">
        <f ca="1">IFERROR(__xludf.DUMMYFUNCTION("VLOOKUP(C166,IMPORTRANGE(""https://docs.google.com/spreadsheets/d/1heLiqWF_2HiP-P9QpK84CTP6DxpoT_aG9fTdG9C1JMk/edit?gid=1535728046#gid=1535728046"",""DATA_ABSEN_JUNI25""),44,0)"),0)</f>
        <v>0</v>
      </c>
      <c r="AB166" s="61">
        <f ca="1">IFERROR(__xludf.DUMMYFUNCTION("VLOOKUP(C166,IMPORTRANGE(""https://docs.google.com/spreadsheets/d/1heLiqWF_2HiP-P9QpK84CTP6DxpoT_aG9fTdG9C1JMk/edit?gid=1535728046#gid=1535728046"",""DATA_ABSEN_JUNI25""),45,0)"),0)</f>
        <v>0</v>
      </c>
      <c r="AC166" s="61">
        <f ca="1">IFERROR(__xludf.DUMMYFUNCTION("VLOOKUP(C166,IMPORTRANGE(""https://docs.google.com/spreadsheets/d/1heLiqWF_2HiP-P9QpK84CTP6DxpoT_aG9fTdG9C1JMk/edit?gid=1535728046#gid=1535728046"",""DATA_ABSEN_JUNI25""),46,0)"),0)</f>
        <v>0</v>
      </c>
      <c r="AD166" s="125">
        <v>0</v>
      </c>
      <c r="AE166" s="69">
        <f t="shared" ca="1" si="121"/>
        <v>0</v>
      </c>
      <c r="AF166" s="20">
        <v>326819</v>
      </c>
      <c r="AG166" s="20">
        <v>176850</v>
      </c>
      <c r="AH166" s="69">
        <v>0</v>
      </c>
      <c r="AI166" s="69" t="e">
        <f t="shared" si="122"/>
        <v>#REF!</v>
      </c>
      <c r="AJ166" s="69">
        <v>0</v>
      </c>
      <c r="AK166" s="69" t="e">
        <f t="shared" si="123"/>
        <v>#REF!</v>
      </c>
      <c r="AL166" s="69">
        <v>0</v>
      </c>
      <c r="AM166" s="69">
        <f t="shared" ca="1" si="124"/>
        <v>503669</v>
      </c>
      <c r="AN166" s="69">
        <f t="shared" ca="1" si="125"/>
        <v>6460336.4800000004</v>
      </c>
      <c r="AO166" s="69">
        <f t="shared" ca="1" si="126"/>
        <v>84529.953500000003</v>
      </c>
      <c r="AP166" s="69">
        <f t="shared" ca="1" si="127"/>
        <v>6375806.5265000006</v>
      </c>
      <c r="AQ166" s="69">
        <f t="shared" ca="1" si="128"/>
        <v>6375806.5265000006</v>
      </c>
      <c r="AR166" s="70">
        <f t="shared" ca="1" si="129"/>
        <v>6375806.5265000006</v>
      </c>
      <c r="AS166" s="113"/>
      <c r="AT166" s="73" t="s">
        <v>13</v>
      </c>
      <c r="AU166" s="61" t="s">
        <v>10</v>
      </c>
      <c r="AV166" s="69">
        <f t="shared" si="130"/>
        <v>3537000</v>
      </c>
      <c r="AW166" s="69">
        <f t="shared" ca="1" si="131"/>
        <v>2545082.48</v>
      </c>
      <c r="AX166" s="69">
        <f t="shared" ca="1" si="132"/>
        <v>519734</v>
      </c>
      <c r="AY166" s="69">
        <v>0</v>
      </c>
      <c r="AZ166" s="69">
        <f t="shared" si="133"/>
        <v>8488.7999999999993</v>
      </c>
      <c r="BA166" s="69">
        <f t="shared" si="134"/>
        <v>10611</v>
      </c>
      <c r="BB166" s="69">
        <f t="shared" si="135"/>
        <v>141480</v>
      </c>
      <c r="BC166" s="69">
        <f t="shared" ca="1" si="136"/>
        <v>6762396.2800000003</v>
      </c>
      <c r="BD166" s="74">
        <f ca="1">IF(AU166="C",VLOOKUP(BC166,TER!$J$4:$L$50,3,TRUE),IF(AU166="B",VLOOKUP(BC166,TER!$F$4:$H$50,3,TRUE),IF(AU166="A",VLOOKUP(BC166,TER!$B$4:$D$50,3,TRUE),"ERROR")))</f>
        <v>1.2500000000000001E-2</v>
      </c>
      <c r="BE166" s="69">
        <f t="shared" ca="1" si="137"/>
        <v>84529.953500000003</v>
      </c>
      <c r="BF166" s="113"/>
      <c r="BG166" s="113"/>
    </row>
    <row r="167" spans="1:59" ht="13.5" hidden="1" customHeight="1">
      <c r="A167" s="113"/>
      <c r="B167" s="224">
        <v>12</v>
      </c>
      <c r="C167" s="68" t="s">
        <v>474</v>
      </c>
      <c r="D167" s="98" t="s">
        <v>475</v>
      </c>
      <c r="E167" s="67" t="s">
        <v>57</v>
      </c>
      <c r="F167" s="68" t="s">
        <v>1245</v>
      </c>
      <c r="G167" s="67" t="s">
        <v>31</v>
      </c>
      <c r="H167" s="66" t="s">
        <v>32</v>
      </c>
      <c r="I167" s="69">
        <f t="shared" si="113"/>
        <v>3537000</v>
      </c>
      <c r="J167" s="70">
        <v>220709</v>
      </c>
      <c r="K167" s="70">
        <v>141480</v>
      </c>
      <c r="L167" s="70">
        <v>2766394</v>
      </c>
      <c r="M167" s="69">
        <f t="shared" ca="1" si="114"/>
        <v>115266.41666666667</v>
      </c>
      <c r="N167" s="61">
        <f ca="1">IFERROR(__xludf.DUMMYFUNCTION("VLOOKUP(C167,IMPORTRANGE(""https://docs.google.com/spreadsheets/d/1rlIahxEPRJNi2AZ1Wg_ST6ULVsuP72ohSpCzHj_8yUg/edit?gid=18363260#gid=18363260"",""SCHEDULE_KAI_JULI25""),39,0)"),21)</f>
        <v>21</v>
      </c>
      <c r="O167" s="61">
        <f ca="1">IFERROR(__xludf.DUMMYFUNCTION("VLOOKUP(C167,IMPORTRANGE(""https://docs.google.com/spreadsheets/d/1rlIahxEPRJNi2AZ1Wg_ST6ULVsuP72ohSpCzHj_8yUg/edit?gid=18363260#gid=18363260"",""SCHEDULE_KAI_JULI25""),40,0)"),24)</f>
        <v>24</v>
      </c>
      <c r="P167" s="69">
        <f t="shared" ca="1" si="115"/>
        <v>2420594.75</v>
      </c>
      <c r="Q167" s="66"/>
      <c r="R167" s="69">
        <f t="shared" si="116"/>
        <v>6665583</v>
      </c>
      <c r="S167" s="69">
        <f t="shared" ca="1" si="117"/>
        <v>6319783.75</v>
      </c>
      <c r="T167" s="69">
        <f t="shared" ca="1" si="118"/>
        <v>0</v>
      </c>
      <c r="U167" s="20">
        <v>259867</v>
      </c>
      <c r="V167" s="177">
        <f ca="1">IFERROR(__xludf.DUMMYFUNCTION("VLOOKUP(C167,IMPORTRANGE(""https://docs.google.com/spreadsheets/d/1heLiqWF_2HiP-P9QpK84CTP6DxpoT_aG9fTdG9C1JMk/edit?gid=1535728046#gid=1535728046"",""DATA_ABSEN_JUNI25""),41,0)"),2)</f>
        <v>2</v>
      </c>
      <c r="W167" s="69">
        <f t="shared" ca="1" si="119"/>
        <v>519734</v>
      </c>
      <c r="X167" s="69">
        <v>0</v>
      </c>
      <c r="Y167" s="69">
        <f t="shared" ca="1" si="120"/>
        <v>6839517.75</v>
      </c>
      <c r="Z167" s="61">
        <f ca="1">IFERROR(__xludf.DUMMYFUNCTION("VLOOKUP(C167,IMPORTRANGE(""https://docs.google.com/spreadsheets/d/1heLiqWF_2HiP-P9QpK84CTP6DxpoT_aG9fTdG9C1JMk/edit?gid=1535728046#gid=1535728046"",""DATA_ABSEN_JUNI25""),42,0)+VLOOKUP(C167,IMPORTRANGE(""https://docs.google.com/spreadsheets/d/1heLiqWF_2Hi"&amp;"P-P9QpK84CTP6DxpoT_aG9fTdG9C1JMk/edit?gid=1535728046#gid=1535728046"",""DATA_ABSEN_JUNI25""),43,0)"),0)</f>
        <v>0</v>
      </c>
      <c r="AA167" s="61">
        <f ca="1">IFERROR(__xludf.DUMMYFUNCTION("VLOOKUP(C167,IMPORTRANGE(""https://docs.google.com/spreadsheets/d/1heLiqWF_2HiP-P9QpK84CTP6DxpoT_aG9fTdG9C1JMk/edit?gid=1535728046#gid=1535728046"",""DATA_ABSEN_JUNI25""),44,0)"),0)</f>
        <v>0</v>
      </c>
      <c r="AB167" s="61">
        <f ca="1">IFERROR(__xludf.DUMMYFUNCTION("VLOOKUP(C167,IMPORTRANGE(""https://docs.google.com/spreadsheets/d/1heLiqWF_2HiP-P9QpK84CTP6DxpoT_aG9fTdG9C1JMk/edit?gid=1535728046#gid=1535728046"",""DATA_ABSEN_JUNI25""),45,0)"),0)</f>
        <v>0</v>
      </c>
      <c r="AC167" s="61">
        <f ca="1">IFERROR(__xludf.DUMMYFUNCTION("VLOOKUP(C167,IMPORTRANGE(""https://docs.google.com/spreadsheets/d/1heLiqWF_2HiP-P9QpK84CTP6DxpoT_aG9fTdG9C1JMk/edit?gid=1535728046#gid=1535728046"",""DATA_ABSEN_JUNI25""),46,0)"),0)</f>
        <v>0</v>
      </c>
      <c r="AD167" s="125">
        <v>0</v>
      </c>
      <c r="AE167" s="69">
        <f t="shared" ca="1" si="121"/>
        <v>0</v>
      </c>
      <c r="AF167" s="20">
        <v>326819</v>
      </c>
      <c r="AG167" s="20">
        <v>176850</v>
      </c>
      <c r="AH167" s="69">
        <v>0</v>
      </c>
      <c r="AI167" s="69" t="e">
        <f t="shared" si="122"/>
        <v>#REF!</v>
      </c>
      <c r="AJ167" s="69">
        <v>0</v>
      </c>
      <c r="AK167" s="69" t="e">
        <f t="shared" si="123"/>
        <v>#REF!</v>
      </c>
      <c r="AL167" s="69">
        <v>0</v>
      </c>
      <c r="AM167" s="69">
        <f t="shared" ca="1" si="124"/>
        <v>503669</v>
      </c>
      <c r="AN167" s="69">
        <f t="shared" ca="1" si="125"/>
        <v>6335848.75</v>
      </c>
      <c r="AO167" s="69">
        <f t="shared" ca="1" si="126"/>
        <v>66379.085500000001</v>
      </c>
      <c r="AP167" s="69">
        <f t="shared" ca="1" si="127"/>
        <v>6269469.6645</v>
      </c>
      <c r="AQ167" s="69">
        <f t="shared" ca="1" si="128"/>
        <v>6269469.6645</v>
      </c>
      <c r="AR167" s="70">
        <f t="shared" ca="1" si="129"/>
        <v>6269469.6645</v>
      </c>
      <c r="AS167" s="113"/>
      <c r="AT167" s="73" t="s">
        <v>9</v>
      </c>
      <c r="AU167" s="61" t="s">
        <v>10</v>
      </c>
      <c r="AV167" s="69">
        <f t="shared" si="130"/>
        <v>3537000</v>
      </c>
      <c r="AW167" s="69">
        <f t="shared" ca="1" si="131"/>
        <v>2420594.75</v>
      </c>
      <c r="AX167" s="69">
        <f t="shared" ca="1" si="132"/>
        <v>519734</v>
      </c>
      <c r="AY167" s="69">
        <v>0</v>
      </c>
      <c r="AZ167" s="69">
        <f t="shared" si="133"/>
        <v>8488.7999999999993</v>
      </c>
      <c r="BA167" s="69">
        <f t="shared" si="134"/>
        <v>10611</v>
      </c>
      <c r="BB167" s="69">
        <f t="shared" si="135"/>
        <v>141480</v>
      </c>
      <c r="BC167" s="69">
        <f t="shared" ca="1" si="136"/>
        <v>6637908.5499999998</v>
      </c>
      <c r="BD167" s="74">
        <f ca="1">IF(AU167="C",VLOOKUP(BC167,TER!$J$4:$L$50,3,TRUE),IF(AU167="B",VLOOKUP(BC167,TER!$F$4:$H$50,3,TRUE),IF(AU167="A",VLOOKUP(BC167,TER!$B$4:$D$50,3,TRUE),"ERROR")))</f>
        <v>0.01</v>
      </c>
      <c r="BE167" s="69">
        <f t="shared" ca="1" si="137"/>
        <v>66379.085500000001</v>
      </c>
      <c r="BF167" s="113"/>
      <c r="BG167" s="113"/>
    </row>
    <row r="168" spans="1:59" ht="13.5" hidden="1" customHeight="1">
      <c r="A168" s="113"/>
      <c r="B168" s="224">
        <v>13</v>
      </c>
      <c r="C168" s="68" t="s">
        <v>476</v>
      </c>
      <c r="D168" s="98" t="s">
        <v>477</v>
      </c>
      <c r="E168" s="67" t="s">
        <v>57</v>
      </c>
      <c r="F168" s="68" t="s">
        <v>478</v>
      </c>
      <c r="G168" s="67" t="s">
        <v>31</v>
      </c>
      <c r="H168" s="66" t="s">
        <v>32</v>
      </c>
      <c r="I168" s="69">
        <f t="shared" si="113"/>
        <v>3537000</v>
      </c>
      <c r="J168" s="70">
        <v>220709</v>
      </c>
      <c r="K168" s="70">
        <v>141480</v>
      </c>
      <c r="L168" s="70">
        <v>2766394</v>
      </c>
      <c r="M168" s="69">
        <f t="shared" ca="1" si="114"/>
        <v>110655.76</v>
      </c>
      <c r="N168" s="61">
        <f ca="1">IFERROR(__xludf.DUMMYFUNCTION("VLOOKUP(C168,IMPORTRANGE(""https://docs.google.com/spreadsheets/d/1rlIahxEPRJNi2AZ1Wg_ST6ULVsuP72ohSpCzHj_8yUg/edit?gid=18363260#gid=18363260"",""SCHEDULE_KAI_JULI25""),39,0)"),25)</f>
        <v>25</v>
      </c>
      <c r="O168" s="61">
        <f ca="1">IFERROR(__xludf.DUMMYFUNCTION("VLOOKUP(C168,IMPORTRANGE(""https://docs.google.com/spreadsheets/d/1rlIahxEPRJNi2AZ1Wg_ST6ULVsuP72ohSpCzHj_8yUg/edit?gid=18363260#gid=18363260"",""SCHEDULE_KAI_JULI25""),40,0)"),25)</f>
        <v>25</v>
      </c>
      <c r="P168" s="69">
        <f t="shared" ca="1" si="115"/>
        <v>2766394</v>
      </c>
      <c r="Q168" s="66"/>
      <c r="R168" s="69">
        <f t="shared" si="116"/>
        <v>6665583</v>
      </c>
      <c r="S168" s="69">
        <f t="shared" ca="1" si="117"/>
        <v>6665583</v>
      </c>
      <c r="T168" s="69">
        <f t="shared" ca="1" si="118"/>
        <v>0</v>
      </c>
      <c r="U168" s="20">
        <v>259867</v>
      </c>
      <c r="V168" s="177">
        <f ca="1">IFERROR(__xludf.DUMMYFUNCTION("VLOOKUP(C168,IMPORTRANGE(""https://docs.google.com/spreadsheets/d/1heLiqWF_2HiP-P9QpK84CTP6DxpoT_aG9fTdG9C1JMk/edit?gid=1535728046#gid=1535728046"",""DATA_ABSEN_JUNI25""),41,0)"),1)</f>
        <v>1</v>
      </c>
      <c r="W168" s="69">
        <f t="shared" ca="1" si="119"/>
        <v>259867</v>
      </c>
      <c r="X168" s="69">
        <v>0</v>
      </c>
      <c r="Y168" s="69">
        <f t="shared" ca="1" si="120"/>
        <v>6925450</v>
      </c>
      <c r="Z168" s="61">
        <f ca="1">IFERROR(__xludf.DUMMYFUNCTION("VLOOKUP(C168,IMPORTRANGE(""https://docs.google.com/spreadsheets/d/1heLiqWF_2HiP-P9QpK84CTP6DxpoT_aG9fTdG9C1JMk/edit?gid=1535728046#gid=1535728046"",""DATA_ABSEN_JUNI25""),42,0)+VLOOKUP(C168,IMPORTRANGE(""https://docs.google.com/spreadsheets/d/1heLiqWF_2Hi"&amp;"P-P9QpK84CTP6DxpoT_aG9fTdG9C1JMk/edit?gid=1535728046#gid=1535728046"",""DATA_ABSEN_JUNI25""),43,0)"),0)</f>
        <v>0</v>
      </c>
      <c r="AA168" s="61">
        <f ca="1">IFERROR(__xludf.DUMMYFUNCTION("VLOOKUP(C168,IMPORTRANGE(""https://docs.google.com/spreadsheets/d/1heLiqWF_2HiP-P9QpK84CTP6DxpoT_aG9fTdG9C1JMk/edit?gid=1535728046#gid=1535728046"",""DATA_ABSEN_JUNI25""),44,0)"),0)</f>
        <v>0</v>
      </c>
      <c r="AB168" s="61">
        <f ca="1">IFERROR(__xludf.DUMMYFUNCTION("VLOOKUP(C168,IMPORTRANGE(""https://docs.google.com/spreadsheets/d/1heLiqWF_2HiP-P9QpK84CTP6DxpoT_aG9fTdG9C1JMk/edit?gid=1535728046#gid=1535728046"",""DATA_ABSEN_JUNI25""),45,0)"),0)</f>
        <v>0</v>
      </c>
      <c r="AC168" s="61">
        <f ca="1">IFERROR(__xludf.DUMMYFUNCTION("VLOOKUP(C168,IMPORTRANGE(""https://docs.google.com/spreadsheets/d/1heLiqWF_2HiP-P9QpK84CTP6DxpoT_aG9fTdG9C1JMk/edit?gid=1535728046#gid=1535728046"",""DATA_ABSEN_JUNI25""),46,0)"),0)</f>
        <v>0</v>
      </c>
      <c r="AD168" s="125">
        <v>0</v>
      </c>
      <c r="AE168" s="69">
        <f t="shared" ca="1" si="121"/>
        <v>0</v>
      </c>
      <c r="AF168" s="20">
        <v>326819</v>
      </c>
      <c r="AG168" s="20">
        <v>176850</v>
      </c>
      <c r="AH168" s="69">
        <v>0</v>
      </c>
      <c r="AI168" s="69" t="e">
        <f t="shared" si="122"/>
        <v>#REF!</v>
      </c>
      <c r="AJ168" s="69">
        <v>0</v>
      </c>
      <c r="AK168" s="69" t="e">
        <f t="shared" si="123"/>
        <v>#REF!</v>
      </c>
      <c r="AL168" s="69">
        <v>0</v>
      </c>
      <c r="AM168" s="69">
        <f t="shared" ca="1" si="124"/>
        <v>503669</v>
      </c>
      <c r="AN168" s="69">
        <f t="shared" ca="1" si="125"/>
        <v>6421781</v>
      </c>
      <c r="AO168" s="69">
        <f t="shared" ca="1" si="126"/>
        <v>33619.203999999998</v>
      </c>
      <c r="AP168" s="69">
        <f t="shared" ca="1" si="127"/>
        <v>6388161.7960000001</v>
      </c>
      <c r="AQ168" s="69">
        <f t="shared" ca="1" si="128"/>
        <v>6388161.7960000001</v>
      </c>
      <c r="AR168" s="70">
        <f t="shared" ca="1" si="129"/>
        <v>6388161.7960000001</v>
      </c>
      <c r="AS168" s="113"/>
      <c r="AT168" s="73" t="s">
        <v>17</v>
      </c>
      <c r="AU168" s="61" t="s">
        <v>15</v>
      </c>
      <c r="AV168" s="69">
        <f t="shared" si="130"/>
        <v>3537000</v>
      </c>
      <c r="AW168" s="69">
        <f t="shared" ca="1" si="131"/>
        <v>2766394</v>
      </c>
      <c r="AX168" s="69">
        <f t="shared" ca="1" si="132"/>
        <v>259867</v>
      </c>
      <c r="AY168" s="69">
        <v>0</v>
      </c>
      <c r="AZ168" s="69">
        <f t="shared" si="133"/>
        <v>8488.7999999999993</v>
      </c>
      <c r="BA168" s="69">
        <f t="shared" si="134"/>
        <v>10611</v>
      </c>
      <c r="BB168" s="69">
        <f t="shared" si="135"/>
        <v>141480</v>
      </c>
      <c r="BC168" s="69">
        <f t="shared" ca="1" si="136"/>
        <v>6723840.7999999998</v>
      </c>
      <c r="BD168" s="74">
        <f ca="1">IF(AU168="C",VLOOKUP(BC168,TER!$J$4:$L$50,3,TRUE),IF(AU168="B",VLOOKUP(BC168,TER!$F$4:$H$50,3,TRUE),IF(AU168="A",VLOOKUP(BC168,TER!$B$4:$D$50,3,TRUE),"ERROR")))</f>
        <v>5.0000000000000001E-3</v>
      </c>
      <c r="BE168" s="69">
        <f t="shared" ca="1" si="137"/>
        <v>33619.203999999998</v>
      </c>
      <c r="BF168" s="113"/>
      <c r="BG168" s="113"/>
    </row>
    <row r="169" spans="1:59" ht="13.5" hidden="1" customHeight="1">
      <c r="A169" s="113"/>
      <c r="B169" s="224">
        <v>14</v>
      </c>
      <c r="C169" s="67" t="s">
        <v>55</v>
      </c>
      <c r="D169" s="98" t="s">
        <v>56</v>
      </c>
      <c r="E169" s="67" t="s">
        <v>57</v>
      </c>
      <c r="F169" s="68" t="s">
        <v>58</v>
      </c>
      <c r="G169" s="67" t="s">
        <v>31</v>
      </c>
      <c r="H169" s="66" t="s">
        <v>32</v>
      </c>
      <c r="I169" s="69">
        <f t="shared" si="113"/>
        <v>3537000</v>
      </c>
      <c r="J169" s="70">
        <v>220709</v>
      </c>
      <c r="K169" s="70">
        <v>141480</v>
      </c>
      <c r="L169" s="70">
        <v>2766394</v>
      </c>
      <c r="M169" s="69">
        <f t="shared" ca="1" si="114"/>
        <v>110655.76</v>
      </c>
      <c r="N169" s="61">
        <f ca="1">IFERROR(__xludf.DUMMYFUNCTION("VLOOKUP(C169,IMPORTRANGE(""https://docs.google.com/spreadsheets/d/1rlIahxEPRJNi2AZ1Wg_ST6ULVsuP72ohSpCzHj_8yUg/edit?gid=18363260#gid=18363260"",""SCHEDULE_KAI_JULI25""),39,0)"),24)</f>
        <v>24</v>
      </c>
      <c r="O169" s="61">
        <f ca="1">IFERROR(__xludf.DUMMYFUNCTION("VLOOKUP(C169,IMPORTRANGE(""https://docs.google.com/spreadsheets/d/1rlIahxEPRJNi2AZ1Wg_ST6ULVsuP72ohSpCzHj_8yUg/edit?gid=18363260#gid=18363260"",""SCHEDULE_KAI_JULI25""),40,0)"),25)</f>
        <v>25</v>
      </c>
      <c r="P169" s="69">
        <f t="shared" ca="1" si="115"/>
        <v>2655738.2399999998</v>
      </c>
      <c r="Q169" s="66"/>
      <c r="R169" s="69">
        <f t="shared" si="116"/>
        <v>6665583</v>
      </c>
      <c r="S169" s="69">
        <f t="shared" ca="1" si="117"/>
        <v>6554927.2400000002</v>
      </c>
      <c r="T169" s="69">
        <f t="shared" ca="1" si="118"/>
        <v>0</v>
      </c>
      <c r="U169" s="20">
        <v>259867</v>
      </c>
      <c r="V169" s="177">
        <f ca="1">IFERROR(__xludf.DUMMYFUNCTION("VLOOKUP(C169,IMPORTRANGE(""https://docs.google.com/spreadsheets/d/1heLiqWF_2HiP-P9QpK84CTP6DxpoT_aG9fTdG9C1JMk/edit?gid=1535728046#gid=1535728046"",""DATA_ABSEN_JUNI25""),41,0)"),2)</f>
        <v>2</v>
      </c>
      <c r="W169" s="69">
        <f t="shared" ca="1" si="119"/>
        <v>519734</v>
      </c>
      <c r="X169" s="69">
        <v>0</v>
      </c>
      <c r="Y169" s="69">
        <f t="shared" ca="1" si="120"/>
        <v>7074661.2400000002</v>
      </c>
      <c r="Z169" s="61">
        <f ca="1">IFERROR(__xludf.DUMMYFUNCTION("VLOOKUP(C169,IMPORTRANGE(""https://docs.google.com/spreadsheets/d/1heLiqWF_2HiP-P9QpK84CTP6DxpoT_aG9fTdG9C1JMk/edit?gid=1535728046#gid=1535728046"",""DATA_ABSEN_JUNI25""),42,0)+VLOOKUP(C169,IMPORTRANGE(""https://docs.google.com/spreadsheets/d/1heLiqWF_2Hi"&amp;"P-P9QpK84CTP6DxpoT_aG9fTdG9C1JMk/edit?gid=1535728046#gid=1535728046"",""DATA_ABSEN_JUNI25""),43,0)"),0)</f>
        <v>0</v>
      </c>
      <c r="AA169" s="61">
        <f ca="1">IFERROR(__xludf.DUMMYFUNCTION("VLOOKUP(C169,IMPORTRANGE(""https://docs.google.com/spreadsheets/d/1heLiqWF_2HiP-P9QpK84CTP6DxpoT_aG9fTdG9C1JMk/edit?gid=1535728046#gid=1535728046"",""DATA_ABSEN_JUNI25""),44,0)"),1)</f>
        <v>1</v>
      </c>
      <c r="AB169" s="61">
        <f ca="1">IFERROR(__xludf.DUMMYFUNCTION("VLOOKUP(C169,IMPORTRANGE(""https://docs.google.com/spreadsheets/d/1heLiqWF_2HiP-P9QpK84CTP6DxpoT_aG9fTdG9C1JMk/edit?gid=1535728046#gid=1535728046"",""DATA_ABSEN_JUNI25""),45,0)"),0)</f>
        <v>0</v>
      </c>
      <c r="AC169" s="61">
        <f ca="1">IFERROR(__xludf.DUMMYFUNCTION("VLOOKUP(C169,IMPORTRANGE(""https://docs.google.com/spreadsheets/d/1heLiqWF_2HiP-P9QpK84CTP6DxpoT_aG9fTdG9C1JMk/edit?gid=1535728046#gid=1535728046"",""DATA_ABSEN_JUNI25""),46,0)"),0)</f>
        <v>0</v>
      </c>
      <c r="AD169" s="125">
        <v>0</v>
      </c>
      <c r="AE169" s="69">
        <f t="shared" ca="1" si="121"/>
        <v>259867</v>
      </c>
      <c r="AF169" s="20">
        <v>326819</v>
      </c>
      <c r="AG169" s="20">
        <v>176850</v>
      </c>
      <c r="AH169" s="69">
        <v>0</v>
      </c>
      <c r="AI169" s="69" t="e">
        <f t="shared" si="122"/>
        <v>#REF!</v>
      </c>
      <c r="AJ169" s="69">
        <v>0</v>
      </c>
      <c r="AK169" s="69" t="e">
        <f t="shared" si="123"/>
        <v>#REF!</v>
      </c>
      <c r="AL169" s="69">
        <v>0</v>
      </c>
      <c r="AM169" s="69">
        <f t="shared" ca="1" si="124"/>
        <v>763536</v>
      </c>
      <c r="AN169" s="69">
        <f t="shared" ca="1" si="125"/>
        <v>6311125.2400000002</v>
      </c>
      <c r="AO169" s="69">
        <f t="shared" ca="1" si="126"/>
        <v>85913.150500000003</v>
      </c>
      <c r="AP169" s="69">
        <f t="shared" ca="1" si="127"/>
        <v>6225212.0894999998</v>
      </c>
      <c r="AQ169" s="69">
        <f t="shared" ca="1" si="128"/>
        <v>6225212.0894999998</v>
      </c>
      <c r="AR169" s="70">
        <f t="shared" ca="1" si="129"/>
        <v>6225212.0894999998</v>
      </c>
      <c r="AS169" s="113"/>
      <c r="AT169" s="73" t="s">
        <v>9</v>
      </c>
      <c r="AU169" s="61" t="s">
        <v>10</v>
      </c>
      <c r="AV169" s="69">
        <f t="shared" si="130"/>
        <v>3537000</v>
      </c>
      <c r="AW169" s="69">
        <f t="shared" ca="1" si="131"/>
        <v>2655738.2399999998</v>
      </c>
      <c r="AX169" s="69">
        <f t="shared" ca="1" si="132"/>
        <v>519734</v>
      </c>
      <c r="AY169" s="69">
        <v>0</v>
      </c>
      <c r="AZ169" s="69">
        <f t="shared" si="133"/>
        <v>8488.7999999999993</v>
      </c>
      <c r="BA169" s="69">
        <f t="shared" si="134"/>
        <v>10611</v>
      </c>
      <c r="BB169" s="69">
        <f t="shared" si="135"/>
        <v>141480</v>
      </c>
      <c r="BC169" s="69">
        <f t="shared" ca="1" si="136"/>
        <v>6873052.04</v>
      </c>
      <c r="BD169" s="74">
        <f ca="1">IF(AU169="C",VLOOKUP(BC169,TER!$J$4:$L$50,3,TRUE),IF(AU169="B",VLOOKUP(BC169,TER!$F$4:$H$50,3,TRUE),IF(AU169="A",VLOOKUP(BC169,TER!$B$4:$D$50,3,TRUE),"ERROR")))</f>
        <v>1.2500000000000001E-2</v>
      </c>
      <c r="BE169" s="69">
        <f t="shared" ca="1" si="137"/>
        <v>85913.150500000003</v>
      </c>
      <c r="BF169" s="113"/>
      <c r="BG169" s="113"/>
    </row>
    <row r="170" spans="1:59" ht="13.5" hidden="1" customHeight="1">
      <c r="A170" s="113"/>
      <c r="B170" s="224">
        <v>15</v>
      </c>
      <c r="C170" s="68" t="s">
        <v>479</v>
      </c>
      <c r="D170" s="98" t="s">
        <v>480</v>
      </c>
      <c r="E170" s="67" t="s">
        <v>57</v>
      </c>
      <c r="F170" s="68" t="s">
        <v>1246</v>
      </c>
      <c r="G170" s="67" t="s">
        <v>31</v>
      </c>
      <c r="H170" s="66" t="s">
        <v>32</v>
      </c>
      <c r="I170" s="69">
        <f t="shared" si="113"/>
        <v>3537000</v>
      </c>
      <c r="J170" s="70">
        <v>220709</v>
      </c>
      <c r="K170" s="70">
        <v>141480</v>
      </c>
      <c r="L170" s="70">
        <v>2766394</v>
      </c>
      <c r="M170" s="69">
        <f t="shared" ca="1" si="114"/>
        <v>110655.76</v>
      </c>
      <c r="N170" s="61">
        <f ca="1">IFERROR(__xludf.DUMMYFUNCTION("VLOOKUP(C170,IMPORTRANGE(""https://docs.google.com/spreadsheets/d/1rlIahxEPRJNi2AZ1Wg_ST6ULVsuP72ohSpCzHj_8yUg/edit?gid=18363260#gid=18363260"",""SCHEDULE_KAI_JULI25""),39,0)"),25)</f>
        <v>25</v>
      </c>
      <c r="O170" s="61">
        <f ca="1">IFERROR(__xludf.DUMMYFUNCTION("VLOOKUP(C170,IMPORTRANGE(""https://docs.google.com/spreadsheets/d/1rlIahxEPRJNi2AZ1Wg_ST6ULVsuP72ohSpCzHj_8yUg/edit?gid=18363260#gid=18363260"",""SCHEDULE_KAI_JULI25""),40,0)"),25)</f>
        <v>25</v>
      </c>
      <c r="P170" s="69">
        <f t="shared" ca="1" si="115"/>
        <v>2766394</v>
      </c>
      <c r="Q170" s="66"/>
      <c r="R170" s="69">
        <f t="shared" si="116"/>
        <v>6665583</v>
      </c>
      <c r="S170" s="69">
        <f t="shared" ca="1" si="117"/>
        <v>6665583</v>
      </c>
      <c r="T170" s="69">
        <f t="shared" ca="1" si="118"/>
        <v>0</v>
      </c>
      <c r="U170" s="20">
        <v>259867</v>
      </c>
      <c r="V170" s="177">
        <f ca="1">IFERROR(__xludf.DUMMYFUNCTION("VLOOKUP(C170,IMPORTRANGE(""https://docs.google.com/spreadsheets/d/1heLiqWF_2HiP-P9QpK84CTP6DxpoT_aG9fTdG9C1JMk/edit?gid=1535728046#gid=1535728046"",""DATA_ABSEN_JUNI25""),41,0)"),1)</f>
        <v>1</v>
      </c>
      <c r="W170" s="69">
        <f t="shared" ca="1" si="119"/>
        <v>259867</v>
      </c>
      <c r="X170" s="69">
        <v>0</v>
      </c>
      <c r="Y170" s="69">
        <f t="shared" ca="1" si="120"/>
        <v>6925450</v>
      </c>
      <c r="Z170" s="61">
        <f ca="1">IFERROR(__xludf.DUMMYFUNCTION("VLOOKUP(C170,IMPORTRANGE(""https://docs.google.com/spreadsheets/d/1heLiqWF_2HiP-P9QpK84CTP6DxpoT_aG9fTdG9C1JMk/edit?gid=1535728046#gid=1535728046"",""DATA_ABSEN_JUNI25""),42,0)+VLOOKUP(C170,IMPORTRANGE(""https://docs.google.com/spreadsheets/d/1heLiqWF_2Hi"&amp;"P-P9QpK84CTP6DxpoT_aG9fTdG9C1JMk/edit?gid=1535728046#gid=1535728046"",""DATA_ABSEN_JUNI25""),43,0)"),0)</f>
        <v>0</v>
      </c>
      <c r="AA170" s="61">
        <f ca="1">IFERROR(__xludf.DUMMYFUNCTION("VLOOKUP(C170,IMPORTRANGE(""https://docs.google.com/spreadsheets/d/1heLiqWF_2HiP-P9QpK84CTP6DxpoT_aG9fTdG9C1JMk/edit?gid=1535728046#gid=1535728046"",""DATA_ABSEN_JUNI25""),44,0)"),0)</f>
        <v>0</v>
      </c>
      <c r="AB170" s="61">
        <f ca="1">IFERROR(__xludf.DUMMYFUNCTION("VLOOKUP(C170,IMPORTRANGE(""https://docs.google.com/spreadsheets/d/1heLiqWF_2HiP-P9QpK84CTP6DxpoT_aG9fTdG9C1JMk/edit?gid=1535728046#gid=1535728046"",""DATA_ABSEN_JUNI25""),45,0)"),0)</f>
        <v>0</v>
      </c>
      <c r="AC170" s="61">
        <f ca="1">IFERROR(__xludf.DUMMYFUNCTION("VLOOKUP(C170,IMPORTRANGE(""https://docs.google.com/spreadsheets/d/1heLiqWF_2HiP-P9QpK84CTP6DxpoT_aG9fTdG9C1JMk/edit?gid=1535728046#gid=1535728046"",""DATA_ABSEN_JUNI25""),46,0)"),0)</f>
        <v>0</v>
      </c>
      <c r="AD170" s="125">
        <v>0</v>
      </c>
      <c r="AE170" s="69">
        <f t="shared" ca="1" si="121"/>
        <v>0</v>
      </c>
      <c r="AF170" s="20">
        <v>326819</v>
      </c>
      <c r="AG170" s="20">
        <v>176850</v>
      </c>
      <c r="AH170" s="69">
        <v>0</v>
      </c>
      <c r="AI170" s="69" t="e">
        <f t="shared" si="122"/>
        <v>#REF!</v>
      </c>
      <c r="AJ170" s="69">
        <v>0</v>
      </c>
      <c r="AK170" s="69" t="e">
        <f t="shared" si="123"/>
        <v>#REF!</v>
      </c>
      <c r="AL170" s="69">
        <v>0</v>
      </c>
      <c r="AM170" s="69">
        <f t="shared" ca="1" si="124"/>
        <v>503669</v>
      </c>
      <c r="AN170" s="69">
        <f t="shared" ca="1" si="125"/>
        <v>6421781</v>
      </c>
      <c r="AO170" s="69">
        <f t="shared" ca="1" si="126"/>
        <v>67238.407999999996</v>
      </c>
      <c r="AP170" s="69">
        <f t="shared" ca="1" si="127"/>
        <v>6354542.5920000002</v>
      </c>
      <c r="AQ170" s="69">
        <f t="shared" ca="1" si="128"/>
        <v>6354542.5920000002</v>
      </c>
      <c r="AR170" s="70">
        <f t="shared" ca="1" si="129"/>
        <v>6354542.5920000002</v>
      </c>
      <c r="AS170" s="113"/>
      <c r="AT170" s="73" t="s">
        <v>9</v>
      </c>
      <c r="AU170" s="61" t="s">
        <v>10</v>
      </c>
      <c r="AV170" s="69">
        <f t="shared" si="130"/>
        <v>3537000</v>
      </c>
      <c r="AW170" s="69">
        <f t="shared" ca="1" si="131"/>
        <v>2766394</v>
      </c>
      <c r="AX170" s="69">
        <f t="shared" ca="1" si="132"/>
        <v>259867</v>
      </c>
      <c r="AY170" s="69">
        <v>0</v>
      </c>
      <c r="AZ170" s="69">
        <f t="shared" si="133"/>
        <v>8488.7999999999993</v>
      </c>
      <c r="BA170" s="69">
        <f t="shared" si="134"/>
        <v>10611</v>
      </c>
      <c r="BB170" s="69">
        <f t="shared" si="135"/>
        <v>141480</v>
      </c>
      <c r="BC170" s="69">
        <f t="shared" ca="1" si="136"/>
        <v>6723840.7999999998</v>
      </c>
      <c r="BD170" s="74">
        <f ca="1">IF(AU170="C",VLOOKUP(BC170,TER!$J$4:$L$50,3,TRUE),IF(AU170="B",VLOOKUP(BC170,TER!$F$4:$H$50,3,TRUE),IF(AU170="A",VLOOKUP(BC170,TER!$B$4:$D$50,3,TRUE),"ERROR")))</f>
        <v>0.01</v>
      </c>
      <c r="BE170" s="69">
        <f t="shared" ca="1" si="137"/>
        <v>67238.407999999996</v>
      </c>
      <c r="BF170" s="113"/>
      <c r="BG170" s="113"/>
    </row>
    <row r="171" spans="1:59" ht="13.5" hidden="1" customHeight="1">
      <c r="A171" s="113"/>
      <c r="B171" s="224">
        <v>16</v>
      </c>
      <c r="C171" s="68" t="s">
        <v>481</v>
      </c>
      <c r="D171" s="98" t="s">
        <v>482</v>
      </c>
      <c r="E171" s="67" t="s">
        <v>57</v>
      </c>
      <c r="F171" s="68" t="s">
        <v>483</v>
      </c>
      <c r="G171" s="67" t="s">
        <v>31</v>
      </c>
      <c r="H171" s="66" t="s">
        <v>32</v>
      </c>
      <c r="I171" s="69">
        <f t="shared" si="113"/>
        <v>3537000</v>
      </c>
      <c r="J171" s="70">
        <v>220709</v>
      </c>
      <c r="K171" s="70">
        <v>141480</v>
      </c>
      <c r="L171" s="70">
        <v>2766394</v>
      </c>
      <c r="M171" s="69">
        <f t="shared" ca="1" si="114"/>
        <v>110655.76</v>
      </c>
      <c r="N171" s="61">
        <f ca="1">IFERROR(__xludf.DUMMYFUNCTION("VLOOKUP(C171,IMPORTRANGE(""https://docs.google.com/spreadsheets/d/1rlIahxEPRJNi2AZ1Wg_ST6ULVsuP72ohSpCzHj_8yUg/edit?gid=18363260#gid=18363260"",""SCHEDULE_KAI_JULI25""),39,0)"),24)</f>
        <v>24</v>
      </c>
      <c r="O171" s="61">
        <f ca="1">IFERROR(__xludf.DUMMYFUNCTION("VLOOKUP(C171,IMPORTRANGE(""https://docs.google.com/spreadsheets/d/1rlIahxEPRJNi2AZ1Wg_ST6ULVsuP72ohSpCzHj_8yUg/edit?gid=18363260#gid=18363260"",""SCHEDULE_KAI_JULI25""),40,0)"),25)</f>
        <v>25</v>
      </c>
      <c r="P171" s="69">
        <f t="shared" ca="1" si="115"/>
        <v>2655738.2399999998</v>
      </c>
      <c r="Q171" s="66"/>
      <c r="R171" s="69">
        <f t="shared" si="116"/>
        <v>6665583</v>
      </c>
      <c r="S171" s="69">
        <f t="shared" ca="1" si="117"/>
        <v>6554927.2400000002</v>
      </c>
      <c r="T171" s="69">
        <f t="shared" ca="1" si="118"/>
        <v>0</v>
      </c>
      <c r="U171" s="20">
        <v>259867</v>
      </c>
      <c r="V171" s="177">
        <f ca="1">IFERROR(__xludf.DUMMYFUNCTION("VLOOKUP(C171,IMPORTRANGE(""https://docs.google.com/spreadsheets/d/1heLiqWF_2HiP-P9QpK84CTP6DxpoT_aG9fTdG9C1JMk/edit?gid=1535728046#gid=1535728046"",""DATA_ABSEN_JUNI25""),41,0)"),1)</f>
        <v>1</v>
      </c>
      <c r="W171" s="69">
        <f t="shared" ca="1" si="119"/>
        <v>259867</v>
      </c>
      <c r="X171" s="69">
        <v>0</v>
      </c>
      <c r="Y171" s="69">
        <f t="shared" ca="1" si="120"/>
        <v>6814794.2400000002</v>
      </c>
      <c r="Z171" s="61">
        <f ca="1">IFERROR(__xludf.DUMMYFUNCTION("VLOOKUP(C171,IMPORTRANGE(""https://docs.google.com/spreadsheets/d/1heLiqWF_2HiP-P9QpK84CTP6DxpoT_aG9fTdG9C1JMk/edit?gid=1535728046#gid=1535728046"",""DATA_ABSEN_JUNI25""),42,0)+VLOOKUP(C171,IMPORTRANGE(""https://docs.google.com/spreadsheets/d/1heLiqWF_2Hi"&amp;"P-P9QpK84CTP6DxpoT_aG9fTdG9C1JMk/edit?gid=1535728046#gid=1535728046"",""DATA_ABSEN_JUNI25""),43,0)"),0)</f>
        <v>0</v>
      </c>
      <c r="AA171" s="61">
        <f ca="1">IFERROR(__xludf.DUMMYFUNCTION("VLOOKUP(C171,IMPORTRANGE(""https://docs.google.com/spreadsheets/d/1heLiqWF_2HiP-P9QpK84CTP6DxpoT_aG9fTdG9C1JMk/edit?gid=1535728046#gid=1535728046"",""DATA_ABSEN_JUNI25""),44,0)"),0)</f>
        <v>0</v>
      </c>
      <c r="AB171" s="61">
        <f ca="1">IFERROR(__xludf.DUMMYFUNCTION("VLOOKUP(C171,IMPORTRANGE(""https://docs.google.com/spreadsheets/d/1heLiqWF_2HiP-P9QpK84CTP6DxpoT_aG9fTdG9C1JMk/edit?gid=1535728046#gid=1535728046"",""DATA_ABSEN_JUNI25""),45,0)"),0)</f>
        <v>0</v>
      </c>
      <c r="AC171" s="61">
        <f ca="1">IFERROR(__xludf.DUMMYFUNCTION("VLOOKUP(C171,IMPORTRANGE(""https://docs.google.com/spreadsheets/d/1heLiqWF_2HiP-P9QpK84CTP6DxpoT_aG9fTdG9C1JMk/edit?gid=1535728046#gid=1535728046"",""DATA_ABSEN_JUNI25""),46,0)"),0)</f>
        <v>0</v>
      </c>
      <c r="AD171" s="125">
        <v>0</v>
      </c>
      <c r="AE171" s="69">
        <f t="shared" ca="1" si="121"/>
        <v>0</v>
      </c>
      <c r="AF171" s="20">
        <v>326819</v>
      </c>
      <c r="AG171" s="20">
        <v>176850</v>
      </c>
      <c r="AH171" s="69">
        <v>0</v>
      </c>
      <c r="AI171" s="69" t="e">
        <f t="shared" si="122"/>
        <v>#REF!</v>
      </c>
      <c r="AJ171" s="69">
        <v>0</v>
      </c>
      <c r="AK171" s="69" t="e">
        <f t="shared" si="123"/>
        <v>#REF!</v>
      </c>
      <c r="AL171" s="69">
        <v>0</v>
      </c>
      <c r="AM171" s="69">
        <f t="shared" ca="1" si="124"/>
        <v>503669</v>
      </c>
      <c r="AN171" s="69">
        <f t="shared" ca="1" si="125"/>
        <v>6311125.2400000002</v>
      </c>
      <c r="AO171" s="69">
        <f t="shared" ca="1" si="126"/>
        <v>66131.850399999996</v>
      </c>
      <c r="AP171" s="69">
        <f t="shared" ca="1" si="127"/>
        <v>6244993.3896000003</v>
      </c>
      <c r="AQ171" s="69">
        <f t="shared" ca="1" si="128"/>
        <v>6244993.3896000003</v>
      </c>
      <c r="AR171" s="70">
        <f t="shared" ca="1" si="129"/>
        <v>6244993.3896000003</v>
      </c>
      <c r="AS171" s="113"/>
      <c r="AT171" s="73" t="s">
        <v>9</v>
      </c>
      <c r="AU171" s="61" t="s">
        <v>10</v>
      </c>
      <c r="AV171" s="69">
        <f t="shared" si="130"/>
        <v>3537000</v>
      </c>
      <c r="AW171" s="69">
        <f t="shared" ca="1" si="131"/>
        <v>2655738.2399999998</v>
      </c>
      <c r="AX171" s="69">
        <f t="shared" ca="1" si="132"/>
        <v>259867</v>
      </c>
      <c r="AY171" s="69">
        <v>0</v>
      </c>
      <c r="AZ171" s="69">
        <f t="shared" si="133"/>
        <v>8488.7999999999993</v>
      </c>
      <c r="BA171" s="69">
        <f t="shared" si="134"/>
        <v>10611</v>
      </c>
      <c r="BB171" s="69">
        <f t="shared" si="135"/>
        <v>141480</v>
      </c>
      <c r="BC171" s="69">
        <f t="shared" ca="1" si="136"/>
        <v>6613185.04</v>
      </c>
      <c r="BD171" s="74">
        <f ca="1">IF(AU171="C",VLOOKUP(BC171,TER!$J$4:$L$50,3,TRUE),IF(AU171="B",VLOOKUP(BC171,TER!$F$4:$H$50,3,TRUE),IF(AU171="A",VLOOKUP(BC171,TER!$B$4:$D$50,3,TRUE),"ERROR")))</f>
        <v>0.01</v>
      </c>
      <c r="BE171" s="69">
        <f t="shared" ca="1" si="137"/>
        <v>66131.850399999996</v>
      </c>
      <c r="BF171" s="113"/>
      <c r="BG171" s="113"/>
    </row>
    <row r="172" spans="1:59" ht="13.5" hidden="1" customHeight="1">
      <c r="A172" s="113"/>
      <c r="B172" s="224">
        <v>17</v>
      </c>
      <c r="C172" s="87" t="s">
        <v>59</v>
      </c>
      <c r="D172" s="194" t="s">
        <v>60</v>
      </c>
      <c r="E172" s="67" t="s">
        <v>57</v>
      </c>
      <c r="F172" s="68" t="s">
        <v>61</v>
      </c>
      <c r="G172" s="67" t="s">
        <v>31</v>
      </c>
      <c r="H172" s="66" t="s">
        <v>32</v>
      </c>
      <c r="I172" s="69">
        <f t="shared" si="113"/>
        <v>3537000</v>
      </c>
      <c r="J172" s="70">
        <v>220709</v>
      </c>
      <c r="K172" s="70">
        <v>141480</v>
      </c>
      <c r="L172" s="70">
        <v>2766394</v>
      </c>
      <c r="M172" s="69">
        <f t="shared" ca="1" si="114"/>
        <v>115266.41666666667</v>
      </c>
      <c r="N172" s="61">
        <f ca="1">IFERROR(__xludf.DUMMYFUNCTION("VLOOKUP(C172,IMPORTRANGE(""https://docs.google.com/spreadsheets/d/1rlIahxEPRJNi2AZ1Wg_ST6ULVsuP72ohSpCzHj_8yUg/edit?gid=18363260#gid=18363260"",""SCHEDULE_KAI_JULI25""),39,0)"),21)</f>
        <v>21</v>
      </c>
      <c r="O172" s="61">
        <f ca="1">IFERROR(__xludf.DUMMYFUNCTION("VLOOKUP(C172,IMPORTRANGE(""https://docs.google.com/spreadsheets/d/1rlIahxEPRJNi2AZ1Wg_ST6ULVsuP72ohSpCzHj_8yUg/edit?gid=18363260#gid=18363260"",""SCHEDULE_KAI_JULI25""),40,0)"),24)</f>
        <v>24</v>
      </c>
      <c r="P172" s="69">
        <f t="shared" ca="1" si="115"/>
        <v>2420594.75</v>
      </c>
      <c r="Q172" s="66"/>
      <c r="R172" s="69">
        <f t="shared" si="116"/>
        <v>6665583</v>
      </c>
      <c r="S172" s="69">
        <f t="shared" ca="1" si="117"/>
        <v>6319783.75</v>
      </c>
      <c r="T172" s="69">
        <f t="shared" ca="1" si="118"/>
        <v>0</v>
      </c>
      <c r="U172" s="20">
        <v>259867</v>
      </c>
      <c r="V172" s="177">
        <f ca="1">IFERROR(__xludf.DUMMYFUNCTION("VLOOKUP(C172,IMPORTRANGE(""https://docs.google.com/spreadsheets/d/1heLiqWF_2HiP-P9QpK84CTP6DxpoT_aG9fTdG9C1JMk/edit?gid=1535728046#gid=1535728046"",""DATA_ABSEN_JUNI25""),41,0)"),2)</f>
        <v>2</v>
      </c>
      <c r="W172" s="69">
        <f t="shared" ca="1" si="119"/>
        <v>519734</v>
      </c>
      <c r="X172" s="69">
        <v>0</v>
      </c>
      <c r="Y172" s="69">
        <f t="shared" ca="1" si="120"/>
        <v>6839517.75</v>
      </c>
      <c r="Z172" s="61">
        <f ca="1">IFERROR(__xludf.DUMMYFUNCTION("VLOOKUP(C172,IMPORTRANGE(""https://docs.google.com/spreadsheets/d/1heLiqWF_2HiP-P9QpK84CTP6DxpoT_aG9fTdG9C1JMk/edit?gid=1535728046#gid=1535728046"",""DATA_ABSEN_JUNI25""),42,0)+VLOOKUP(C172,IMPORTRANGE(""https://docs.google.com/spreadsheets/d/1heLiqWF_2Hi"&amp;"P-P9QpK84CTP6DxpoT_aG9fTdG9C1JMk/edit?gid=1535728046#gid=1535728046"",""DATA_ABSEN_JUNI25""),43,0)"),0)</f>
        <v>0</v>
      </c>
      <c r="AA172" s="61">
        <f ca="1">IFERROR(__xludf.DUMMYFUNCTION("VLOOKUP(C172,IMPORTRANGE(""https://docs.google.com/spreadsheets/d/1heLiqWF_2HiP-P9QpK84CTP6DxpoT_aG9fTdG9C1JMk/edit?gid=1535728046#gid=1535728046"",""DATA_ABSEN_JUNI25""),44,0)"),4)</f>
        <v>4</v>
      </c>
      <c r="AB172" s="61">
        <f ca="1">IFERROR(__xludf.DUMMYFUNCTION("VLOOKUP(C172,IMPORTRANGE(""https://docs.google.com/spreadsheets/d/1heLiqWF_2HiP-P9QpK84CTP6DxpoT_aG9fTdG9C1JMk/edit?gid=1535728046#gid=1535728046"",""DATA_ABSEN_JUNI25""),45,0)"),0)</f>
        <v>0</v>
      </c>
      <c r="AC172" s="61">
        <f ca="1">IFERROR(__xludf.DUMMYFUNCTION("VLOOKUP(C172,IMPORTRANGE(""https://docs.google.com/spreadsheets/d/1heLiqWF_2HiP-P9QpK84CTP6DxpoT_aG9fTdG9C1JMk/edit?gid=1535728046#gid=1535728046"",""DATA_ABSEN_JUNI25""),46,0)"),0)</f>
        <v>0</v>
      </c>
      <c r="AD172" s="125">
        <v>0</v>
      </c>
      <c r="AE172" s="69">
        <f t="shared" ca="1" si="121"/>
        <v>1039468</v>
      </c>
      <c r="AF172" s="20">
        <v>326819</v>
      </c>
      <c r="AG172" s="20">
        <v>176850</v>
      </c>
      <c r="AH172" s="69">
        <v>0</v>
      </c>
      <c r="AI172" s="69" t="e">
        <f t="shared" si="122"/>
        <v>#REF!</v>
      </c>
      <c r="AJ172" s="69">
        <v>0</v>
      </c>
      <c r="AK172" s="69" t="e">
        <f t="shared" si="123"/>
        <v>#REF!</v>
      </c>
      <c r="AL172" s="69">
        <v>0</v>
      </c>
      <c r="AM172" s="69">
        <f t="shared" ca="1" si="124"/>
        <v>1543137</v>
      </c>
      <c r="AN172" s="69">
        <f t="shared" ca="1" si="125"/>
        <v>5296380.75</v>
      </c>
      <c r="AO172" s="69">
        <f t="shared" ca="1" si="126"/>
        <v>66379.085500000001</v>
      </c>
      <c r="AP172" s="69">
        <f t="shared" ca="1" si="127"/>
        <v>5230001.6645</v>
      </c>
      <c r="AQ172" s="69">
        <f t="shared" ca="1" si="128"/>
        <v>5230001.6645</v>
      </c>
      <c r="AR172" s="70">
        <f t="shared" ca="1" si="129"/>
        <v>5230001.6645</v>
      </c>
      <c r="AS172" s="113"/>
      <c r="AT172" s="73" t="s">
        <v>9</v>
      </c>
      <c r="AU172" s="61" t="s">
        <v>10</v>
      </c>
      <c r="AV172" s="69">
        <f t="shared" si="130"/>
        <v>3537000</v>
      </c>
      <c r="AW172" s="69">
        <f t="shared" ca="1" si="131"/>
        <v>2420594.75</v>
      </c>
      <c r="AX172" s="69">
        <f t="shared" ca="1" si="132"/>
        <v>519734</v>
      </c>
      <c r="AY172" s="69">
        <v>0</v>
      </c>
      <c r="AZ172" s="69">
        <f t="shared" si="133"/>
        <v>8488.7999999999993</v>
      </c>
      <c r="BA172" s="69">
        <f t="shared" si="134"/>
        <v>10611</v>
      </c>
      <c r="BB172" s="69">
        <f t="shared" si="135"/>
        <v>141480</v>
      </c>
      <c r="BC172" s="69">
        <f t="shared" ca="1" si="136"/>
        <v>6637908.5499999998</v>
      </c>
      <c r="BD172" s="74">
        <f ca="1">IF(AU172="C",VLOOKUP(BC172,TER!$J$4:$L$50,3,TRUE),IF(AU172="B",VLOOKUP(BC172,TER!$F$4:$H$50,3,TRUE),IF(AU172="A",VLOOKUP(BC172,TER!$B$4:$D$50,3,TRUE),"ERROR")))</f>
        <v>0.01</v>
      </c>
      <c r="BE172" s="69">
        <f t="shared" ca="1" si="137"/>
        <v>66379.085500000001</v>
      </c>
      <c r="BF172" s="113"/>
      <c r="BG172" s="113"/>
    </row>
    <row r="173" spans="1:59" ht="13.5" hidden="1" customHeight="1">
      <c r="A173" s="113"/>
      <c r="B173" s="224">
        <v>18</v>
      </c>
      <c r="C173" s="87" t="s">
        <v>484</v>
      </c>
      <c r="D173" s="194" t="s">
        <v>485</v>
      </c>
      <c r="E173" s="67" t="s">
        <v>57</v>
      </c>
      <c r="F173" s="68" t="s">
        <v>486</v>
      </c>
      <c r="G173" s="67" t="s">
        <v>31</v>
      </c>
      <c r="H173" s="66" t="s">
        <v>32</v>
      </c>
      <c r="I173" s="69">
        <f t="shared" si="113"/>
        <v>3537000</v>
      </c>
      <c r="J173" s="70">
        <v>220709</v>
      </c>
      <c r="K173" s="70">
        <v>141480</v>
      </c>
      <c r="L173" s="70">
        <v>2766394</v>
      </c>
      <c r="M173" s="69">
        <f t="shared" ca="1" si="114"/>
        <v>110655.76</v>
      </c>
      <c r="N173" s="61">
        <f ca="1">IFERROR(__xludf.DUMMYFUNCTION("VLOOKUP(C173,IMPORTRANGE(""https://docs.google.com/spreadsheets/d/1rlIahxEPRJNi2AZ1Wg_ST6ULVsuP72ohSpCzHj_8yUg/edit?gid=18363260#gid=18363260"",""SCHEDULE_KAI_JULI25""),39,0)"),25)</f>
        <v>25</v>
      </c>
      <c r="O173" s="61">
        <f ca="1">IFERROR(__xludf.DUMMYFUNCTION("VLOOKUP(C173,IMPORTRANGE(""https://docs.google.com/spreadsheets/d/1rlIahxEPRJNi2AZ1Wg_ST6ULVsuP72ohSpCzHj_8yUg/edit?gid=18363260#gid=18363260"",""SCHEDULE_KAI_JULI25""),40,0)"),25)</f>
        <v>25</v>
      </c>
      <c r="P173" s="69">
        <f t="shared" ca="1" si="115"/>
        <v>2766394</v>
      </c>
      <c r="Q173" s="66"/>
      <c r="R173" s="69">
        <f t="shared" si="116"/>
        <v>6665583</v>
      </c>
      <c r="S173" s="69">
        <f t="shared" ca="1" si="117"/>
        <v>6665583</v>
      </c>
      <c r="T173" s="69">
        <f t="shared" ca="1" si="118"/>
        <v>0</v>
      </c>
      <c r="U173" s="20">
        <v>259867</v>
      </c>
      <c r="V173" s="177">
        <f ca="1">IFERROR(__xludf.DUMMYFUNCTION("VLOOKUP(C173,IMPORTRANGE(""https://docs.google.com/spreadsheets/d/1heLiqWF_2HiP-P9QpK84CTP6DxpoT_aG9fTdG9C1JMk/edit?gid=1535728046#gid=1535728046"",""DATA_ABSEN_JUNI25""),41,0)"),1)</f>
        <v>1</v>
      </c>
      <c r="W173" s="69">
        <f t="shared" ca="1" si="119"/>
        <v>259867</v>
      </c>
      <c r="X173" s="69">
        <v>0</v>
      </c>
      <c r="Y173" s="69">
        <f t="shared" ca="1" si="120"/>
        <v>6925450</v>
      </c>
      <c r="Z173" s="61">
        <f ca="1">IFERROR(__xludf.DUMMYFUNCTION("VLOOKUP(C173,IMPORTRANGE(""https://docs.google.com/spreadsheets/d/1heLiqWF_2HiP-P9QpK84CTP6DxpoT_aG9fTdG9C1JMk/edit?gid=1535728046#gid=1535728046"",""DATA_ABSEN_JUNI25""),42,0)+VLOOKUP(C173,IMPORTRANGE(""https://docs.google.com/spreadsheets/d/1heLiqWF_2Hi"&amp;"P-P9QpK84CTP6DxpoT_aG9fTdG9C1JMk/edit?gid=1535728046#gid=1535728046"",""DATA_ABSEN_JUNI25""),43,0)"),0)</f>
        <v>0</v>
      </c>
      <c r="AA173" s="61">
        <f ca="1">IFERROR(__xludf.DUMMYFUNCTION("VLOOKUP(C173,IMPORTRANGE(""https://docs.google.com/spreadsheets/d/1heLiqWF_2HiP-P9QpK84CTP6DxpoT_aG9fTdG9C1JMk/edit?gid=1535728046#gid=1535728046"",""DATA_ABSEN_JUNI25""),44,0)"),0)</f>
        <v>0</v>
      </c>
      <c r="AB173" s="61">
        <f ca="1">IFERROR(__xludf.DUMMYFUNCTION("VLOOKUP(C173,IMPORTRANGE(""https://docs.google.com/spreadsheets/d/1heLiqWF_2HiP-P9QpK84CTP6DxpoT_aG9fTdG9C1JMk/edit?gid=1535728046#gid=1535728046"",""DATA_ABSEN_JUNI25""),45,0)"),0)</f>
        <v>0</v>
      </c>
      <c r="AC173" s="61">
        <f ca="1">IFERROR(__xludf.DUMMYFUNCTION("VLOOKUP(C173,IMPORTRANGE(""https://docs.google.com/spreadsheets/d/1heLiqWF_2HiP-P9QpK84CTP6DxpoT_aG9fTdG9C1JMk/edit?gid=1535728046#gid=1535728046"",""DATA_ABSEN_JUNI25""),46,0)"),0)</f>
        <v>0</v>
      </c>
      <c r="AD173" s="125">
        <v>0</v>
      </c>
      <c r="AE173" s="69">
        <f t="shared" ca="1" si="121"/>
        <v>0</v>
      </c>
      <c r="AF173" s="20">
        <v>326819</v>
      </c>
      <c r="AG173" s="20">
        <v>176850</v>
      </c>
      <c r="AH173" s="69">
        <v>0</v>
      </c>
      <c r="AI173" s="69" t="e">
        <f t="shared" si="122"/>
        <v>#REF!</v>
      </c>
      <c r="AJ173" s="69">
        <v>0</v>
      </c>
      <c r="AK173" s="69" t="e">
        <f t="shared" si="123"/>
        <v>#REF!</v>
      </c>
      <c r="AL173" s="69">
        <v>0</v>
      </c>
      <c r="AM173" s="69">
        <f t="shared" ca="1" si="124"/>
        <v>503669</v>
      </c>
      <c r="AN173" s="69">
        <f t="shared" ca="1" si="125"/>
        <v>6421781</v>
      </c>
      <c r="AO173" s="69">
        <f t="shared" ca="1" si="126"/>
        <v>33619.203999999998</v>
      </c>
      <c r="AP173" s="69">
        <f t="shared" ca="1" si="127"/>
        <v>6388161.7960000001</v>
      </c>
      <c r="AQ173" s="69">
        <f t="shared" ca="1" si="128"/>
        <v>6388161.7960000001</v>
      </c>
      <c r="AR173" s="70">
        <f t="shared" ca="1" si="129"/>
        <v>6388161.7960000001</v>
      </c>
      <c r="AS173" s="113"/>
      <c r="AT173" s="73" t="s">
        <v>17</v>
      </c>
      <c r="AU173" s="61" t="s">
        <v>15</v>
      </c>
      <c r="AV173" s="69">
        <f t="shared" si="130"/>
        <v>3537000</v>
      </c>
      <c r="AW173" s="69">
        <f t="shared" ca="1" si="131"/>
        <v>2766394</v>
      </c>
      <c r="AX173" s="69">
        <f t="shared" ca="1" si="132"/>
        <v>259867</v>
      </c>
      <c r="AY173" s="69">
        <v>0</v>
      </c>
      <c r="AZ173" s="69">
        <f t="shared" si="133"/>
        <v>8488.7999999999993</v>
      </c>
      <c r="BA173" s="69">
        <f t="shared" si="134"/>
        <v>10611</v>
      </c>
      <c r="BB173" s="69">
        <f t="shared" si="135"/>
        <v>141480</v>
      </c>
      <c r="BC173" s="69">
        <f t="shared" ca="1" si="136"/>
        <v>6723840.7999999998</v>
      </c>
      <c r="BD173" s="74">
        <f ca="1">IF(AU173="C",VLOOKUP(BC173,TER!$J$4:$L$50,3,TRUE),IF(AU173="B",VLOOKUP(BC173,TER!$F$4:$H$50,3,TRUE),IF(AU173="A",VLOOKUP(BC173,TER!$B$4:$D$50,3,TRUE),"ERROR")))</f>
        <v>5.0000000000000001E-3</v>
      </c>
      <c r="BE173" s="69">
        <f t="shared" ca="1" si="137"/>
        <v>33619.203999999998</v>
      </c>
      <c r="BF173" s="113"/>
      <c r="BG173" s="113"/>
    </row>
    <row r="174" spans="1:59" ht="13.5" hidden="1" customHeight="1">
      <c r="A174" s="113"/>
      <c r="B174" s="224">
        <v>19</v>
      </c>
      <c r="C174" s="87" t="s">
        <v>487</v>
      </c>
      <c r="D174" s="194" t="s">
        <v>488</v>
      </c>
      <c r="E174" s="67" t="s">
        <v>57</v>
      </c>
      <c r="F174" s="68" t="s">
        <v>1247</v>
      </c>
      <c r="G174" s="67" t="s">
        <v>31</v>
      </c>
      <c r="H174" s="66" t="s">
        <v>32</v>
      </c>
      <c r="I174" s="69">
        <f t="shared" si="113"/>
        <v>3537000</v>
      </c>
      <c r="J174" s="70">
        <v>220709</v>
      </c>
      <c r="K174" s="70">
        <v>141480</v>
      </c>
      <c r="L174" s="70">
        <v>2766394</v>
      </c>
      <c r="M174" s="69">
        <f t="shared" ca="1" si="114"/>
        <v>110655.76</v>
      </c>
      <c r="N174" s="61">
        <f ca="1">IFERROR(__xludf.DUMMYFUNCTION("VLOOKUP(C174,IMPORTRANGE(""https://docs.google.com/spreadsheets/d/1rlIahxEPRJNi2AZ1Wg_ST6ULVsuP72ohSpCzHj_8yUg/edit?gid=18363260#gid=18363260"",""SCHEDULE_KAI_JULI25""),39,0)"),24)</f>
        <v>24</v>
      </c>
      <c r="O174" s="61">
        <f ca="1">IFERROR(__xludf.DUMMYFUNCTION("VLOOKUP(C174,IMPORTRANGE(""https://docs.google.com/spreadsheets/d/1rlIahxEPRJNi2AZ1Wg_ST6ULVsuP72ohSpCzHj_8yUg/edit?gid=18363260#gid=18363260"",""SCHEDULE_KAI_JULI25""),40,0)"),25)</f>
        <v>25</v>
      </c>
      <c r="P174" s="69">
        <f t="shared" ca="1" si="115"/>
        <v>2655738.2399999998</v>
      </c>
      <c r="Q174" s="66"/>
      <c r="R174" s="69">
        <f t="shared" si="116"/>
        <v>6665583</v>
      </c>
      <c r="S174" s="69">
        <f t="shared" ca="1" si="117"/>
        <v>6554927.2400000002</v>
      </c>
      <c r="T174" s="69">
        <f t="shared" ca="1" si="118"/>
        <v>0</v>
      </c>
      <c r="U174" s="20">
        <v>259867</v>
      </c>
      <c r="V174" s="177">
        <f ca="1">IFERROR(__xludf.DUMMYFUNCTION("VLOOKUP(C174,IMPORTRANGE(""https://docs.google.com/spreadsheets/d/1heLiqWF_2HiP-P9QpK84CTP6DxpoT_aG9fTdG9C1JMk/edit?gid=1535728046#gid=1535728046"",""DATA_ABSEN_JUNI25""),41,0)"),1)</f>
        <v>1</v>
      </c>
      <c r="W174" s="69">
        <f t="shared" ca="1" si="119"/>
        <v>259867</v>
      </c>
      <c r="X174" s="69">
        <v>0</v>
      </c>
      <c r="Y174" s="69">
        <f t="shared" ca="1" si="120"/>
        <v>6814794.2400000002</v>
      </c>
      <c r="Z174" s="61">
        <f ca="1">IFERROR(__xludf.DUMMYFUNCTION("VLOOKUP(C174,IMPORTRANGE(""https://docs.google.com/spreadsheets/d/1heLiqWF_2HiP-P9QpK84CTP6DxpoT_aG9fTdG9C1JMk/edit?gid=1535728046#gid=1535728046"",""DATA_ABSEN_JUNI25""),42,0)+VLOOKUP(C174,IMPORTRANGE(""https://docs.google.com/spreadsheets/d/1heLiqWF_2Hi"&amp;"P-P9QpK84CTP6DxpoT_aG9fTdG9C1JMk/edit?gid=1535728046#gid=1535728046"",""DATA_ABSEN_JUNI25""),43,0)"),0)</f>
        <v>0</v>
      </c>
      <c r="AA174" s="61">
        <f ca="1">IFERROR(__xludf.DUMMYFUNCTION("VLOOKUP(C174,IMPORTRANGE(""https://docs.google.com/spreadsheets/d/1heLiqWF_2HiP-P9QpK84CTP6DxpoT_aG9fTdG9C1JMk/edit?gid=1535728046#gid=1535728046"",""DATA_ABSEN_JUNI25""),44,0)"),1)</f>
        <v>1</v>
      </c>
      <c r="AB174" s="61">
        <f ca="1">IFERROR(__xludf.DUMMYFUNCTION("VLOOKUP(C174,IMPORTRANGE(""https://docs.google.com/spreadsheets/d/1heLiqWF_2HiP-P9QpK84CTP6DxpoT_aG9fTdG9C1JMk/edit?gid=1535728046#gid=1535728046"",""DATA_ABSEN_JUNI25""),45,0)"),0)</f>
        <v>0</v>
      </c>
      <c r="AC174" s="61">
        <f ca="1">IFERROR(__xludf.DUMMYFUNCTION("VLOOKUP(C174,IMPORTRANGE(""https://docs.google.com/spreadsheets/d/1heLiqWF_2HiP-P9QpK84CTP6DxpoT_aG9fTdG9C1JMk/edit?gid=1535728046#gid=1535728046"",""DATA_ABSEN_JUNI25""),46,0)"),0)</f>
        <v>0</v>
      </c>
      <c r="AD174" s="125">
        <v>0</v>
      </c>
      <c r="AE174" s="69">
        <f t="shared" ca="1" si="121"/>
        <v>259867</v>
      </c>
      <c r="AF174" s="20">
        <v>326819</v>
      </c>
      <c r="AG174" s="20">
        <v>176850</v>
      </c>
      <c r="AH174" s="69">
        <v>0</v>
      </c>
      <c r="AI174" s="69" t="e">
        <f t="shared" si="122"/>
        <v>#REF!</v>
      </c>
      <c r="AJ174" s="69">
        <v>0</v>
      </c>
      <c r="AK174" s="69" t="e">
        <f t="shared" si="123"/>
        <v>#REF!</v>
      </c>
      <c r="AL174" s="69">
        <v>0</v>
      </c>
      <c r="AM174" s="69">
        <f t="shared" ca="1" si="124"/>
        <v>763536</v>
      </c>
      <c r="AN174" s="69">
        <f t="shared" ca="1" si="125"/>
        <v>6051258.2400000002</v>
      </c>
      <c r="AO174" s="69">
        <f t="shared" ca="1" si="126"/>
        <v>33065.925199999998</v>
      </c>
      <c r="AP174" s="69">
        <f t="shared" ca="1" si="127"/>
        <v>6018192.3147999998</v>
      </c>
      <c r="AQ174" s="69">
        <f t="shared" ca="1" si="128"/>
        <v>6018192.3147999998</v>
      </c>
      <c r="AR174" s="70">
        <f t="shared" ca="1" si="129"/>
        <v>6018192.3147999998</v>
      </c>
      <c r="AS174" s="113"/>
      <c r="AT174" s="73" t="s">
        <v>18</v>
      </c>
      <c r="AU174" s="61" t="s">
        <v>15</v>
      </c>
      <c r="AV174" s="69">
        <f t="shared" si="130"/>
        <v>3537000</v>
      </c>
      <c r="AW174" s="69">
        <f t="shared" ca="1" si="131"/>
        <v>2655738.2399999998</v>
      </c>
      <c r="AX174" s="69">
        <f t="shared" ca="1" si="132"/>
        <v>259867</v>
      </c>
      <c r="AY174" s="69">
        <v>0</v>
      </c>
      <c r="AZ174" s="69">
        <f t="shared" si="133"/>
        <v>8488.7999999999993</v>
      </c>
      <c r="BA174" s="69">
        <f t="shared" si="134"/>
        <v>10611</v>
      </c>
      <c r="BB174" s="69">
        <f t="shared" si="135"/>
        <v>141480</v>
      </c>
      <c r="BC174" s="69">
        <f t="shared" ca="1" si="136"/>
        <v>6613185.04</v>
      </c>
      <c r="BD174" s="74">
        <f ca="1">IF(AU174="C",VLOOKUP(BC174,TER!$J$4:$L$50,3,TRUE),IF(AU174="B",VLOOKUP(BC174,TER!$F$4:$H$50,3,TRUE),IF(AU174="A",VLOOKUP(BC174,TER!$B$4:$D$50,3,TRUE),"ERROR")))</f>
        <v>5.0000000000000001E-3</v>
      </c>
      <c r="BE174" s="69">
        <f t="shared" ca="1" si="137"/>
        <v>33065.925199999998</v>
      </c>
      <c r="BF174" s="113"/>
      <c r="BG174" s="113"/>
    </row>
    <row r="175" spans="1:59" ht="13.5" hidden="1" customHeight="1">
      <c r="A175" s="113"/>
      <c r="B175" s="224">
        <v>20</v>
      </c>
      <c r="C175" s="87" t="s">
        <v>489</v>
      </c>
      <c r="D175" s="194" t="s">
        <v>490</v>
      </c>
      <c r="E175" s="67" t="s">
        <v>57</v>
      </c>
      <c r="F175" s="68" t="s">
        <v>1248</v>
      </c>
      <c r="G175" s="67" t="s">
        <v>31</v>
      </c>
      <c r="H175" s="66" t="s">
        <v>32</v>
      </c>
      <c r="I175" s="69">
        <f t="shared" si="113"/>
        <v>3537000</v>
      </c>
      <c r="J175" s="70">
        <v>220709</v>
      </c>
      <c r="K175" s="70">
        <v>141480</v>
      </c>
      <c r="L175" s="70">
        <v>2766394</v>
      </c>
      <c r="M175" s="69">
        <f t="shared" ca="1" si="114"/>
        <v>110655.76</v>
      </c>
      <c r="N175" s="61">
        <f ca="1">IFERROR(__xludf.DUMMYFUNCTION("VLOOKUP(C175,IMPORTRANGE(""https://docs.google.com/spreadsheets/d/1rlIahxEPRJNi2AZ1Wg_ST6ULVsuP72ohSpCzHj_8yUg/edit?gid=18363260#gid=18363260"",""SCHEDULE_KAI_JULI25""),39,0)"),25)</f>
        <v>25</v>
      </c>
      <c r="O175" s="61">
        <f ca="1">IFERROR(__xludf.DUMMYFUNCTION("VLOOKUP(C175,IMPORTRANGE(""https://docs.google.com/spreadsheets/d/1rlIahxEPRJNi2AZ1Wg_ST6ULVsuP72ohSpCzHj_8yUg/edit?gid=18363260#gid=18363260"",""SCHEDULE_KAI_JULI25""),40,0)"),25)</f>
        <v>25</v>
      </c>
      <c r="P175" s="69">
        <f t="shared" ca="1" si="115"/>
        <v>2766394</v>
      </c>
      <c r="Q175" s="66"/>
      <c r="R175" s="69">
        <f t="shared" si="116"/>
        <v>6665583</v>
      </c>
      <c r="S175" s="69">
        <f t="shared" ca="1" si="117"/>
        <v>6665583</v>
      </c>
      <c r="T175" s="69">
        <f t="shared" ca="1" si="118"/>
        <v>0</v>
      </c>
      <c r="U175" s="20">
        <v>259867</v>
      </c>
      <c r="V175" s="177">
        <f ca="1">IFERROR(__xludf.DUMMYFUNCTION("VLOOKUP(C175,IMPORTRANGE(""https://docs.google.com/spreadsheets/d/1heLiqWF_2HiP-P9QpK84CTP6DxpoT_aG9fTdG9C1JMk/edit?gid=1535728046#gid=1535728046"",""DATA_ABSEN_JUNI25""),41,0)"),3)</f>
        <v>3</v>
      </c>
      <c r="W175" s="69">
        <f t="shared" ca="1" si="119"/>
        <v>779601</v>
      </c>
      <c r="X175" s="69">
        <v>0</v>
      </c>
      <c r="Y175" s="69">
        <f t="shared" ca="1" si="120"/>
        <v>7445184</v>
      </c>
      <c r="Z175" s="61">
        <f ca="1">IFERROR(__xludf.DUMMYFUNCTION("VLOOKUP(C175,IMPORTRANGE(""https://docs.google.com/spreadsheets/d/1heLiqWF_2HiP-P9QpK84CTP6DxpoT_aG9fTdG9C1JMk/edit?gid=1535728046#gid=1535728046"",""DATA_ABSEN_JUNI25""),42,0)+VLOOKUP(C175,IMPORTRANGE(""https://docs.google.com/spreadsheets/d/1heLiqWF_2Hi"&amp;"P-P9QpK84CTP6DxpoT_aG9fTdG9C1JMk/edit?gid=1535728046#gid=1535728046"",""DATA_ABSEN_JUNI25""),43,0)"),0)</f>
        <v>0</v>
      </c>
      <c r="AA175" s="61">
        <f ca="1">IFERROR(__xludf.DUMMYFUNCTION("VLOOKUP(C175,IMPORTRANGE(""https://docs.google.com/spreadsheets/d/1heLiqWF_2HiP-P9QpK84CTP6DxpoT_aG9fTdG9C1JMk/edit?gid=1535728046#gid=1535728046"",""DATA_ABSEN_JUNI25""),44,0)"),0)</f>
        <v>0</v>
      </c>
      <c r="AB175" s="61">
        <f ca="1">IFERROR(__xludf.DUMMYFUNCTION("VLOOKUP(C175,IMPORTRANGE(""https://docs.google.com/spreadsheets/d/1heLiqWF_2HiP-P9QpK84CTP6DxpoT_aG9fTdG9C1JMk/edit?gid=1535728046#gid=1535728046"",""DATA_ABSEN_JUNI25""),45,0)"),0)</f>
        <v>0</v>
      </c>
      <c r="AC175" s="61">
        <f ca="1">IFERROR(__xludf.DUMMYFUNCTION("VLOOKUP(C175,IMPORTRANGE(""https://docs.google.com/spreadsheets/d/1heLiqWF_2HiP-P9QpK84CTP6DxpoT_aG9fTdG9C1JMk/edit?gid=1535728046#gid=1535728046"",""DATA_ABSEN_JUNI25""),46,0)"),0)</f>
        <v>0</v>
      </c>
      <c r="AD175" s="125">
        <v>0</v>
      </c>
      <c r="AE175" s="69">
        <f t="shared" ca="1" si="121"/>
        <v>0</v>
      </c>
      <c r="AF175" s="20">
        <v>326819</v>
      </c>
      <c r="AG175" s="20">
        <v>176850</v>
      </c>
      <c r="AH175" s="69">
        <v>0</v>
      </c>
      <c r="AI175" s="69" t="e">
        <f t="shared" si="122"/>
        <v>#REF!</v>
      </c>
      <c r="AJ175" s="69">
        <v>0</v>
      </c>
      <c r="AK175" s="69" t="e">
        <f t="shared" si="123"/>
        <v>#REF!</v>
      </c>
      <c r="AL175" s="69">
        <v>0</v>
      </c>
      <c r="AM175" s="69">
        <f t="shared" ca="1" si="124"/>
        <v>503669</v>
      </c>
      <c r="AN175" s="69">
        <f t="shared" ca="1" si="125"/>
        <v>6941515</v>
      </c>
      <c r="AO175" s="69">
        <f t="shared" ca="1" si="126"/>
        <v>90544.684999999998</v>
      </c>
      <c r="AP175" s="69">
        <f t="shared" ca="1" si="127"/>
        <v>6850970.3150000004</v>
      </c>
      <c r="AQ175" s="69">
        <f t="shared" ca="1" si="128"/>
        <v>6850970.3150000004</v>
      </c>
      <c r="AR175" s="70">
        <f t="shared" ca="1" si="129"/>
        <v>6850970.3150000004</v>
      </c>
      <c r="AS175" s="113"/>
      <c r="AT175" s="73" t="s">
        <v>9</v>
      </c>
      <c r="AU175" s="61" t="s">
        <v>10</v>
      </c>
      <c r="AV175" s="69">
        <f t="shared" si="130"/>
        <v>3537000</v>
      </c>
      <c r="AW175" s="69">
        <f t="shared" ca="1" si="131"/>
        <v>2766394</v>
      </c>
      <c r="AX175" s="69">
        <f t="shared" ca="1" si="132"/>
        <v>779601</v>
      </c>
      <c r="AY175" s="69">
        <v>0</v>
      </c>
      <c r="AZ175" s="69">
        <f t="shared" si="133"/>
        <v>8488.7999999999993</v>
      </c>
      <c r="BA175" s="69">
        <f t="shared" si="134"/>
        <v>10611</v>
      </c>
      <c r="BB175" s="69">
        <f t="shared" si="135"/>
        <v>141480</v>
      </c>
      <c r="BC175" s="69">
        <f t="shared" ca="1" si="136"/>
        <v>7243574.7999999998</v>
      </c>
      <c r="BD175" s="74">
        <f ca="1">IF(AU175="C",VLOOKUP(BC175,TER!$J$4:$L$50,3,TRUE),IF(AU175="B",VLOOKUP(BC175,TER!$F$4:$H$50,3,TRUE),IF(AU175="A",VLOOKUP(BC175,TER!$B$4:$D$50,3,TRUE),"ERROR")))</f>
        <v>1.2500000000000001E-2</v>
      </c>
      <c r="BE175" s="69">
        <f t="shared" ca="1" si="137"/>
        <v>90544.684999999998</v>
      </c>
      <c r="BF175" s="113"/>
      <c r="BG175" s="113"/>
    </row>
    <row r="176" spans="1:59" ht="13.5" hidden="1" customHeight="1">
      <c r="A176" s="113"/>
      <c r="B176" s="224">
        <v>21</v>
      </c>
      <c r="C176" s="87" t="s">
        <v>491</v>
      </c>
      <c r="D176" s="194" t="s">
        <v>144</v>
      </c>
      <c r="E176" s="67" t="s">
        <v>57</v>
      </c>
      <c r="F176" s="68" t="s">
        <v>492</v>
      </c>
      <c r="G176" s="67" t="s">
        <v>31</v>
      </c>
      <c r="H176" s="66" t="s">
        <v>32</v>
      </c>
      <c r="I176" s="69">
        <f t="shared" si="113"/>
        <v>3537000</v>
      </c>
      <c r="J176" s="70">
        <v>220709</v>
      </c>
      <c r="K176" s="70">
        <v>141480</v>
      </c>
      <c r="L176" s="70">
        <v>2766394</v>
      </c>
      <c r="M176" s="69">
        <f t="shared" ca="1" si="114"/>
        <v>110655.76</v>
      </c>
      <c r="N176" s="61">
        <f ca="1">IFERROR(__xludf.DUMMYFUNCTION("VLOOKUP(C176,IMPORTRANGE(""https://docs.google.com/spreadsheets/d/1rlIahxEPRJNi2AZ1Wg_ST6ULVsuP72ohSpCzHj_8yUg/edit?gid=18363260#gid=18363260"",""SCHEDULE_KAI_JULI25""),39,0)"),25)</f>
        <v>25</v>
      </c>
      <c r="O176" s="61">
        <f ca="1">IFERROR(__xludf.DUMMYFUNCTION("VLOOKUP(C176,IMPORTRANGE(""https://docs.google.com/spreadsheets/d/1rlIahxEPRJNi2AZ1Wg_ST6ULVsuP72ohSpCzHj_8yUg/edit?gid=18363260#gid=18363260"",""SCHEDULE_KAI_JULI25""),40,0)"),25)</f>
        <v>25</v>
      </c>
      <c r="P176" s="69">
        <f t="shared" ca="1" si="115"/>
        <v>2766394</v>
      </c>
      <c r="Q176" s="66"/>
      <c r="R176" s="69">
        <f t="shared" si="116"/>
        <v>6665583</v>
      </c>
      <c r="S176" s="69">
        <f t="shared" ca="1" si="117"/>
        <v>6665583</v>
      </c>
      <c r="T176" s="69">
        <f t="shared" ca="1" si="118"/>
        <v>0</v>
      </c>
      <c r="U176" s="20">
        <v>259867</v>
      </c>
      <c r="V176" s="177">
        <f ca="1">IFERROR(__xludf.DUMMYFUNCTION("VLOOKUP(C176,IMPORTRANGE(""https://docs.google.com/spreadsheets/d/1heLiqWF_2HiP-P9QpK84CTP6DxpoT_aG9fTdG9C1JMk/edit?gid=1535728046#gid=1535728046"",""DATA_ABSEN_JUNI25""),41,0)"),1)</f>
        <v>1</v>
      </c>
      <c r="W176" s="69">
        <f t="shared" ca="1" si="119"/>
        <v>259867</v>
      </c>
      <c r="X176" s="69">
        <v>0</v>
      </c>
      <c r="Y176" s="69">
        <f t="shared" ca="1" si="120"/>
        <v>6925450</v>
      </c>
      <c r="Z176" s="61">
        <f ca="1">IFERROR(__xludf.DUMMYFUNCTION("VLOOKUP(C176,IMPORTRANGE(""https://docs.google.com/spreadsheets/d/1heLiqWF_2HiP-P9QpK84CTP6DxpoT_aG9fTdG9C1JMk/edit?gid=1535728046#gid=1535728046"",""DATA_ABSEN_JUNI25""),42,0)+VLOOKUP(C176,IMPORTRANGE(""https://docs.google.com/spreadsheets/d/1heLiqWF_2Hi"&amp;"P-P9QpK84CTP6DxpoT_aG9fTdG9C1JMk/edit?gid=1535728046#gid=1535728046"",""DATA_ABSEN_JUNI25""),43,0)"),0)</f>
        <v>0</v>
      </c>
      <c r="AA176" s="61">
        <f ca="1">IFERROR(__xludf.DUMMYFUNCTION("VLOOKUP(C176,IMPORTRANGE(""https://docs.google.com/spreadsheets/d/1heLiqWF_2HiP-P9QpK84CTP6DxpoT_aG9fTdG9C1JMk/edit?gid=1535728046#gid=1535728046"",""DATA_ABSEN_JUNI25""),44,0)"),0)</f>
        <v>0</v>
      </c>
      <c r="AB176" s="61">
        <f ca="1">IFERROR(__xludf.DUMMYFUNCTION("VLOOKUP(C176,IMPORTRANGE(""https://docs.google.com/spreadsheets/d/1heLiqWF_2HiP-P9QpK84CTP6DxpoT_aG9fTdG9C1JMk/edit?gid=1535728046#gid=1535728046"",""DATA_ABSEN_JUNI25""),45,0)"),0)</f>
        <v>0</v>
      </c>
      <c r="AC176" s="61">
        <f ca="1">IFERROR(__xludf.DUMMYFUNCTION("VLOOKUP(C176,IMPORTRANGE(""https://docs.google.com/spreadsheets/d/1heLiqWF_2HiP-P9QpK84CTP6DxpoT_aG9fTdG9C1JMk/edit?gid=1535728046#gid=1535728046"",""DATA_ABSEN_JUNI25""),46,0)"),0)</f>
        <v>0</v>
      </c>
      <c r="AD176" s="125">
        <v>0</v>
      </c>
      <c r="AE176" s="69">
        <f t="shared" ca="1" si="121"/>
        <v>0</v>
      </c>
      <c r="AF176" s="20">
        <v>326819</v>
      </c>
      <c r="AG176" s="20">
        <v>176850</v>
      </c>
      <c r="AH176" s="69">
        <v>0</v>
      </c>
      <c r="AI176" s="69" t="e">
        <f t="shared" si="122"/>
        <v>#REF!</v>
      </c>
      <c r="AJ176" s="69">
        <v>0</v>
      </c>
      <c r="AK176" s="69" t="e">
        <f t="shared" si="123"/>
        <v>#REF!</v>
      </c>
      <c r="AL176" s="69">
        <v>0</v>
      </c>
      <c r="AM176" s="69">
        <f t="shared" ca="1" si="124"/>
        <v>503669</v>
      </c>
      <c r="AN176" s="69">
        <f t="shared" ca="1" si="125"/>
        <v>6421781</v>
      </c>
      <c r="AO176" s="69">
        <f t="shared" ca="1" si="126"/>
        <v>67238.407999999996</v>
      </c>
      <c r="AP176" s="69">
        <f t="shared" ca="1" si="127"/>
        <v>6354542.5920000002</v>
      </c>
      <c r="AQ176" s="69">
        <f t="shared" ca="1" si="128"/>
        <v>6354542.5920000002</v>
      </c>
      <c r="AR176" s="70">
        <f t="shared" ca="1" si="129"/>
        <v>6354542.5920000002</v>
      </c>
      <c r="AS176" s="113"/>
      <c r="AT176" s="73" t="s">
        <v>9</v>
      </c>
      <c r="AU176" s="61" t="s">
        <v>10</v>
      </c>
      <c r="AV176" s="69">
        <f t="shared" si="130"/>
        <v>3537000</v>
      </c>
      <c r="AW176" s="69">
        <f t="shared" ca="1" si="131"/>
        <v>2766394</v>
      </c>
      <c r="AX176" s="69">
        <f t="shared" ca="1" si="132"/>
        <v>259867</v>
      </c>
      <c r="AY176" s="69">
        <v>0</v>
      </c>
      <c r="AZ176" s="69">
        <f t="shared" si="133"/>
        <v>8488.7999999999993</v>
      </c>
      <c r="BA176" s="69">
        <f t="shared" si="134"/>
        <v>10611</v>
      </c>
      <c r="BB176" s="69">
        <f t="shared" si="135"/>
        <v>141480</v>
      </c>
      <c r="BC176" s="69">
        <f t="shared" ca="1" si="136"/>
        <v>6723840.7999999998</v>
      </c>
      <c r="BD176" s="74">
        <f ca="1">IF(AU176="C",VLOOKUP(BC176,TER!$J$4:$L$50,3,TRUE),IF(AU176="B",VLOOKUP(BC176,TER!$F$4:$H$50,3,TRUE),IF(AU176="A",VLOOKUP(BC176,TER!$B$4:$D$50,3,TRUE),"ERROR")))</f>
        <v>0.01</v>
      </c>
      <c r="BE176" s="69">
        <f t="shared" ca="1" si="137"/>
        <v>67238.407999999996</v>
      </c>
      <c r="BF176" s="113"/>
      <c r="BG176" s="113"/>
    </row>
    <row r="177" spans="1:59" ht="13.5" hidden="1" customHeight="1">
      <c r="A177" s="113"/>
      <c r="B177" s="224">
        <v>22</v>
      </c>
      <c r="C177" s="68" t="s">
        <v>493</v>
      </c>
      <c r="D177" s="98" t="s">
        <v>494</v>
      </c>
      <c r="E177" s="67" t="s">
        <v>57</v>
      </c>
      <c r="F177" s="68" t="s">
        <v>495</v>
      </c>
      <c r="G177" s="67" t="s">
        <v>31</v>
      </c>
      <c r="H177" s="66" t="s">
        <v>32</v>
      </c>
      <c r="I177" s="69">
        <f t="shared" si="113"/>
        <v>3537000</v>
      </c>
      <c r="J177" s="70">
        <v>220709</v>
      </c>
      <c r="K177" s="70">
        <v>141480</v>
      </c>
      <c r="L177" s="70">
        <v>2766394</v>
      </c>
      <c r="M177" s="69">
        <f t="shared" ca="1" si="114"/>
        <v>110655.76</v>
      </c>
      <c r="N177" s="61">
        <f ca="1">IFERROR(__xludf.DUMMYFUNCTION("VLOOKUP(C177,IMPORTRANGE(""https://docs.google.com/spreadsheets/d/1rlIahxEPRJNi2AZ1Wg_ST6ULVsuP72ohSpCzHj_8yUg/edit?gid=18363260#gid=18363260"",""SCHEDULE_KAI_JULI25""),39,0)"),25)</f>
        <v>25</v>
      </c>
      <c r="O177" s="61">
        <f ca="1">IFERROR(__xludf.DUMMYFUNCTION("VLOOKUP(C177,IMPORTRANGE(""https://docs.google.com/spreadsheets/d/1rlIahxEPRJNi2AZ1Wg_ST6ULVsuP72ohSpCzHj_8yUg/edit?gid=18363260#gid=18363260"",""SCHEDULE_KAI_JULI25""),40,0)"),25)</f>
        <v>25</v>
      </c>
      <c r="P177" s="69">
        <f t="shared" ca="1" si="115"/>
        <v>2766394</v>
      </c>
      <c r="Q177" s="66"/>
      <c r="R177" s="69">
        <f t="shared" si="116"/>
        <v>6665583</v>
      </c>
      <c r="S177" s="69">
        <f t="shared" ca="1" si="117"/>
        <v>6665583</v>
      </c>
      <c r="T177" s="69">
        <f t="shared" ca="1" si="118"/>
        <v>0</v>
      </c>
      <c r="U177" s="20">
        <v>259867</v>
      </c>
      <c r="V177" s="177">
        <f ca="1">IFERROR(__xludf.DUMMYFUNCTION("VLOOKUP(C177,IMPORTRANGE(""https://docs.google.com/spreadsheets/d/1heLiqWF_2HiP-P9QpK84CTP6DxpoT_aG9fTdG9C1JMk/edit?gid=1535728046#gid=1535728046"",""DATA_ABSEN_JUNI25""),41,0)"),2)</f>
        <v>2</v>
      </c>
      <c r="W177" s="69">
        <f t="shared" ca="1" si="119"/>
        <v>519734</v>
      </c>
      <c r="X177" s="69">
        <v>0</v>
      </c>
      <c r="Y177" s="69">
        <f t="shared" ca="1" si="120"/>
        <v>7185317</v>
      </c>
      <c r="Z177" s="61">
        <f ca="1">IFERROR(__xludf.DUMMYFUNCTION("VLOOKUP(C177,IMPORTRANGE(""https://docs.google.com/spreadsheets/d/1heLiqWF_2HiP-P9QpK84CTP6DxpoT_aG9fTdG9C1JMk/edit?gid=1535728046#gid=1535728046"",""DATA_ABSEN_JUNI25""),42,0)+VLOOKUP(C177,IMPORTRANGE(""https://docs.google.com/spreadsheets/d/1heLiqWF_2Hi"&amp;"P-P9QpK84CTP6DxpoT_aG9fTdG9C1JMk/edit?gid=1535728046#gid=1535728046"",""DATA_ABSEN_JUNI25""),43,0)"),0)</f>
        <v>0</v>
      </c>
      <c r="AA177" s="61">
        <f ca="1">IFERROR(__xludf.DUMMYFUNCTION("VLOOKUP(C177,IMPORTRANGE(""https://docs.google.com/spreadsheets/d/1heLiqWF_2HiP-P9QpK84CTP6DxpoT_aG9fTdG9C1JMk/edit?gid=1535728046#gid=1535728046"",""DATA_ABSEN_JUNI25""),44,0)"),0)</f>
        <v>0</v>
      </c>
      <c r="AB177" s="61">
        <f ca="1">IFERROR(__xludf.DUMMYFUNCTION("VLOOKUP(C177,IMPORTRANGE(""https://docs.google.com/spreadsheets/d/1heLiqWF_2HiP-P9QpK84CTP6DxpoT_aG9fTdG9C1JMk/edit?gid=1535728046#gid=1535728046"",""DATA_ABSEN_JUNI25""),45,0)"),0)</f>
        <v>0</v>
      </c>
      <c r="AC177" s="61">
        <f ca="1">IFERROR(__xludf.DUMMYFUNCTION("VLOOKUP(C177,IMPORTRANGE(""https://docs.google.com/spreadsheets/d/1heLiqWF_2HiP-P9QpK84CTP6DxpoT_aG9fTdG9C1JMk/edit?gid=1535728046#gid=1535728046"",""DATA_ABSEN_JUNI25""),46,0)"),0)</f>
        <v>0</v>
      </c>
      <c r="AD177" s="125">
        <v>0</v>
      </c>
      <c r="AE177" s="69">
        <f t="shared" ca="1" si="121"/>
        <v>0</v>
      </c>
      <c r="AF177" s="20">
        <v>326819</v>
      </c>
      <c r="AG177" s="20">
        <v>176850</v>
      </c>
      <c r="AH177" s="69">
        <v>0</v>
      </c>
      <c r="AI177" s="69" t="e">
        <f t="shared" si="122"/>
        <v>#REF!</v>
      </c>
      <c r="AJ177" s="69">
        <v>0</v>
      </c>
      <c r="AK177" s="69" t="e">
        <f t="shared" si="123"/>
        <v>#REF!</v>
      </c>
      <c r="AL177" s="69">
        <v>0</v>
      </c>
      <c r="AM177" s="69">
        <f t="shared" ca="1" si="124"/>
        <v>503669</v>
      </c>
      <c r="AN177" s="69">
        <f t="shared" ca="1" si="125"/>
        <v>6681648</v>
      </c>
      <c r="AO177" s="69">
        <f t="shared" ca="1" si="126"/>
        <v>87296.347500000003</v>
      </c>
      <c r="AP177" s="69">
        <f t="shared" ca="1" si="127"/>
        <v>6594351.6524999999</v>
      </c>
      <c r="AQ177" s="69">
        <f t="shared" ca="1" si="128"/>
        <v>6594351.6524999999</v>
      </c>
      <c r="AR177" s="70">
        <f t="shared" ca="1" si="129"/>
        <v>6594351.6524999999</v>
      </c>
      <c r="AS177" s="113"/>
      <c r="AT177" s="73" t="s">
        <v>9</v>
      </c>
      <c r="AU177" s="61" t="s">
        <v>10</v>
      </c>
      <c r="AV177" s="69">
        <f t="shared" si="130"/>
        <v>3537000</v>
      </c>
      <c r="AW177" s="69">
        <f t="shared" ca="1" si="131"/>
        <v>2766394</v>
      </c>
      <c r="AX177" s="69">
        <f t="shared" ca="1" si="132"/>
        <v>519734</v>
      </c>
      <c r="AY177" s="69">
        <v>0</v>
      </c>
      <c r="AZ177" s="69">
        <f t="shared" si="133"/>
        <v>8488.7999999999993</v>
      </c>
      <c r="BA177" s="69">
        <f t="shared" si="134"/>
        <v>10611</v>
      </c>
      <c r="BB177" s="69">
        <f t="shared" si="135"/>
        <v>141480</v>
      </c>
      <c r="BC177" s="69">
        <f t="shared" ca="1" si="136"/>
        <v>6983707.7999999998</v>
      </c>
      <c r="BD177" s="74">
        <f ca="1">IF(AU177="C",VLOOKUP(BC177,TER!$J$4:$L$50,3,TRUE),IF(AU177="B",VLOOKUP(BC177,TER!$F$4:$H$50,3,TRUE),IF(AU177="A",VLOOKUP(BC177,TER!$B$4:$D$50,3,TRUE),"ERROR")))</f>
        <v>1.2500000000000001E-2</v>
      </c>
      <c r="BE177" s="69">
        <f t="shared" ca="1" si="137"/>
        <v>87296.347500000003</v>
      </c>
      <c r="BF177" s="113"/>
      <c r="BG177" s="113"/>
    </row>
    <row r="178" spans="1:59" ht="13.5" hidden="1" customHeight="1">
      <c r="A178" s="113"/>
      <c r="B178" s="224">
        <v>23</v>
      </c>
      <c r="C178" s="68" t="s">
        <v>496</v>
      </c>
      <c r="D178" s="98" t="s">
        <v>497</v>
      </c>
      <c r="E178" s="67" t="s">
        <v>57</v>
      </c>
      <c r="F178" s="68" t="s">
        <v>498</v>
      </c>
      <c r="G178" s="67" t="s">
        <v>94</v>
      </c>
      <c r="H178" s="66" t="s">
        <v>32</v>
      </c>
      <c r="I178" s="69">
        <f t="shared" si="113"/>
        <v>3537000</v>
      </c>
      <c r="J178" s="70">
        <v>220709</v>
      </c>
      <c r="K178" s="70">
        <v>141480</v>
      </c>
      <c r="L178" s="70">
        <v>2934427</v>
      </c>
      <c r="M178" s="69">
        <f t="shared" ca="1" si="114"/>
        <v>146721.35</v>
      </c>
      <c r="N178" s="61">
        <f ca="1">IFERROR(__xludf.DUMMYFUNCTION("VLOOKUP(C178,IMPORTRANGE(""https://docs.google.com/spreadsheets/d/1rlIahxEPRJNi2AZ1Wg_ST6ULVsuP72ohSpCzHj_8yUg/edit?gid=18363260#gid=18363260"",""SCHEDULE_KAI_JULI25""),39,0)"),20)</f>
        <v>20</v>
      </c>
      <c r="O178" s="61">
        <f ca="1">IFERROR(__xludf.DUMMYFUNCTION("VLOOKUP(C178,IMPORTRANGE(""https://docs.google.com/spreadsheets/d/1rlIahxEPRJNi2AZ1Wg_ST6ULVsuP72ohSpCzHj_8yUg/edit?gid=18363260#gid=18363260"",""SCHEDULE_KAI_JULI25""),40,0)"),20)</f>
        <v>20</v>
      </c>
      <c r="P178" s="182">
        <f t="shared" ca="1" si="115"/>
        <v>2934427</v>
      </c>
      <c r="Q178" s="66"/>
      <c r="R178" s="69">
        <f t="shared" si="116"/>
        <v>6833616</v>
      </c>
      <c r="S178" s="69">
        <f t="shared" ca="1" si="117"/>
        <v>6833616</v>
      </c>
      <c r="T178" s="69">
        <f t="shared" ca="1" si="118"/>
        <v>0</v>
      </c>
      <c r="U178" s="20">
        <v>259867</v>
      </c>
      <c r="V178" s="177">
        <f ca="1">IFERROR(__xludf.DUMMYFUNCTION("VLOOKUP(C178,IMPORTRANGE(""https://docs.google.com/spreadsheets/d/1heLiqWF_2HiP-P9QpK84CTP6DxpoT_aG9fTdG9C1JMk/edit?gid=1535728046#gid=1535728046"",""DATA_ABSEN_JUNI25""),41,0)"),0)</f>
        <v>0</v>
      </c>
      <c r="W178" s="69">
        <f t="shared" ca="1" si="119"/>
        <v>0</v>
      </c>
      <c r="X178" s="69">
        <v>0</v>
      </c>
      <c r="Y178" s="69">
        <f t="shared" ca="1" si="120"/>
        <v>6833616</v>
      </c>
      <c r="Z178" s="61">
        <f ca="1">IFERROR(__xludf.DUMMYFUNCTION("VLOOKUP(C178,IMPORTRANGE(""https://docs.google.com/spreadsheets/d/1heLiqWF_2HiP-P9QpK84CTP6DxpoT_aG9fTdG9C1JMk/edit?gid=1535728046#gid=1535728046"",""DATA_ABSEN_JUNI25""),42,0)+VLOOKUP(C178,IMPORTRANGE(""https://docs.google.com/spreadsheets/d/1heLiqWF_2Hi"&amp;"P-P9QpK84CTP6DxpoT_aG9fTdG9C1JMk/edit?gid=1535728046#gid=1535728046"",""DATA_ABSEN_JUNI25""),43,0)"),0)</f>
        <v>0</v>
      </c>
      <c r="AA178" s="61">
        <f ca="1">IFERROR(__xludf.DUMMYFUNCTION("VLOOKUP(C178,IMPORTRANGE(""https://docs.google.com/spreadsheets/d/1heLiqWF_2HiP-P9QpK84CTP6DxpoT_aG9fTdG9C1JMk/edit?gid=1535728046#gid=1535728046"",""DATA_ABSEN_JUNI25""),44,0)"),0)</f>
        <v>0</v>
      </c>
      <c r="AB178" s="61">
        <f ca="1">IFERROR(__xludf.DUMMYFUNCTION("VLOOKUP(C178,IMPORTRANGE(""https://docs.google.com/spreadsheets/d/1heLiqWF_2HiP-P9QpK84CTP6DxpoT_aG9fTdG9C1JMk/edit?gid=1535728046#gid=1535728046"",""DATA_ABSEN_JUNI25""),45,0)"),0)</f>
        <v>0</v>
      </c>
      <c r="AC178" s="61">
        <f ca="1">IFERROR(__xludf.DUMMYFUNCTION("VLOOKUP(C178,IMPORTRANGE(""https://docs.google.com/spreadsheets/d/1heLiqWF_2HiP-P9QpK84CTP6DxpoT_aG9fTdG9C1JMk/edit?gid=1535728046#gid=1535728046"",""DATA_ABSEN_JUNI25""),46,0)"),0)</f>
        <v>0</v>
      </c>
      <c r="AD178" s="125">
        <v>0</v>
      </c>
      <c r="AE178" s="69">
        <f t="shared" ca="1" si="121"/>
        <v>0</v>
      </c>
      <c r="AF178" s="20">
        <v>326819</v>
      </c>
      <c r="AG178" s="20">
        <v>176850</v>
      </c>
      <c r="AH178" s="69">
        <v>0</v>
      </c>
      <c r="AI178" s="69" t="e">
        <f t="shared" si="122"/>
        <v>#REF!</v>
      </c>
      <c r="AJ178" s="69">
        <v>0</v>
      </c>
      <c r="AK178" s="69" t="e">
        <f t="shared" si="123"/>
        <v>#REF!</v>
      </c>
      <c r="AL178" s="69">
        <v>0</v>
      </c>
      <c r="AM178" s="69">
        <f t="shared" ca="1" si="124"/>
        <v>503669</v>
      </c>
      <c r="AN178" s="69">
        <f t="shared" ca="1" si="125"/>
        <v>6329947</v>
      </c>
      <c r="AO178" s="69">
        <f t="shared" ca="1" si="126"/>
        <v>66320.067999999999</v>
      </c>
      <c r="AP178" s="69">
        <f t="shared" ca="1" si="127"/>
        <v>6263626.932</v>
      </c>
      <c r="AQ178" s="69">
        <f t="shared" ca="1" si="128"/>
        <v>6263626.932</v>
      </c>
      <c r="AR178" s="70">
        <f t="shared" ca="1" si="129"/>
        <v>6263626.932</v>
      </c>
      <c r="AS178" s="113"/>
      <c r="AT178" s="73" t="s">
        <v>9</v>
      </c>
      <c r="AU178" s="61" t="s">
        <v>10</v>
      </c>
      <c r="AV178" s="69">
        <f t="shared" si="130"/>
        <v>3537000</v>
      </c>
      <c r="AW178" s="69">
        <f t="shared" ca="1" si="131"/>
        <v>2934427</v>
      </c>
      <c r="AX178" s="69">
        <f t="shared" ca="1" si="132"/>
        <v>0</v>
      </c>
      <c r="AY178" s="69">
        <v>0</v>
      </c>
      <c r="AZ178" s="69">
        <f t="shared" si="133"/>
        <v>8488.7999999999993</v>
      </c>
      <c r="BA178" s="69">
        <f t="shared" si="134"/>
        <v>10611</v>
      </c>
      <c r="BB178" s="69">
        <f t="shared" si="135"/>
        <v>141480</v>
      </c>
      <c r="BC178" s="69">
        <f t="shared" ca="1" si="136"/>
        <v>6632006.7999999998</v>
      </c>
      <c r="BD178" s="74">
        <f ca="1">IF(AU178="C",VLOOKUP(BC178,TER!$J$4:$L$50,3,TRUE),IF(AU178="B",VLOOKUP(BC178,TER!$F$4:$H$50,3,TRUE),IF(AU178="A",VLOOKUP(BC178,TER!$B$4:$D$50,3,TRUE),"ERROR")))</f>
        <v>0.01</v>
      </c>
      <c r="BE178" s="69">
        <f t="shared" ca="1" si="137"/>
        <v>66320.067999999999</v>
      </c>
      <c r="BF178" s="113"/>
      <c r="BG178" s="113"/>
    </row>
    <row r="179" spans="1:59" ht="13.5" hidden="1" customHeight="1">
      <c r="A179" s="113"/>
      <c r="B179" s="224">
        <v>24</v>
      </c>
      <c r="C179" s="68" t="s">
        <v>499</v>
      </c>
      <c r="D179" s="66" t="s">
        <v>500</v>
      </c>
      <c r="E179" s="67" t="s">
        <v>57</v>
      </c>
      <c r="F179" s="68" t="s">
        <v>1249</v>
      </c>
      <c r="G179" s="67" t="s">
        <v>31</v>
      </c>
      <c r="H179" s="66" t="s">
        <v>32</v>
      </c>
      <c r="I179" s="69">
        <f t="shared" si="113"/>
        <v>3537000</v>
      </c>
      <c r="J179" s="70">
        <v>220709</v>
      </c>
      <c r="K179" s="70">
        <v>141480</v>
      </c>
      <c r="L179" s="70">
        <v>2766394</v>
      </c>
      <c r="M179" s="69">
        <f t="shared" ca="1" si="114"/>
        <v>110655.76</v>
      </c>
      <c r="N179" s="61">
        <f ca="1">IFERROR(__xludf.DUMMYFUNCTION("VLOOKUP(C179,IMPORTRANGE(""https://docs.google.com/spreadsheets/d/1rlIahxEPRJNi2AZ1Wg_ST6ULVsuP72ohSpCzHj_8yUg/edit?gid=18363260#gid=18363260"",""SCHEDULE_KAI_JULI25""),39,0)"),23)</f>
        <v>23</v>
      </c>
      <c r="O179" s="61">
        <f ca="1">IFERROR(__xludf.DUMMYFUNCTION("VLOOKUP(C179,IMPORTRANGE(""https://docs.google.com/spreadsheets/d/1rlIahxEPRJNi2AZ1Wg_ST6ULVsuP72ohSpCzHj_8yUg/edit?gid=18363260#gid=18363260"",""SCHEDULE_KAI_JULI25""),40,0)"),25)</f>
        <v>25</v>
      </c>
      <c r="P179" s="69">
        <f t="shared" ca="1" si="115"/>
        <v>2545082.48</v>
      </c>
      <c r="Q179" s="179"/>
      <c r="R179" s="69">
        <f t="shared" si="116"/>
        <v>6665583</v>
      </c>
      <c r="S179" s="69">
        <f t="shared" ca="1" si="117"/>
        <v>6444271.4800000004</v>
      </c>
      <c r="T179" s="69">
        <f t="shared" ca="1" si="118"/>
        <v>0</v>
      </c>
      <c r="U179" s="20">
        <v>259867</v>
      </c>
      <c r="V179" s="177">
        <f ca="1">IFERROR(__xludf.DUMMYFUNCTION("VLOOKUP(C179,IMPORTRANGE(""https://docs.google.com/spreadsheets/d/1heLiqWF_2HiP-P9QpK84CTP6DxpoT_aG9fTdG9C1JMk/edit?gid=1535728046#gid=1535728046"",""DATA_ABSEN_JUNI25""),41,0)"),2)</f>
        <v>2</v>
      </c>
      <c r="W179" s="69">
        <f t="shared" ca="1" si="119"/>
        <v>519734</v>
      </c>
      <c r="X179" s="183">
        <v>0</v>
      </c>
      <c r="Y179" s="69">
        <f t="shared" ca="1" si="120"/>
        <v>6964005.4800000004</v>
      </c>
      <c r="Z179" s="61">
        <f ca="1">IFERROR(__xludf.DUMMYFUNCTION("VLOOKUP(C179,IMPORTRANGE(""https://docs.google.com/spreadsheets/d/1heLiqWF_2HiP-P9QpK84CTP6DxpoT_aG9fTdG9C1JMk/edit?gid=1535728046#gid=1535728046"",""DATA_ABSEN_JUNI25""),42,0)+VLOOKUP(C179,IMPORTRANGE(""https://docs.google.com/spreadsheets/d/1heLiqWF_2Hi"&amp;"P-P9QpK84CTP6DxpoT_aG9fTdG9C1JMk/edit?gid=1535728046#gid=1535728046"",""DATA_ABSEN_JUNI25""),43,0)"),0)</f>
        <v>0</v>
      </c>
      <c r="AA179" s="61">
        <f ca="1">IFERROR(__xludf.DUMMYFUNCTION("VLOOKUP(C179,IMPORTRANGE(""https://docs.google.com/spreadsheets/d/1heLiqWF_2HiP-P9QpK84CTP6DxpoT_aG9fTdG9C1JMk/edit?gid=1535728046#gid=1535728046"",""DATA_ABSEN_JUNI25""),44,0)"),0)</f>
        <v>0</v>
      </c>
      <c r="AB179" s="61">
        <f ca="1">IFERROR(__xludf.DUMMYFUNCTION("VLOOKUP(C179,IMPORTRANGE(""https://docs.google.com/spreadsheets/d/1heLiqWF_2HiP-P9QpK84CTP6DxpoT_aG9fTdG9C1JMk/edit?gid=1535728046#gid=1535728046"",""DATA_ABSEN_JUNI25""),45,0)"),0)</f>
        <v>0</v>
      </c>
      <c r="AC179" s="61">
        <f ca="1">IFERROR(__xludf.DUMMYFUNCTION("VLOOKUP(C179,IMPORTRANGE(""https://docs.google.com/spreadsheets/d/1heLiqWF_2HiP-P9QpK84CTP6DxpoT_aG9fTdG9C1JMk/edit?gid=1535728046#gid=1535728046"",""DATA_ABSEN_JUNI25""),46,0)"),0)</f>
        <v>0</v>
      </c>
      <c r="AD179" s="125">
        <v>0</v>
      </c>
      <c r="AE179" s="69">
        <f t="shared" ca="1" si="121"/>
        <v>0</v>
      </c>
      <c r="AF179" s="20">
        <v>326819</v>
      </c>
      <c r="AG179" s="20">
        <v>176850</v>
      </c>
      <c r="AH179" s="69">
        <v>0</v>
      </c>
      <c r="AI179" s="69" t="e">
        <f t="shared" si="122"/>
        <v>#REF!</v>
      </c>
      <c r="AJ179" s="69">
        <v>0</v>
      </c>
      <c r="AK179" s="69" t="e">
        <f t="shared" si="123"/>
        <v>#REF!</v>
      </c>
      <c r="AL179" s="183">
        <v>0</v>
      </c>
      <c r="AM179" s="69">
        <f t="shared" ca="1" si="124"/>
        <v>503669</v>
      </c>
      <c r="AN179" s="69">
        <f t="shared" ca="1" si="125"/>
        <v>6460336.4800000004</v>
      </c>
      <c r="AO179" s="69">
        <f t="shared" ca="1" si="126"/>
        <v>84529.953500000003</v>
      </c>
      <c r="AP179" s="69">
        <f t="shared" ca="1" si="127"/>
        <v>6375806.5265000006</v>
      </c>
      <c r="AQ179" s="69">
        <f t="shared" ca="1" si="128"/>
        <v>6375806.5265000006</v>
      </c>
      <c r="AR179" s="70">
        <f t="shared" ca="1" si="129"/>
        <v>6375806.5265000006</v>
      </c>
      <c r="AS179" s="184"/>
      <c r="AT179" s="185" t="s">
        <v>9</v>
      </c>
      <c r="AU179" s="186" t="s">
        <v>10</v>
      </c>
      <c r="AV179" s="69">
        <f t="shared" si="130"/>
        <v>3537000</v>
      </c>
      <c r="AW179" s="69">
        <f t="shared" ca="1" si="131"/>
        <v>2545082.48</v>
      </c>
      <c r="AX179" s="69">
        <f t="shared" ca="1" si="132"/>
        <v>519734</v>
      </c>
      <c r="AY179" s="183">
        <v>0</v>
      </c>
      <c r="AZ179" s="69">
        <f t="shared" si="133"/>
        <v>8488.7999999999993</v>
      </c>
      <c r="BA179" s="69">
        <f t="shared" si="134"/>
        <v>10611</v>
      </c>
      <c r="BB179" s="69">
        <f t="shared" si="135"/>
        <v>141480</v>
      </c>
      <c r="BC179" s="69">
        <f t="shared" ca="1" si="136"/>
        <v>6762396.2800000003</v>
      </c>
      <c r="BD179" s="74">
        <f ca="1">IF(AU179="C",VLOOKUP(BC179,TER!$J$4:$L$50,3,TRUE),IF(AU179="B",VLOOKUP(BC179,TER!$F$4:$H$50,3,TRUE),IF(AU179="A",VLOOKUP(BC179,TER!$B$4:$D$50,3,TRUE),"ERROR")))</f>
        <v>1.2500000000000001E-2</v>
      </c>
      <c r="BE179" s="69">
        <f t="shared" ca="1" si="137"/>
        <v>84529.953500000003</v>
      </c>
      <c r="BF179" s="113"/>
      <c r="BG179" s="113"/>
    </row>
    <row r="180" spans="1:59" ht="13.5" hidden="1" customHeight="1">
      <c r="A180" s="113"/>
      <c r="B180" s="224">
        <v>25</v>
      </c>
      <c r="C180" s="68" t="s">
        <v>501</v>
      </c>
      <c r="D180" s="98" t="s">
        <v>502</v>
      </c>
      <c r="E180" s="67" t="s">
        <v>57</v>
      </c>
      <c r="F180" s="68" t="s">
        <v>503</v>
      </c>
      <c r="G180" s="67" t="s">
        <v>31</v>
      </c>
      <c r="H180" s="66" t="s">
        <v>32</v>
      </c>
      <c r="I180" s="69">
        <f t="shared" si="113"/>
        <v>3537000</v>
      </c>
      <c r="J180" s="70">
        <v>220709</v>
      </c>
      <c r="K180" s="70">
        <v>141480</v>
      </c>
      <c r="L180" s="70">
        <v>2766394</v>
      </c>
      <c r="M180" s="69">
        <f t="shared" ca="1" si="114"/>
        <v>110655.76</v>
      </c>
      <c r="N180" s="61">
        <f ca="1">IFERROR(__xludf.DUMMYFUNCTION("VLOOKUP(C180,IMPORTRANGE(""https://docs.google.com/spreadsheets/d/1rlIahxEPRJNi2AZ1Wg_ST6ULVsuP72ohSpCzHj_8yUg/edit?gid=18363260#gid=18363260"",""SCHEDULE_KAI_JULI25""),39,0)"),24)</f>
        <v>24</v>
      </c>
      <c r="O180" s="61">
        <f ca="1">IFERROR(__xludf.DUMMYFUNCTION("VLOOKUP(C180,IMPORTRANGE(""https://docs.google.com/spreadsheets/d/1rlIahxEPRJNi2AZ1Wg_ST6ULVsuP72ohSpCzHj_8yUg/edit?gid=18363260#gid=18363260"",""SCHEDULE_KAI_JULI25""),40,0)"),25)</f>
        <v>25</v>
      </c>
      <c r="P180" s="69">
        <f t="shared" ca="1" si="115"/>
        <v>2655738.2399999998</v>
      </c>
      <c r="Q180" s="66"/>
      <c r="R180" s="69">
        <f t="shared" si="116"/>
        <v>6665583</v>
      </c>
      <c r="S180" s="69">
        <f t="shared" ca="1" si="117"/>
        <v>6554927.2400000002</v>
      </c>
      <c r="T180" s="69">
        <f t="shared" ca="1" si="118"/>
        <v>0</v>
      </c>
      <c r="U180" s="20">
        <v>259867</v>
      </c>
      <c r="V180" s="177">
        <f ca="1">IFERROR(__xludf.DUMMYFUNCTION("VLOOKUP(C180,IMPORTRANGE(""https://docs.google.com/spreadsheets/d/1heLiqWF_2HiP-P9QpK84CTP6DxpoT_aG9fTdG9C1JMk/edit?gid=1535728046#gid=1535728046"",""DATA_ABSEN_JUNI25""),41,0)"),1)</f>
        <v>1</v>
      </c>
      <c r="W180" s="69">
        <f t="shared" ca="1" si="119"/>
        <v>259867</v>
      </c>
      <c r="X180" s="69">
        <v>0</v>
      </c>
      <c r="Y180" s="69">
        <f t="shared" ca="1" si="120"/>
        <v>6814794.2400000002</v>
      </c>
      <c r="Z180" s="61">
        <f ca="1">IFERROR(__xludf.DUMMYFUNCTION("VLOOKUP(C180,IMPORTRANGE(""https://docs.google.com/spreadsheets/d/1heLiqWF_2HiP-P9QpK84CTP6DxpoT_aG9fTdG9C1JMk/edit?gid=1535728046#gid=1535728046"",""DATA_ABSEN_JUNI25""),42,0)+VLOOKUP(C180,IMPORTRANGE(""https://docs.google.com/spreadsheets/d/1heLiqWF_2Hi"&amp;"P-P9QpK84CTP6DxpoT_aG9fTdG9C1JMk/edit?gid=1535728046#gid=1535728046"",""DATA_ABSEN_JUNI25""),43,0)"),0)</f>
        <v>0</v>
      </c>
      <c r="AA180" s="61">
        <f ca="1">IFERROR(__xludf.DUMMYFUNCTION("VLOOKUP(C180,IMPORTRANGE(""https://docs.google.com/spreadsheets/d/1heLiqWF_2HiP-P9QpK84CTP6DxpoT_aG9fTdG9C1JMk/edit?gid=1535728046#gid=1535728046"",""DATA_ABSEN_JUNI25""),44,0)"),0)</f>
        <v>0</v>
      </c>
      <c r="AB180" s="61">
        <f ca="1">IFERROR(__xludf.DUMMYFUNCTION("VLOOKUP(C180,IMPORTRANGE(""https://docs.google.com/spreadsheets/d/1heLiqWF_2HiP-P9QpK84CTP6DxpoT_aG9fTdG9C1JMk/edit?gid=1535728046#gid=1535728046"",""DATA_ABSEN_JUNI25""),45,0)"),3)</f>
        <v>3</v>
      </c>
      <c r="AC180" s="61">
        <f ca="1">IFERROR(__xludf.DUMMYFUNCTION("VLOOKUP(C180,IMPORTRANGE(""https://docs.google.com/spreadsheets/d/1heLiqWF_2HiP-P9QpK84CTP6DxpoT_aG9fTdG9C1JMk/edit?gid=1535728046#gid=1535728046"",""DATA_ABSEN_JUNI25""),46,0)"),0)</f>
        <v>0</v>
      </c>
      <c r="AD180" s="125">
        <v>0</v>
      </c>
      <c r="AE180" s="69">
        <f t="shared" ca="1" si="121"/>
        <v>0</v>
      </c>
      <c r="AF180" s="20">
        <v>326819</v>
      </c>
      <c r="AG180" s="20">
        <v>176850</v>
      </c>
      <c r="AH180" s="69">
        <v>0</v>
      </c>
      <c r="AI180" s="69" t="e">
        <f t="shared" si="122"/>
        <v>#REF!</v>
      </c>
      <c r="AJ180" s="69">
        <v>0</v>
      </c>
      <c r="AK180" s="69" t="e">
        <f t="shared" si="123"/>
        <v>#REF!</v>
      </c>
      <c r="AL180" s="69">
        <v>0</v>
      </c>
      <c r="AM180" s="69">
        <f t="shared" ca="1" si="124"/>
        <v>503669</v>
      </c>
      <c r="AN180" s="69">
        <f t="shared" ca="1" si="125"/>
        <v>6311125.2400000002</v>
      </c>
      <c r="AO180" s="69">
        <f t="shared" ca="1" si="126"/>
        <v>66131.850399999996</v>
      </c>
      <c r="AP180" s="69">
        <f t="shared" ca="1" si="127"/>
        <v>6244993.3896000003</v>
      </c>
      <c r="AQ180" s="69">
        <f t="shared" ca="1" si="128"/>
        <v>6244993.3896000003</v>
      </c>
      <c r="AR180" s="70">
        <f t="shared" ca="1" si="129"/>
        <v>6244993.3896000003</v>
      </c>
      <c r="AS180" s="113"/>
      <c r="AT180" s="73" t="s">
        <v>13</v>
      </c>
      <c r="AU180" s="61" t="s">
        <v>10</v>
      </c>
      <c r="AV180" s="69">
        <f t="shared" si="130"/>
        <v>3537000</v>
      </c>
      <c r="AW180" s="69">
        <f t="shared" ca="1" si="131"/>
        <v>2655738.2399999998</v>
      </c>
      <c r="AX180" s="69">
        <f t="shared" ca="1" si="132"/>
        <v>259867</v>
      </c>
      <c r="AY180" s="69">
        <v>0</v>
      </c>
      <c r="AZ180" s="69">
        <f t="shared" si="133"/>
        <v>8488.7999999999993</v>
      </c>
      <c r="BA180" s="69">
        <f t="shared" si="134"/>
        <v>10611</v>
      </c>
      <c r="BB180" s="69">
        <f t="shared" si="135"/>
        <v>141480</v>
      </c>
      <c r="BC180" s="69">
        <f t="shared" ca="1" si="136"/>
        <v>6613185.04</v>
      </c>
      <c r="BD180" s="74">
        <f ca="1">IF(AU180="C",VLOOKUP(BC180,TER!$J$4:$L$50,3,TRUE),IF(AU180="B",VLOOKUP(BC180,TER!$F$4:$H$50,3,TRUE),IF(AU180="A",VLOOKUP(BC180,TER!$B$4:$D$50,3,TRUE),"ERROR")))</f>
        <v>0.01</v>
      </c>
      <c r="BE180" s="69">
        <f t="shared" ca="1" si="137"/>
        <v>66131.850399999996</v>
      </c>
      <c r="BF180" s="113"/>
      <c r="BG180" s="113"/>
    </row>
    <row r="181" spans="1:59" ht="13.5" hidden="1" customHeight="1">
      <c r="A181" s="113"/>
      <c r="B181" s="224">
        <v>26</v>
      </c>
      <c r="C181" s="68" t="s">
        <v>62</v>
      </c>
      <c r="D181" s="98" t="s">
        <v>63</v>
      </c>
      <c r="E181" s="67" t="s">
        <v>57</v>
      </c>
      <c r="F181" s="68" t="s">
        <v>64</v>
      </c>
      <c r="G181" s="67" t="s">
        <v>31</v>
      </c>
      <c r="H181" s="66" t="s">
        <v>32</v>
      </c>
      <c r="I181" s="69">
        <f t="shared" si="113"/>
        <v>3537000</v>
      </c>
      <c r="J181" s="70">
        <v>220709</v>
      </c>
      <c r="K181" s="70">
        <v>141480</v>
      </c>
      <c r="L181" s="70">
        <v>2766394</v>
      </c>
      <c r="M181" s="69">
        <f t="shared" ca="1" si="114"/>
        <v>110655.76</v>
      </c>
      <c r="N181" s="61">
        <f ca="1">IFERROR(__xludf.DUMMYFUNCTION("VLOOKUP(C181,IMPORTRANGE(""https://docs.google.com/spreadsheets/d/1rlIahxEPRJNi2AZ1Wg_ST6ULVsuP72ohSpCzHj_8yUg/edit?gid=18363260#gid=18363260"",""SCHEDULE_KAI_JULI25""),39,0)"),13)</f>
        <v>13</v>
      </c>
      <c r="O181" s="61">
        <f ca="1">IFERROR(__xludf.DUMMYFUNCTION("VLOOKUP(C181,IMPORTRANGE(""https://docs.google.com/spreadsheets/d/1rlIahxEPRJNi2AZ1Wg_ST6ULVsuP72ohSpCzHj_8yUg/edit?gid=18363260#gid=18363260"",""SCHEDULE_KAI_JULI25""),40,0)"),25)</f>
        <v>25</v>
      </c>
      <c r="P181" s="69">
        <f t="shared" ca="1" si="115"/>
        <v>1438524.88</v>
      </c>
      <c r="Q181" s="66"/>
      <c r="R181" s="69">
        <f t="shared" si="116"/>
        <v>6665583</v>
      </c>
      <c r="S181" s="69">
        <f t="shared" ca="1" si="117"/>
        <v>5337713.88</v>
      </c>
      <c r="T181" s="69">
        <f t="shared" ca="1" si="118"/>
        <v>0</v>
      </c>
      <c r="U181" s="20">
        <v>259867</v>
      </c>
      <c r="V181" s="177">
        <f ca="1">IFERROR(__xludf.DUMMYFUNCTION("VLOOKUP(C181,IMPORTRANGE(""https://docs.google.com/spreadsheets/d/1heLiqWF_2HiP-P9QpK84CTP6DxpoT_aG9fTdG9C1JMk/edit?gid=1535728046#gid=1535728046"",""DATA_ABSEN_JUNI25""),41,0)"),2)</f>
        <v>2</v>
      </c>
      <c r="W181" s="69">
        <f t="shared" ca="1" si="119"/>
        <v>519734</v>
      </c>
      <c r="X181" s="69">
        <v>0</v>
      </c>
      <c r="Y181" s="69">
        <f t="shared" ca="1" si="120"/>
        <v>5857447.8799999999</v>
      </c>
      <c r="Z181" s="61">
        <f ca="1">IFERROR(__xludf.DUMMYFUNCTION("VLOOKUP(C181,IMPORTRANGE(""https://docs.google.com/spreadsheets/d/1heLiqWF_2HiP-P9QpK84CTP6DxpoT_aG9fTdG9C1JMk/edit?gid=1535728046#gid=1535728046"",""DATA_ABSEN_JUNI25""),42,0)+VLOOKUP(C181,IMPORTRANGE(""https://docs.google.com/spreadsheets/d/1heLiqWF_2Hi"&amp;"P-P9QpK84CTP6DxpoT_aG9fTdG9C1JMk/edit?gid=1535728046#gid=1535728046"",""DATA_ABSEN_JUNI25""),43,0)"),2)</f>
        <v>2</v>
      </c>
      <c r="AA181" s="61">
        <f ca="1">IFERROR(__xludf.DUMMYFUNCTION("VLOOKUP(C181,IMPORTRANGE(""https://docs.google.com/spreadsheets/d/1heLiqWF_2HiP-P9QpK84CTP6DxpoT_aG9fTdG9C1JMk/edit?gid=1535728046#gid=1535728046"",""DATA_ABSEN_JUNI25""),44,0)"),1)</f>
        <v>1</v>
      </c>
      <c r="AB181" s="61">
        <f ca="1">IFERROR(__xludf.DUMMYFUNCTION("VLOOKUP(C181,IMPORTRANGE(""https://docs.google.com/spreadsheets/d/1heLiqWF_2HiP-P9QpK84CTP6DxpoT_aG9fTdG9C1JMk/edit?gid=1535728046#gid=1535728046"",""DATA_ABSEN_JUNI25""),45,0)"),0)</f>
        <v>0</v>
      </c>
      <c r="AC181" s="61">
        <f ca="1">IFERROR(__xludf.DUMMYFUNCTION("VLOOKUP(C181,IMPORTRANGE(""https://docs.google.com/spreadsheets/d/1heLiqWF_2HiP-P9QpK84CTP6DxpoT_aG9fTdG9C1JMk/edit?gid=1535728046#gid=1535728046"",""DATA_ABSEN_JUNI25""),46,0)"),0)</f>
        <v>0</v>
      </c>
      <c r="AD181" s="125">
        <v>0</v>
      </c>
      <c r="AE181" s="69">
        <f t="shared" ca="1" si="121"/>
        <v>779601</v>
      </c>
      <c r="AF181" s="20">
        <v>326819</v>
      </c>
      <c r="AG181" s="20">
        <v>176850</v>
      </c>
      <c r="AH181" s="69">
        <v>0</v>
      </c>
      <c r="AI181" s="69" t="e">
        <f t="shared" si="122"/>
        <v>#REF!</v>
      </c>
      <c r="AJ181" s="69">
        <v>0</v>
      </c>
      <c r="AK181" s="69" t="e">
        <f t="shared" si="123"/>
        <v>#REF!</v>
      </c>
      <c r="AL181" s="69">
        <v>0</v>
      </c>
      <c r="AM181" s="69">
        <f t="shared" ca="1" si="124"/>
        <v>1283270</v>
      </c>
      <c r="AN181" s="69">
        <f t="shared" ca="1" si="125"/>
        <v>4574177.88</v>
      </c>
      <c r="AO181" s="69">
        <f t="shared" ca="1" si="126"/>
        <v>28279.1934</v>
      </c>
      <c r="AP181" s="69">
        <f t="shared" ca="1" si="127"/>
        <v>4545898.6865999997</v>
      </c>
      <c r="AQ181" s="69">
        <f t="shared" ca="1" si="128"/>
        <v>4545898.6865999997</v>
      </c>
      <c r="AR181" s="70">
        <f t="shared" ca="1" si="129"/>
        <v>4545898.6865999997</v>
      </c>
      <c r="AS181" s="113"/>
      <c r="AT181" s="73" t="s">
        <v>13</v>
      </c>
      <c r="AU181" s="61" t="s">
        <v>10</v>
      </c>
      <c r="AV181" s="69">
        <f t="shared" si="130"/>
        <v>3537000</v>
      </c>
      <c r="AW181" s="69">
        <f t="shared" ca="1" si="131"/>
        <v>1438524.88</v>
      </c>
      <c r="AX181" s="69">
        <f t="shared" ca="1" si="132"/>
        <v>519734</v>
      </c>
      <c r="AY181" s="69">
        <v>0</v>
      </c>
      <c r="AZ181" s="69">
        <f t="shared" si="133"/>
        <v>8488.7999999999993</v>
      </c>
      <c r="BA181" s="69">
        <f t="shared" si="134"/>
        <v>10611</v>
      </c>
      <c r="BB181" s="69">
        <f t="shared" si="135"/>
        <v>141480</v>
      </c>
      <c r="BC181" s="69">
        <f t="shared" ca="1" si="136"/>
        <v>5655838.6799999997</v>
      </c>
      <c r="BD181" s="74">
        <f ca="1">IF(AU181="C",VLOOKUP(BC181,TER!$J$4:$L$50,3,TRUE),IF(AU181="B",VLOOKUP(BC181,TER!$F$4:$H$50,3,TRUE),IF(AU181="A",VLOOKUP(BC181,TER!$B$4:$D$50,3,TRUE),"ERROR")))</f>
        <v>5.0000000000000001E-3</v>
      </c>
      <c r="BE181" s="69">
        <f t="shared" ca="1" si="137"/>
        <v>28279.1934</v>
      </c>
      <c r="BF181" s="113"/>
      <c r="BG181" s="113"/>
    </row>
    <row r="182" spans="1:59" ht="13.5" hidden="1" customHeight="1">
      <c r="A182" s="113"/>
      <c r="B182" s="224">
        <v>27</v>
      </c>
      <c r="C182" s="68" t="s">
        <v>65</v>
      </c>
      <c r="D182" s="98" t="s">
        <v>66</v>
      </c>
      <c r="E182" s="67" t="s">
        <v>57</v>
      </c>
      <c r="F182" s="68" t="s">
        <v>1250</v>
      </c>
      <c r="G182" s="67" t="s">
        <v>31</v>
      </c>
      <c r="H182" s="66" t="s">
        <v>32</v>
      </c>
      <c r="I182" s="69">
        <f t="shared" si="113"/>
        <v>3537000</v>
      </c>
      <c r="J182" s="70">
        <v>220709</v>
      </c>
      <c r="K182" s="70">
        <v>141480</v>
      </c>
      <c r="L182" s="70">
        <v>2766394</v>
      </c>
      <c r="M182" s="69">
        <f t="shared" ca="1" si="114"/>
        <v>110655.76</v>
      </c>
      <c r="N182" s="61">
        <f ca="1">IFERROR(__xludf.DUMMYFUNCTION("VLOOKUP(C182,IMPORTRANGE(""https://docs.google.com/spreadsheets/d/1rlIahxEPRJNi2AZ1Wg_ST6ULVsuP72ohSpCzHj_8yUg/edit?gid=18363260#gid=18363260"",""SCHEDULE_KAI_JULI25""),39,0)"),20)</f>
        <v>20</v>
      </c>
      <c r="O182" s="61">
        <f ca="1">IFERROR(__xludf.DUMMYFUNCTION("VLOOKUP(C182,IMPORTRANGE(""https://docs.google.com/spreadsheets/d/1rlIahxEPRJNi2AZ1Wg_ST6ULVsuP72ohSpCzHj_8yUg/edit?gid=18363260#gid=18363260"",""SCHEDULE_KAI_JULI25""),40,0)"),25)</f>
        <v>25</v>
      </c>
      <c r="P182" s="69">
        <f t="shared" ca="1" si="115"/>
        <v>2213115.1999999997</v>
      </c>
      <c r="Q182" s="66"/>
      <c r="R182" s="69">
        <f t="shared" si="116"/>
        <v>6665583</v>
      </c>
      <c r="S182" s="69">
        <f t="shared" ca="1" si="117"/>
        <v>6112304.1999999993</v>
      </c>
      <c r="T182" s="69">
        <f t="shared" ca="1" si="118"/>
        <v>0</v>
      </c>
      <c r="U182" s="20">
        <v>259867</v>
      </c>
      <c r="V182" s="177">
        <f ca="1">IFERROR(__xludf.DUMMYFUNCTION("VLOOKUP(C182,IMPORTRANGE(""https://docs.google.com/spreadsheets/d/1heLiqWF_2HiP-P9QpK84CTP6DxpoT_aG9fTdG9C1JMk/edit?gid=1535728046#gid=1535728046"",""DATA_ABSEN_JUNI25""),41,0)"),1)</f>
        <v>1</v>
      </c>
      <c r="W182" s="69">
        <f t="shared" ca="1" si="119"/>
        <v>259867</v>
      </c>
      <c r="X182" s="69">
        <v>0</v>
      </c>
      <c r="Y182" s="69">
        <f t="shared" ca="1" si="120"/>
        <v>6372171.1999999993</v>
      </c>
      <c r="Z182" s="61">
        <f ca="1">IFERROR(__xludf.DUMMYFUNCTION("VLOOKUP(C182,IMPORTRANGE(""https://docs.google.com/spreadsheets/d/1heLiqWF_2HiP-P9QpK84CTP6DxpoT_aG9fTdG9C1JMk/edit?gid=1535728046#gid=1535728046"",""DATA_ABSEN_JUNI25""),42,0)+VLOOKUP(C182,IMPORTRANGE(""https://docs.google.com/spreadsheets/d/1heLiqWF_2Hi"&amp;"P-P9QpK84CTP6DxpoT_aG9fTdG9C1JMk/edit?gid=1535728046#gid=1535728046"",""DATA_ABSEN_JUNI25""),43,0)"),0)</f>
        <v>0</v>
      </c>
      <c r="AA182" s="61">
        <f ca="1">IFERROR(__xludf.DUMMYFUNCTION("VLOOKUP(C182,IMPORTRANGE(""https://docs.google.com/spreadsheets/d/1heLiqWF_2HiP-P9QpK84CTP6DxpoT_aG9fTdG9C1JMk/edit?gid=1535728046#gid=1535728046"",""DATA_ABSEN_JUNI25""),44,0)"),0)</f>
        <v>0</v>
      </c>
      <c r="AB182" s="61">
        <f ca="1">IFERROR(__xludf.DUMMYFUNCTION("VLOOKUP(C182,IMPORTRANGE(""https://docs.google.com/spreadsheets/d/1heLiqWF_2HiP-P9QpK84CTP6DxpoT_aG9fTdG9C1JMk/edit?gid=1535728046#gid=1535728046"",""DATA_ABSEN_JUNI25""),45,0)"),0)</f>
        <v>0</v>
      </c>
      <c r="AC182" s="61">
        <f ca="1">IFERROR(__xludf.DUMMYFUNCTION("VLOOKUP(C182,IMPORTRANGE(""https://docs.google.com/spreadsheets/d/1heLiqWF_2HiP-P9QpK84CTP6DxpoT_aG9fTdG9C1JMk/edit?gid=1535728046#gid=1535728046"",""DATA_ABSEN_JUNI25""),46,0)"),2)</f>
        <v>2</v>
      </c>
      <c r="AD182" s="125">
        <v>0</v>
      </c>
      <c r="AE182" s="69">
        <f t="shared" ca="1" si="121"/>
        <v>1039468</v>
      </c>
      <c r="AF182" s="20">
        <v>326819</v>
      </c>
      <c r="AG182" s="20">
        <v>176850</v>
      </c>
      <c r="AH182" s="69">
        <v>0</v>
      </c>
      <c r="AI182" s="69" t="e">
        <f t="shared" si="122"/>
        <v>#REF!</v>
      </c>
      <c r="AJ182" s="69">
        <v>0</v>
      </c>
      <c r="AK182" s="69" t="e">
        <f t="shared" si="123"/>
        <v>#REF!</v>
      </c>
      <c r="AL182" s="69">
        <v>0</v>
      </c>
      <c r="AM182" s="69">
        <f t="shared" ca="1" si="124"/>
        <v>1543137</v>
      </c>
      <c r="AN182" s="69">
        <f t="shared" ca="1" si="125"/>
        <v>4829034.1999999993</v>
      </c>
      <c r="AO182" s="69">
        <f t="shared" ca="1" si="126"/>
        <v>46279.214999999989</v>
      </c>
      <c r="AP182" s="69">
        <f t="shared" ca="1" si="127"/>
        <v>4782754.9849999994</v>
      </c>
      <c r="AQ182" s="69">
        <f t="shared" ca="1" si="128"/>
        <v>4782754.9849999994</v>
      </c>
      <c r="AR182" s="70">
        <f t="shared" ca="1" si="129"/>
        <v>4782754.9849999994</v>
      </c>
      <c r="AS182" s="113"/>
      <c r="AT182" s="73" t="s">
        <v>9</v>
      </c>
      <c r="AU182" s="61" t="s">
        <v>10</v>
      </c>
      <c r="AV182" s="69">
        <f t="shared" si="130"/>
        <v>3537000</v>
      </c>
      <c r="AW182" s="69">
        <f t="shared" ca="1" si="131"/>
        <v>2213115.1999999997</v>
      </c>
      <c r="AX182" s="69">
        <f t="shared" ca="1" si="132"/>
        <v>259867</v>
      </c>
      <c r="AY182" s="69">
        <v>0</v>
      </c>
      <c r="AZ182" s="69">
        <f t="shared" si="133"/>
        <v>8488.7999999999993</v>
      </c>
      <c r="BA182" s="69">
        <f t="shared" si="134"/>
        <v>10611</v>
      </c>
      <c r="BB182" s="69">
        <f t="shared" si="135"/>
        <v>141480</v>
      </c>
      <c r="BC182" s="69">
        <f t="shared" ca="1" si="136"/>
        <v>6170561.9999999991</v>
      </c>
      <c r="BD182" s="74">
        <f ca="1">IF(AU182="C",VLOOKUP(BC182,TER!$J$4:$L$50,3,TRUE),IF(AU182="B",VLOOKUP(BC182,TER!$F$4:$H$50,3,TRUE),IF(AU182="A",VLOOKUP(BC182,TER!$B$4:$D$50,3,TRUE),"ERROR")))</f>
        <v>7.4999999999999997E-3</v>
      </c>
      <c r="BE182" s="69">
        <f t="shared" ca="1" si="137"/>
        <v>46279.214999999989</v>
      </c>
      <c r="BF182" s="113"/>
      <c r="BG182" s="113"/>
    </row>
    <row r="183" spans="1:59" ht="13.5" hidden="1" customHeight="1">
      <c r="A183" s="113"/>
      <c r="B183" s="224">
        <v>28</v>
      </c>
      <c r="C183" s="68" t="s">
        <v>67</v>
      </c>
      <c r="D183" s="98" t="s">
        <v>68</v>
      </c>
      <c r="E183" s="67" t="s">
        <v>57</v>
      </c>
      <c r="F183" s="68" t="s">
        <v>69</v>
      </c>
      <c r="G183" s="67" t="s">
        <v>31</v>
      </c>
      <c r="H183" s="66" t="s">
        <v>32</v>
      </c>
      <c r="I183" s="69">
        <f t="shared" si="113"/>
        <v>3537000</v>
      </c>
      <c r="J183" s="70">
        <v>220709</v>
      </c>
      <c r="K183" s="70">
        <v>141480</v>
      </c>
      <c r="L183" s="70">
        <v>2766394</v>
      </c>
      <c r="M183" s="69">
        <f t="shared" ca="1" si="114"/>
        <v>110655.76</v>
      </c>
      <c r="N183" s="61">
        <f ca="1">IFERROR(__xludf.DUMMYFUNCTION("VLOOKUP(C183,IMPORTRANGE(""https://docs.google.com/spreadsheets/d/1rlIahxEPRJNi2AZ1Wg_ST6ULVsuP72ohSpCzHj_8yUg/edit?gid=18363260#gid=18363260"",""SCHEDULE_KAI_JULI25""),39,0)"),22)</f>
        <v>22</v>
      </c>
      <c r="O183" s="61">
        <f ca="1">IFERROR(__xludf.DUMMYFUNCTION("VLOOKUP(C183,IMPORTRANGE(""https://docs.google.com/spreadsheets/d/1rlIahxEPRJNi2AZ1Wg_ST6ULVsuP72ohSpCzHj_8yUg/edit?gid=18363260#gid=18363260"",""SCHEDULE_KAI_JULI25""),40,0)"),25)</f>
        <v>25</v>
      </c>
      <c r="P183" s="69">
        <f t="shared" ca="1" si="115"/>
        <v>2434426.7199999997</v>
      </c>
      <c r="Q183" s="66"/>
      <c r="R183" s="69">
        <f t="shared" si="116"/>
        <v>6665583</v>
      </c>
      <c r="S183" s="69">
        <f t="shared" ca="1" si="117"/>
        <v>6333615.7199999997</v>
      </c>
      <c r="T183" s="69">
        <f t="shared" ca="1" si="118"/>
        <v>0</v>
      </c>
      <c r="U183" s="20">
        <v>259867</v>
      </c>
      <c r="V183" s="177">
        <f ca="1">IFERROR(__xludf.DUMMYFUNCTION("VLOOKUP(C183,IMPORTRANGE(""https://docs.google.com/spreadsheets/d/1heLiqWF_2HiP-P9QpK84CTP6DxpoT_aG9fTdG9C1JMk/edit?gid=1535728046#gid=1535728046"",""DATA_ABSEN_JUNI25""),41,0)"),1)</f>
        <v>1</v>
      </c>
      <c r="W183" s="69">
        <f t="shared" ca="1" si="119"/>
        <v>259867</v>
      </c>
      <c r="X183" s="69">
        <v>0</v>
      </c>
      <c r="Y183" s="69">
        <f t="shared" ca="1" si="120"/>
        <v>6593482.7199999997</v>
      </c>
      <c r="Z183" s="61">
        <f ca="1">IFERROR(__xludf.DUMMYFUNCTION("VLOOKUP(C183,IMPORTRANGE(""https://docs.google.com/spreadsheets/d/1heLiqWF_2HiP-P9QpK84CTP6DxpoT_aG9fTdG9C1JMk/edit?gid=1535728046#gid=1535728046"",""DATA_ABSEN_JUNI25""),42,0)+VLOOKUP(C183,IMPORTRANGE(""https://docs.google.com/spreadsheets/d/1heLiqWF_2Hi"&amp;"P-P9QpK84CTP6DxpoT_aG9fTdG9C1JMk/edit?gid=1535728046#gid=1535728046"",""DATA_ABSEN_JUNI25""),43,0)"),0)</f>
        <v>0</v>
      </c>
      <c r="AA183" s="61">
        <f ca="1">IFERROR(__xludf.DUMMYFUNCTION("VLOOKUP(C183,IMPORTRANGE(""https://docs.google.com/spreadsheets/d/1heLiqWF_2HiP-P9QpK84CTP6DxpoT_aG9fTdG9C1JMk/edit?gid=1535728046#gid=1535728046"",""DATA_ABSEN_JUNI25""),44,0)"),0)</f>
        <v>0</v>
      </c>
      <c r="AB183" s="61">
        <f ca="1">IFERROR(__xludf.DUMMYFUNCTION("VLOOKUP(C183,IMPORTRANGE(""https://docs.google.com/spreadsheets/d/1heLiqWF_2HiP-P9QpK84CTP6DxpoT_aG9fTdG9C1JMk/edit?gid=1535728046#gid=1535728046"",""DATA_ABSEN_JUNI25""),45,0)"),0)</f>
        <v>0</v>
      </c>
      <c r="AC183" s="61">
        <f ca="1">IFERROR(__xludf.DUMMYFUNCTION("VLOOKUP(C183,IMPORTRANGE(""https://docs.google.com/spreadsheets/d/1heLiqWF_2HiP-P9QpK84CTP6DxpoT_aG9fTdG9C1JMk/edit?gid=1535728046#gid=1535728046"",""DATA_ABSEN_JUNI25""),46,0)"),0)</f>
        <v>0</v>
      </c>
      <c r="AD183" s="125">
        <v>0</v>
      </c>
      <c r="AE183" s="69">
        <f t="shared" ca="1" si="121"/>
        <v>0</v>
      </c>
      <c r="AF183" s="20">
        <v>326819</v>
      </c>
      <c r="AG183" s="20">
        <v>176850</v>
      </c>
      <c r="AH183" s="69">
        <v>0</v>
      </c>
      <c r="AI183" s="69" t="e">
        <f t="shared" si="122"/>
        <v>#REF!</v>
      </c>
      <c r="AJ183" s="69">
        <v>0</v>
      </c>
      <c r="AK183" s="69" t="e">
        <f t="shared" si="123"/>
        <v>#REF!</v>
      </c>
      <c r="AL183" s="69">
        <v>0</v>
      </c>
      <c r="AM183" s="69">
        <f t="shared" ca="1" si="124"/>
        <v>503669</v>
      </c>
      <c r="AN183" s="69">
        <f t="shared" ca="1" si="125"/>
        <v>6089813.7199999997</v>
      </c>
      <c r="AO183" s="69">
        <f t="shared" ca="1" si="126"/>
        <v>63918.735199999996</v>
      </c>
      <c r="AP183" s="69">
        <f t="shared" ca="1" si="127"/>
        <v>6025894.9847999997</v>
      </c>
      <c r="AQ183" s="69">
        <f t="shared" ca="1" si="128"/>
        <v>6025894.9847999997</v>
      </c>
      <c r="AR183" s="70">
        <f t="shared" ca="1" si="129"/>
        <v>6025894.9847999997</v>
      </c>
      <c r="AS183" s="113"/>
      <c r="AT183" s="73" t="s">
        <v>9</v>
      </c>
      <c r="AU183" s="61" t="s">
        <v>10</v>
      </c>
      <c r="AV183" s="69">
        <f t="shared" si="130"/>
        <v>3537000</v>
      </c>
      <c r="AW183" s="69">
        <f t="shared" ca="1" si="131"/>
        <v>2434426.7199999997</v>
      </c>
      <c r="AX183" s="69">
        <f t="shared" ca="1" si="132"/>
        <v>259867</v>
      </c>
      <c r="AY183" s="69">
        <v>0</v>
      </c>
      <c r="AZ183" s="69">
        <f t="shared" si="133"/>
        <v>8488.7999999999993</v>
      </c>
      <c r="BA183" s="69">
        <f t="shared" si="134"/>
        <v>10611</v>
      </c>
      <c r="BB183" s="69">
        <f t="shared" si="135"/>
        <v>141480</v>
      </c>
      <c r="BC183" s="69">
        <f t="shared" ca="1" si="136"/>
        <v>6391873.5199999996</v>
      </c>
      <c r="BD183" s="74">
        <f ca="1">IF(AU183="C",VLOOKUP(BC183,TER!$J$4:$L$50,3,TRUE),IF(AU183="B",VLOOKUP(BC183,TER!$F$4:$H$50,3,TRUE),IF(AU183="A",VLOOKUP(BC183,TER!$B$4:$D$50,3,TRUE),"ERROR")))</f>
        <v>0.01</v>
      </c>
      <c r="BE183" s="69">
        <f t="shared" ca="1" si="137"/>
        <v>63918.735199999996</v>
      </c>
      <c r="BF183" s="113"/>
      <c r="BG183" s="113"/>
    </row>
    <row r="184" spans="1:59" ht="13.5" hidden="1" customHeight="1">
      <c r="A184" s="113"/>
      <c r="B184" s="224">
        <v>29</v>
      </c>
      <c r="C184" s="68" t="s">
        <v>504</v>
      </c>
      <c r="D184" s="98" t="s">
        <v>505</v>
      </c>
      <c r="E184" s="67" t="s">
        <v>57</v>
      </c>
      <c r="F184" s="68" t="s">
        <v>506</v>
      </c>
      <c r="G184" s="67" t="s">
        <v>31</v>
      </c>
      <c r="H184" s="66" t="s">
        <v>32</v>
      </c>
      <c r="I184" s="69">
        <f t="shared" si="113"/>
        <v>3537000</v>
      </c>
      <c r="J184" s="70">
        <v>220709</v>
      </c>
      <c r="K184" s="70">
        <v>141480</v>
      </c>
      <c r="L184" s="70">
        <v>2766394</v>
      </c>
      <c r="M184" s="69">
        <f t="shared" ca="1" si="114"/>
        <v>110655.76</v>
      </c>
      <c r="N184" s="61">
        <f ca="1">IFERROR(__xludf.DUMMYFUNCTION("VLOOKUP(C184,IMPORTRANGE(""https://docs.google.com/spreadsheets/d/1rlIahxEPRJNi2AZ1Wg_ST6ULVsuP72ohSpCzHj_8yUg/edit?gid=18363260#gid=18363260"",""SCHEDULE_KAI_JULI25""),39,0)"),25)</f>
        <v>25</v>
      </c>
      <c r="O184" s="61">
        <f ca="1">IFERROR(__xludf.DUMMYFUNCTION("VLOOKUP(C184,IMPORTRANGE(""https://docs.google.com/spreadsheets/d/1rlIahxEPRJNi2AZ1Wg_ST6ULVsuP72ohSpCzHj_8yUg/edit?gid=18363260#gid=18363260"",""SCHEDULE_KAI_JULI25""),40,0)"),25)</f>
        <v>25</v>
      </c>
      <c r="P184" s="69">
        <f t="shared" ca="1" si="115"/>
        <v>2766394</v>
      </c>
      <c r="Q184" s="66"/>
      <c r="R184" s="69">
        <f t="shared" si="116"/>
        <v>6665583</v>
      </c>
      <c r="S184" s="69">
        <f t="shared" ca="1" si="117"/>
        <v>6665583</v>
      </c>
      <c r="T184" s="69">
        <f t="shared" ca="1" si="118"/>
        <v>0</v>
      </c>
      <c r="U184" s="20">
        <v>259867</v>
      </c>
      <c r="V184" s="177">
        <f ca="1">IFERROR(__xludf.DUMMYFUNCTION("VLOOKUP(C184,IMPORTRANGE(""https://docs.google.com/spreadsheets/d/1heLiqWF_2HiP-P9QpK84CTP6DxpoT_aG9fTdG9C1JMk/edit?gid=1535728046#gid=1535728046"",""DATA_ABSEN_JUNI25""),41,0)"),1)</f>
        <v>1</v>
      </c>
      <c r="W184" s="69">
        <f t="shared" ca="1" si="119"/>
        <v>259867</v>
      </c>
      <c r="X184" s="69">
        <v>0</v>
      </c>
      <c r="Y184" s="69">
        <f t="shared" ca="1" si="120"/>
        <v>6925450</v>
      </c>
      <c r="Z184" s="61">
        <f ca="1">IFERROR(__xludf.DUMMYFUNCTION("VLOOKUP(C184,IMPORTRANGE(""https://docs.google.com/spreadsheets/d/1heLiqWF_2HiP-P9QpK84CTP6DxpoT_aG9fTdG9C1JMk/edit?gid=1535728046#gid=1535728046"",""DATA_ABSEN_JUNI25""),42,0)+VLOOKUP(C184,IMPORTRANGE(""https://docs.google.com/spreadsheets/d/1heLiqWF_2Hi"&amp;"P-P9QpK84CTP6DxpoT_aG9fTdG9C1JMk/edit?gid=1535728046#gid=1535728046"",""DATA_ABSEN_JUNI25""),43,0)"),0)</f>
        <v>0</v>
      </c>
      <c r="AA184" s="61">
        <f ca="1">IFERROR(__xludf.DUMMYFUNCTION("VLOOKUP(C184,IMPORTRANGE(""https://docs.google.com/spreadsheets/d/1heLiqWF_2HiP-P9QpK84CTP6DxpoT_aG9fTdG9C1JMk/edit?gid=1535728046#gid=1535728046"",""DATA_ABSEN_JUNI25""),44,0)"),1)</f>
        <v>1</v>
      </c>
      <c r="AB184" s="61">
        <f ca="1">IFERROR(__xludf.DUMMYFUNCTION("VLOOKUP(C184,IMPORTRANGE(""https://docs.google.com/spreadsheets/d/1heLiqWF_2HiP-P9QpK84CTP6DxpoT_aG9fTdG9C1JMk/edit?gid=1535728046#gid=1535728046"",""DATA_ABSEN_JUNI25""),45,0)"),0)</f>
        <v>0</v>
      </c>
      <c r="AC184" s="61">
        <f ca="1">IFERROR(__xludf.DUMMYFUNCTION("VLOOKUP(C184,IMPORTRANGE(""https://docs.google.com/spreadsheets/d/1heLiqWF_2HiP-P9QpK84CTP6DxpoT_aG9fTdG9C1JMk/edit?gid=1535728046#gid=1535728046"",""DATA_ABSEN_JUNI25""),46,0)"),0)</f>
        <v>0</v>
      </c>
      <c r="AD184" s="125">
        <v>0</v>
      </c>
      <c r="AE184" s="69">
        <f t="shared" ca="1" si="121"/>
        <v>259867</v>
      </c>
      <c r="AF184" s="20">
        <v>326819</v>
      </c>
      <c r="AG184" s="20">
        <v>176850</v>
      </c>
      <c r="AH184" s="69">
        <v>0</v>
      </c>
      <c r="AI184" s="69" t="e">
        <f t="shared" si="122"/>
        <v>#REF!</v>
      </c>
      <c r="AJ184" s="69">
        <v>0</v>
      </c>
      <c r="AK184" s="69" t="e">
        <f t="shared" si="123"/>
        <v>#REF!</v>
      </c>
      <c r="AL184" s="69">
        <v>0</v>
      </c>
      <c r="AM184" s="69">
        <f t="shared" ca="1" si="124"/>
        <v>763536</v>
      </c>
      <c r="AN184" s="69">
        <f t="shared" ca="1" si="125"/>
        <v>6161914</v>
      </c>
      <c r="AO184" s="69">
        <f t="shared" ca="1" si="126"/>
        <v>67238.407999999996</v>
      </c>
      <c r="AP184" s="69">
        <f t="shared" ca="1" si="127"/>
        <v>6094675.5920000002</v>
      </c>
      <c r="AQ184" s="69">
        <f t="shared" ca="1" si="128"/>
        <v>6094675.5920000002</v>
      </c>
      <c r="AR184" s="70">
        <f t="shared" ca="1" si="129"/>
        <v>6094675.5920000002</v>
      </c>
      <c r="AS184" s="113"/>
      <c r="AT184" s="73" t="s">
        <v>9</v>
      </c>
      <c r="AU184" s="61" t="s">
        <v>10</v>
      </c>
      <c r="AV184" s="69">
        <f t="shared" si="130"/>
        <v>3537000</v>
      </c>
      <c r="AW184" s="69">
        <f t="shared" ca="1" si="131"/>
        <v>2766394</v>
      </c>
      <c r="AX184" s="69">
        <f t="shared" ca="1" si="132"/>
        <v>259867</v>
      </c>
      <c r="AY184" s="69">
        <v>0</v>
      </c>
      <c r="AZ184" s="69">
        <f t="shared" si="133"/>
        <v>8488.7999999999993</v>
      </c>
      <c r="BA184" s="69">
        <f t="shared" si="134"/>
        <v>10611</v>
      </c>
      <c r="BB184" s="69">
        <f t="shared" si="135"/>
        <v>141480</v>
      </c>
      <c r="BC184" s="69">
        <f t="shared" ca="1" si="136"/>
        <v>6723840.7999999998</v>
      </c>
      <c r="BD184" s="74">
        <f ca="1">IF(AU184="C",VLOOKUP(BC184,TER!$J$4:$L$50,3,TRUE),IF(AU184="B",VLOOKUP(BC184,TER!$F$4:$H$50,3,TRUE),IF(AU184="A",VLOOKUP(BC184,TER!$B$4:$D$50,3,TRUE),"ERROR")))</f>
        <v>0.01</v>
      </c>
      <c r="BE184" s="69">
        <f t="shared" ca="1" si="137"/>
        <v>67238.407999999996</v>
      </c>
      <c r="BF184" s="113"/>
      <c r="BG184" s="113"/>
    </row>
    <row r="185" spans="1:59" ht="13.5" hidden="1" customHeight="1">
      <c r="A185" s="113"/>
      <c r="B185" s="224">
        <v>30</v>
      </c>
      <c r="C185" s="124" t="s">
        <v>507</v>
      </c>
      <c r="D185" s="98" t="s">
        <v>508</v>
      </c>
      <c r="E185" s="67" t="s">
        <v>57</v>
      </c>
      <c r="F185" s="68" t="s">
        <v>509</v>
      </c>
      <c r="G185" s="67" t="s">
        <v>31</v>
      </c>
      <c r="H185" s="66" t="s">
        <v>32</v>
      </c>
      <c r="I185" s="69">
        <f t="shared" si="113"/>
        <v>3537000</v>
      </c>
      <c r="J185" s="70">
        <v>220709</v>
      </c>
      <c r="K185" s="70">
        <v>141480</v>
      </c>
      <c r="L185" s="70">
        <v>2766394</v>
      </c>
      <c r="M185" s="69">
        <f t="shared" ca="1" si="114"/>
        <v>110655.76</v>
      </c>
      <c r="N185" s="61">
        <f ca="1">IFERROR(__xludf.DUMMYFUNCTION("VLOOKUP(C185,IMPORTRANGE(""https://docs.google.com/spreadsheets/d/1rlIahxEPRJNi2AZ1Wg_ST6ULVsuP72ohSpCzHj_8yUg/edit?gid=18363260#gid=18363260"",""SCHEDULE_KAI_JULI25""),39,0)"),24)</f>
        <v>24</v>
      </c>
      <c r="O185" s="61">
        <f ca="1">IFERROR(__xludf.DUMMYFUNCTION("VLOOKUP(C185,IMPORTRANGE(""https://docs.google.com/spreadsheets/d/1rlIahxEPRJNi2AZ1Wg_ST6ULVsuP72ohSpCzHj_8yUg/edit?gid=18363260#gid=18363260"",""SCHEDULE_KAI_JULI25""),40,0)"),25)</f>
        <v>25</v>
      </c>
      <c r="P185" s="69">
        <f t="shared" ca="1" si="115"/>
        <v>2655738.2399999998</v>
      </c>
      <c r="Q185" s="66"/>
      <c r="R185" s="69">
        <f t="shared" si="116"/>
        <v>6665583</v>
      </c>
      <c r="S185" s="69">
        <f t="shared" ca="1" si="117"/>
        <v>6554927.2400000002</v>
      </c>
      <c r="T185" s="69">
        <f t="shared" ca="1" si="118"/>
        <v>0</v>
      </c>
      <c r="U185" s="20">
        <v>259867</v>
      </c>
      <c r="V185" s="177">
        <f ca="1">IFERROR(__xludf.DUMMYFUNCTION("VLOOKUP(C185,IMPORTRANGE(""https://docs.google.com/spreadsheets/d/1heLiqWF_2HiP-P9QpK84CTP6DxpoT_aG9fTdG9C1JMk/edit?gid=1535728046#gid=1535728046"",""DATA_ABSEN_JUNI25""),41,0)"),0)</f>
        <v>0</v>
      </c>
      <c r="W185" s="69">
        <f t="shared" ca="1" si="119"/>
        <v>0</v>
      </c>
      <c r="X185" s="69">
        <v>0</v>
      </c>
      <c r="Y185" s="69">
        <f t="shared" ca="1" si="120"/>
        <v>6554927.2400000002</v>
      </c>
      <c r="Z185" s="61">
        <f ca="1">IFERROR(__xludf.DUMMYFUNCTION("VLOOKUP(C185,IMPORTRANGE(""https://docs.google.com/spreadsheets/d/1heLiqWF_2HiP-P9QpK84CTP6DxpoT_aG9fTdG9C1JMk/edit?gid=1535728046#gid=1535728046"",""DATA_ABSEN_JUNI25""),42,0)+VLOOKUP(C185,IMPORTRANGE(""https://docs.google.com/spreadsheets/d/1heLiqWF_2Hi"&amp;"P-P9QpK84CTP6DxpoT_aG9fTdG9C1JMk/edit?gid=1535728046#gid=1535728046"",""DATA_ABSEN_JUNI25""),43,0)"),0)</f>
        <v>0</v>
      </c>
      <c r="AA185" s="61">
        <f ca="1">IFERROR(__xludf.DUMMYFUNCTION("VLOOKUP(C185,IMPORTRANGE(""https://docs.google.com/spreadsheets/d/1heLiqWF_2HiP-P9QpK84CTP6DxpoT_aG9fTdG9C1JMk/edit?gid=1535728046#gid=1535728046"",""DATA_ABSEN_JUNI25""),44,0)"),1)</f>
        <v>1</v>
      </c>
      <c r="AB185" s="61">
        <f ca="1">IFERROR(__xludf.DUMMYFUNCTION("VLOOKUP(C185,IMPORTRANGE(""https://docs.google.com/spreadsheets/d/1heLiqWF_2HiP-P9QpK84CTP6DxpoT_aG9fTdG9C1JMk/edit?gid=1535728046#gid=1535728046"",""DATA_ABSEN_JUNI25""),45,0)"),0)</f>
        <v>0</v>
      </c>
      <c r="AC185" s="61">
        <f ca="1">IFERROR(__xludf.DUMMYFUNCTION("VLOOKUP(C185,IMPORTRANGE(""https://docs.google.com/spreadsheets/d/1heLiqWF_2HiP-P9QpK84CTP6DxpoT_aG9fTdG9C1JMk/edit?gid=1535728046#gid=1535728046"",""DATA_ABSEN_JUNI25""),46,0)"),0)</f>
        <v>0</v>
      </c>
      <c r="AD185" s="125">
        <v>0</v>
      </c>
      <c r="AE185" s="69">
        <f t="shared" ca="1" si="121"/>
        <v>259867</v>
      </c>
      <c r="AF185" s="20">
        <v>326819</v>
      </c>
      <c r="AG185" s="20">
        <v>176850</v>
      </c>
      <c r="AH185" s="69">
        <v>0</v>
      </c>
      <c r="AI185" s="69" t="e">
        <f t="shared" si="122"/>
        <v>#REF!</v>
      </c>
      <c r="AJ185" s="69">
        <v>0</v>
      </c>
      <c r="AK185" s="69" t="e">
        <f t="shared" si="123"/>
        <v>#REF!</v>
      </c>
      <c r="AL185" s="69">
        <v>0</v>
      </c>
      <c r="AM185" s="69">
        <f t="shared" ca="1" si="124"/>
        <v>763536</v>
      </c>
      <c r="AN185" s="69">
        <f t="shared" ca="1" si="125"/>
        <v>5791391.2400000002</v>
      </c>
      <c r="AO185" s="69">
        <f t="shared" ca="1" si="126"/>
        <v>63533.180400000005</v>
      </c>
      <c r="AP185" s="69">
        <f t="shared" ca="1" si="127"/>
        <v>5727858.0596000003</v>
      </c>
      <c r="AQ185" s="69">
        <f t="shared" ca="1" si="128"/>
        <v>5727858.0596000003</v>
      </c>
      <c r="AR185" s="70">
        <f t="shared" ca="1" si="129"/>
        <v>5727858.0596000003</v>
      </c>
      <c r="AS185" s="113"/>
      <c r="AT185" s="73" t="s">
        <v>9</v>
      </c>
      <c r="AU185" s="61" t="s">
        <v>10</v>
      </c>
      <c r="AV185" s="69">
        <f t="shared" si="130"/>
        <v>3537000</v>
      </c>
      <c r="AW185" s="69">
        <f t="shared" ca="1" si="131"/>
        <v>2655738.2399999998</v>
      </c>
      <c r="AX185" s="69">
        <f t="shared" ca="1" si="132"/>
        <v>0</v>
      </c>
      <c r="AY185" s="69">
        <v>0</v>
      </c>
      <c r="AZ185" s="69">
        <f t="shared" si="133"/>
        <v>8488.7999999999993</v>
      </c>
      <c r="BA185" s="69">
        <f t="shared" si="134"/>
        <v>10611</v>
      </c>
      <c r="BB185" s="69">
        <f t="shared" si="135"/>
        <v>141480</v>
      </c>
      <c r="BC185" s="69">
        <f t="shared" ca="1" si="136"/>
        <v>6353318.04</v>
      </c>
      <c r="BD185" s="74">
        <f ca="1">IF(AU185="C",VLOOKUP(BC185,TER!$J$4:$L$50,3,TRUE),IF(AU185="B",VLOOKUP(BC185,TER!$F$4:$H$50,3,TRUE),IF(AU185="A",VLOOKUP(BC185,TER!$B$4:$D$50,3,TRUE),"ERROR")))</f>
        <v>0.01</v>
      </c>
      <c r="BE185" s="69">
        <f t="shared" ca="1" si="137"/>
        <v>63533.180400000005</v>
      </c>
      <c r="BF185" s="113"/>
      <c r="BG185" s="113"/>
    </row>
    <row r="186" spans="1:59" ht="13.5" hidden="1" customHeight="1">
      <c r="A186" s="113"/>
      <c r="B186" s="224">
        <v>31</v>
      </c>
      <c r="C186" s="178" t="s">
        <v>510</v>
      </c>
      <c r="D186" s="179" t="s">
        <v>511</v>
      </c>
      <c r="E186" s="67" t="s">
        <v>57</v>
      </c>
      <c r="F186" s="68" t="s">
        <v>1251</v>
      </c>
      <c r="G186" s="180" t="s">
        <v>512</v>
      </c>
      <c r="H186" s="179" t="s">
        <v>32</v>
      </c>
      <c r="I186" s="69">
        <f t="shared" si="113"/>
        <v>3537000</v>
      </c>
      <c r="J186" s="70">
        <v>220709</v>
      </c>
      <c r="K186" s="70">
        <v>141480</v>
      </c>
      <c r="L186" s="181">
        <v>1137104</v>
      </c>
      <c r="M186" s="69">
        <f t="shared" ca="1" si="114"/>
        <v>56855.199999999997</v>
      </c>
      <c r="N186" s="61">
        <f ca="1">IFERROR(__xludf.DUMMYFUNCTION("VLOOKUP(C186,IMPORTRANGE(""https://docs.google.com/spreadsheets/d/1rlIahxEPRJNi2AZ1Wg_ST6ULVsuP72ohSpCzHj_8yUg/edit?gid=18363260#gid=18363260"",""SCHEDULE_KAI_JULI25""),39,0)"),20)</f>
        <v>20</v>
      </c>
      <c r="O186" s="61">
        <f ca="1">IFERROR(__xludf.DUMMYFUNCTION("VLOOKUP(C186,IMPORTRANGE(""https://docs.google.com/spreadsheets/d/1rlIahxEPRJNi2AZ1Wg_ST6ULVsuP72ohSpCzHj_8yUg/edit?gid=18363260#gid=18363260"",""SCHEDULE_KAI_JULI25""),40,0)"),20)</f>
        <v>20</v>
      </c>
      <c r="P186" s="69">
        <f t="shared" ca="1" si="115"/>
        <v>1137104</v>
      </c>
      <c r="Q186" s="179"/>
      <c r="R186" s="69">
        <f t="shared" si="116"/>
        <v>5036293</v>
      </c>
      <c r="S186" s="69">
        <f t="shared" ca="1" si="117"/>
        <v>5036293</v>
      </c>
      <c r="T186" s="69">
        <f t="shared" ca="1" si="118"/>
        <v>0</v>
      </c>
      <c r="U186" s="20">
        <v>259867</v>
      </c>
      <c r="V186" s="177">
        <f ca="1">IFERROR(__xludf.DUMMYFUNCTION("VLOOKUP(C186,IMPORTRANGE(""https://docs.google.com/spreadsheets/d/1heLiqWF_2HiP-P9QpK84CTP6DxpoT_aG9fTdG9C1JMk/edit?gid=1535728046#gid=1535728046"",""DATA_ABSEN_JUNI25""),41,0)"),0)</f>
        <v>0</v>
      </c>
      <c r="W186" s="69">
        <f t="shared" ca="1" si="119"/>
        <v>0</v>
      </c>
      <c r="X186" s="183">
        <v>0</v>
      </c>
      <c r="Y186" s="69">
        <f t="shared" ca="1" si="120"/>
        <v>5036293</v>
      </c>
      <c r="Z186" s="61">
        <f ca="1">IFERROR(__xludf.DUMMYFUNCTION("VLOOKUP(C186,IMPORTRANGE(""https://docs.google.com/spreadsheets/d/1heLiqWF_2HiP-P9QpK84CTP6DxpoT_aG9fTdG9C1JMk/edit?gid=1535728046#gid=1535728046"",""DATA_ABSEN_JUNI25""),42,0)+VLOOKUP(C186,IMPORTRANGE(""https://docs.google.com/spreadsheets/d/1heLiqWF_2Hi"&amp;"P-P9QpK84CTP6DxpoT_aG9fTdG9C1JMk/edit?gid=1535728046#gid=1535728046"",""DATA_ABSEN_JUNI25""),43,0)"),0)</f>
        <v>0</v>
      </c>
      <c r="AA186" s="61">
        <f ca="1">IFERROR(__xludf.DUMMYFUNCTION("VLOOKUP(C186,IMPORTRANGE(""https://docs.google.com/spreadsheets/d/1heLiqWF_2HiP-P9QpK84CTP6DxpoT_aG9fTdG9C1JMk/edit?gid=1535728046#gid=1535728046"",""DATA_ABSEN_JUNI25""),44,0)"),0)</f>
        <v>0</v>
      </c>
      <c r="AB186" s="61">
        <f ca="1">IFERROR(__xludf.DUMMYFUNCTION("VLOOKUP(C186,IMPORTRANGE(""https://docs.google.com/spreadsheets/d/1heLiqWF_2HiP-P9QpK84CTP6DxpoT_aG9fTdG9C1JMk/edit?gid=1535728046#gid=1535728046"",""DATA_ABSEN_JUNI25""),45,0)"),0)</f>
        <v>0</v>
      </c>
      <c r="AC186" s="61">
        <f ca="1">IFERROR(__xludf.DUMMYFUNCTION("VLOOKUP(C186,IMPORTRANGE(""https://docs.google.com/spreadsheets/d/1heLiqWF_2HiP-P9QpK84CTP6DxpoT_aG9fTdG9C1JMk/edit?gid=1535728046#gid=1535728046"",""DATA_ABSEN_JUNI25""),46,0)"),0)</f>
        <v>0</v>
      </c>
      <c r="AD186" s="125">
        <v>0</v>
      </c>
      <c r="AE186" s="69">
        <f t="shared" ca="1" si="121"/>
        <v>0</v>
      </c>
      <c r="AF186" s="20">
        <v>326819</v>
      </c>
      <c r="AG186" s="20">
        <v>176850</v>
      </c>
      <c r="AH186" s="69">
        <v>0</v>
      </c>
      <c r="AI186" s="69" t="e">
        <f t="shared" si="122"/>
        <v>#REF!</v>
      </c>
      <c r="AJ186" s="69">
        <v>0</v>
      </c>
      <c r="AK186" s="69" t="e">
        <f t="shared" si="123"/>
        <v>#REF!</v>
      </c>
      <c r="AL186" s="183">
        <v>0</v>
      </c>
      <c r="AM186" s="69">
        <f t="shared" ca="1" si="124"/>
        <v>503669</v>
      </c>
      <c r="AN186" s="69">
        <f t="shared" ca="1" si="125"/>
        <v>4532624</v>
      </c>
      <c r="AO186" s="69">
        <f t="shared" ca="1" si="126"/>
        <v>0</v>
      </c>
      <c r="AP186" s="69">
        <f t="shared" ca="1" si="127"/>
        <v>4532624</v>
      </c>
      <c r="AQ186" s="69">
        <f t="shared" ca="1" si="128"/>
        <v>4532624</v>
      </c>
      <c r="AR186" s="70">
        <f t="shared" ca="1" si="129"/>
        <v>4532624</v>
      </c>
      <c r="AS186" s="184"/>
      <c r="AT186" s="185" t="s">
        <v>8</v>
      </c>
      <c r="AU186" s="186" t="s">
        <v>19</v>
      </c>
      <c r="AV186" s="69">
        <f t="shared" si="130"/>
        <v>3537000</v>
      </c>
      <c r="AW186" s="69">
        <f t="shared" ca="1" si="131"/>
        <v>1137104</v>
      </c>
      <c r="AX186" s="69">
        <f t="shared" ca="1" si="132"/>
        <v>0</v>
      </c>
      <c r="AY186" s="183">
        <v>0</v>
      </c>
      <c r="AZ186" s="69">
        <f t="shared" si="133"/>
        <v>8488.7999999999993</v>
      </c>
      <c r="BA186" s="69">
        <f t="shared" si="134"/>
        <v>10611</v>
      </c>
      <c r="BB186" s="69">
        <f t="shared" si="135"/>
        <v>141480</v>
      </c>
      <c r="BC186" s="69">
        <f t="shared" ca="1" si="136"/>
        <v>4834683.8</v>
      </c>
      <c r="BD186" s="74">
        <f ca="1">IF(AU186="C",VLOOKUP(BC186,TER!$J$4:$L$50,3,TRUE),IF(AU186="B",VLOOKUP(BC186,TER!$F$4:$H$50,3,TRUE),IF(AU186="A",VLOOKUP(BC186,TER!$B$4:$D$50,3,TRUE),"ERROR")))</f>
        <v>0</v>
      </c>
      <c r="BE186" s="69">
        <f t="shared" ca="1" si="137"/>
        <v>0</v>
      </c>
      <c r="BF186" s="113"/>
      <c r="BG186" s="113"/>
    </row>
    <row r="187" spans="1:59" ht="13.5" hidden="1" customHeight="1">
      <c r="A187" s="113"/>
      <c r="B187" s="224">
        <v>32</v>
      </c>
      <c r="C187" s="68" t="s">
        <v>513</v>
      </c>
      <c r="D187" s="190" t="s">
        <v>514</v>
      </c>
      <c r="E187" s="67" t="s">
        <v>57</v>
      </c>
      <c r="F187" s="68" t="s">
        <v>1252</v>
      </c>
      <c r="G187" s="67" t="s">
        <v>31</v>
      </c>
      <c r="H187" s="66" t="s">
        <v>32</v>
      </c>
      <c r="I187" s="69">
        <f t="shared" si="113"/>
        <v>3537000</v>
      </c>
      <c r="J187" s="70">
        <v>220709</v>
      </c>
      <c r="K187" s="70">
        <v>141480</v>
      </c>
      <c r="L187" s="70">
        <v>2766394</v>
      </c>
      <c r="M187" s="69">
        <f t="shared" ca="1" si="114"/>
        <v>115266.41666666667</v>
      </c>
      <c r="N187" s="61">
        <f ca="1">IFERROR(__xludf.DUMMYFUNCTION("VLOOKUP(C187,IMPORTRANGE(""https://docs.google.com/spreadsheets/d/1heLiqWF_2HiP-P9QpK84CTP6DxpoT_aG9fTdG9C1JMk/edit?gid=1535728046#gid=1535728046"",""DATA_ABSEN_JUNI25""),39,0)"),22)</f>
        <v>22</v>
      </c>
      <c r="O187" s="61">
        <f ca="1">IFERROR(__xludf.DUMMYFUNCTION("VLOOKUP(C187,IMPORTRANGE(""https://docs.google.com/spreadsheets/d/1heLiqWF_2HiP-P9QpK84CTP6DxpoT_aG9fTdG9C1JMk/edit?gid=1535728046#gid=1535728046"",""DATA_ABSEN_JUNI25""),40,0)"),24)</f>
        <v>24</v>
      </c>
      <c r="P187" s="69">
        <f t="shared" ca="1" si="115"/>
        <v>2535861.166666667</v>
      </c>
      <c r="Q187" s="66"/>
      <c r="R187" s="69">
        <f t="shared" si="116"/>
        <v>6665583</v>
      </c>
      <c r="S187" s="69">
        <f t="shared" ca="1" si="117"/>
        <v>6435050.166666667</v>
      </c>
      <c r="T187" s="69">
        <f t="shared" ca="1" si="118"/>
        <v>0</v>
      </c>
      <c r="U187" s="20">
        <v>259867</v>
      </c>
      <c r="V187" s="177">
        <f ca="1">IFERROR(__xludf.DUMMYFUNCTION("VLOOKUP(C187,IMPORTRANGE(""https://docs.google.com/spreadsheets/d/1heLiqWF_2HiP-P9QpK84CTP6DxpoT_aG9fTdG9C1JMk/edit?gid=1535728046#gid=1535728046"",""DATA_ABSEN_JUNI25""),41,0)"),1)</f>
        <v>1</v>
      </c>
      <c r="W187" s="69">
        <f t="shared" ca="1" si="119"/>
        <v>259867</v>
      </c>
      <c r="X187" s="69">
        <v>0</v>
      </c>
      <c r="Y187" s="69">
        <f t="shared" ca="1" si="120"/>
        <v>6694917.166666667</v>
      </c>
      <c r="Z187" s="61">
        <f ca="1">IFERROR(__xludf.DUMMYFUNCTION("VLOOKUP(C187,IMPORTRANGE(""https://docs.google.com/spreadsheets/d/1heLiqWF_2HiP-P9QpK84CTP6DxpoT_aG9fTdG9C1JMk/edit?gid=1535728046#gid=1535728046"",""DATA_ABSEN_JUNI25""),42,0)+VLOOKUP(C187,IMPORTRANGE(""https://docs.google.com/spreadsheets/d/1heLiqWF_2Hi"&amp;"P-P9QpK84CTP6DxpoT_aG9fTdG9C1JMk/edit?gid=1535728046#gid=1535728046"",""DATA_ABSEN_JUNI25""),43,0)"),0)</f>
        <v>0</v>
      </c>
      <c r="AA187" s="61">
        <f ca="1">IFERROR(__xludf.DUMMYFUNCTION("VLOOKUP(C187,IMPORTRANGE(""https://docs.google.com/spreadsheets/d/1heLiqWF_2HiP-P9QpK84CTP6DxpoT_aG9fTdG9C1JMk/edit?gid=1535728046#gid=1535728046"",""DATA_ABSEN_JUNI25""),44,0)"),2)</f>
        <v>2</v>
      </c>
      <c r="AB187" s="61">
        <f ca="1">IFERROR(__xludf.DUMMYFUNCTION("VLOOKUP(C187,IMPORTRANGE(""https://docs.google.com/spreadsheets/d/1heLiqWF_2HiP-P9QpK84CTP6DxpoT_aG9fTdG9C1JMk/edit?gid=1535728046#gid=1535728046"",""DATA_ABSEN_JUNI25""),45,0)"),0)</f>
        <v>0</v>
      </c>
      <c r="AC187" s="61">
        <f ca="1">IFERROR(__xludf.DUMMYFUNCTION("VLOOKUP(C187,IMPORTRANGE(""https://docs.google.com/spreadsheets/d/1heLiqWF_2HiP-P9QpK84CTP6DxpoT_aG9fTdG9C1JMk/edit?gid=1535728046#gid=1535728046"",""DATA_ABSEN_JUNI25""),46,0)"),0)</f>
        <v>0</v>
      </c>
      <c r="AD187" s="125">
        <v>0</v>
      </c>
      <c r="AE187" s="69">
        <f t="shared" ca="1" si="121"/>
        <v>519734</v>
      </c>
      <c r="AF187" s="20">
        <v>326819</v>
      </c>
      <c r="AG187" s="20">
        <v>176850</v>
      </c>
      <c r="AH187" s="69">
        <v>0</v>
      </c>
      <c r="AI187" s="69" t="e">
        <f t="shared" si="122"/>
        <v>#REF!</v>
      </c>
      <c r="AJ187" s="69">
        <v>0</v>
      </c>
      <c r="AK187" s="69" t="e">
        <f t="shared" si="123"/>
        <v>#REF!</v>
      </c>
      <c r="AL187" s="69">
        <v>0</v>
      </c>
      <c r="AM187" s="69">
        <f t="shared" ca="1" si="124"/>
        <v>1023403</v>
      </c>
      <c r="AN187" s="69">
        <f t="shared" ca="1" si="125"/>
        <v>5671514.166666667</v>
      </c>
      <c r="AO187" s="69">
        <f t="shared" ca="1" si="126"/>
        <v>64933.079666666672</v>
      </c>
      <c r="AP187" s="69">
        <f t="shared" ca="1" si="127"/>
        <v>5606581.0870000003</v>
      </c>
      <c r="AQ187" s="69">
        <f t="shared" ca="1" si="128"/>
        <v>5606581.0870000003</v>
      </c>
      <c r="AR187" s="70">
        <f t="shared" ca="1" si="129"/>
        <v>5606581.0870000003</v>
      </c>
      <c r="AS187" s="113"/>
      <c r="AT187" s="73" t="s">
        <v>9</v>
      </c>
      <c r="AU187" s="61" t="s">
        <v>10</v>
      </c>
      <c r="AV187" s="69">
        <f t="shared" si="130"/>
        <v>3537000</v>
      </c>
      <c r="AW187" s="69">
        <f t="shared" ca="1" si="131"/>
        <v>2535861.166666667</v>
      </c>
      <c r="AX187" s="69">
        <f t="shared" ca="1" si="132"/>
        <v>259867</v>
      </c>
      <c r="AY187" s="69">
        <v>0</v>
      </c>
      <c r="AZ187" s="69">
        <f t="shared" si="133"/>
        <v>8488.7999999999993</v>
      </c>
      <c r="BA187" s="69">
        <f t="shared" si="134"/>
        <v>10611</v>
      </c>
      <c r="BB187" s="69">
        <f t="shared" si="135"/>
        <v>141480</v>
      </c>
      <c r="BC187" s="69">
        <f t="shared" ca="1" si="136"/>
        <v>6493307.9666666668</v>
      </c>
      <c r="BD187" s="74">
        <f ca="1">IF(AU187="C",VLOOKUP(BC187,TER!$J$4:$L$50,3,TRUE),IF(AU187="B",VLOOKUP(BC187,TER!$F$4:$H$50,3,TRUE),IF(AU187="A",VLOOKUP(BC187,TER!$B$4:$D$50,3,TRUE),"ERROR")))</f>
        <v>0.01</v>
      </c>
      <c r="BE187" s="69">
        <f t="shared" ca="1" si="137"/>
        <v>64933.079666666672</v>
      </c>
      <c r="BF187" s="113"/>
      <c r="BG187" s="113"/>
    </row>
    <row r="188" spans="1:59" ht="13.5" hidden="1" customHeight="1">
      <c r="A188" s="113"/>
      <c r="B188" s="224">
        <v>33</v>
      </c>
      <c r="C188" s="67" t="s">
        <v>515</v>
      </c>
      <c r="D188" s="98" t="s">
        <v>516</v>
      </c>
      <c r="E188" s="67" t="s">
        <v>57</v>
      </c>
      <c r="F188" s="68" t="s">
        <v>517</v>
      </c>
      <c r="G188" s="67" t="s">
        <v>31</v>
      </c>
      <c r="H188" s="66" t="s">
        <v>32</v>
      </c>
      <c r="I188" s="69">
        <f t="shared" si="113"/>
        <v>3537000</v>
      </c>
      <c r="J188" s="70">
        <v>220709</v>
      </c>
      <c r="K188" s="70">
        <v>141480</v>
      </c>
      <c r="L188" s="70">
        <v>2766394</v>
      </c>
      <c r="M188" s="69">
        <f t="shared" ca="1" si="114"/>
        <v>115266.41666666667</v>
      </c>
      <c r="N188" s="61">
        <f ca="1">IFERROR(__xludf.DUMMYFUNCTION("VLOOKUP(C188,IMPORTRANGE(""https://docs.google.com/spreadsheets/d/1heLiqWF_2HiP-P9QpK84CTP6DxpoT_aG9fTdG9C1JMk/edit?gid=1535728046#gid=1535728046"",""DATA_ABSEN_JUNI25""),39,0)"),24)</f>
        <v>24</v>
      </c>
      <c r="O188" s="61">
        <f ca="1">IFERROR(__xludf.DUMMYFUNCTION("VLOOKUP(C188,IMPORTRANGE(""https://docs.google.com/spreadsheets/d/1heLiqWF_2HiP-P9QpK84CTP6DxpoT_aG9fTdG9C1JMk/edit?gid=1535728046#gid=1535728046"",""DATA_ABSEN_JUNI25""),40,0)"),24)</f>
        <v>24</v>
      </c>
      <c r="P188" s="69">
        <f t="shared" ca="1" si="115"/>
        <v>2766394</v>
      </c>
      <c r="Q188" s="66"/>
      <c r="R188" s="69">
        <f t="shared" si="116"/>
        <v>6665583</v>
      </c>
      <c r="S188" s="69">
        <f t="shared" ca="1" si="117"/>
        <v>6665583</v>
      </c>
      <c r="T188" s="69">
        <f t="shared" ca="1" si="118"/>
        <v>0</v>
      </c>
      <c r="U188" s="20">
        <v>259867</v>
      </c>
      <c r="V188" s="177">
        <f ca="1">IFERROR(__xludf.DUMMYFUNCTION("VLOOKUP(C188,IMPORTRANGE(""https://docs.google.com/spreadsheets/d/1heLiqWF_2HiP-P9QpK84CTP6DxpoT_aG9fTdG9C1JMk/edit?gid=1535728046#gid=1535728046"",""DATA_ABSEN_JUNI25""),41,0)"),1)</f>
        <v>1</v>
      </c>
      <c r="W188" s="69">
        <f t="shared" ca="1" si="119"/>
        <v>259867</v>
      </c>
      <c r="X188" s="69">
        <v>0</v>
      </c>
      <c r="Y188" s="69">
        <f t="shared" ca="1" si="120"/>
        <v>6925450</v>
      </c>
      <c r="Z188" s="61">
        <f ca="1">IFERROR(__xludf.DUMMYFUNCTION("VLOOKUP(C188,IMPORTRANGE(""https://docs.google.com/spreadsheets/d/1heLiqWF_2HiP-P9QpK84CTP6DxpoT_aG9fTdG9C1JMk/edit?gid=1535728046#gid=1535728046"",""DATA_ABSEN_JUNI25""),42,0)+VLOOKUP(C188,IMPORTRANGE(""https://docs.google.com/spreadsheets/d/1heLiqWF_2Hi"&amp;"P-P9QpK84CTP6DxpoT_aG9fTdG9C1JMk/edit?gid=1535728046#gid=1535728046"",""DATA_ABSEN_JUNI25""),43,0)"),0)</f>
        <v>0</v>
      </c>
      <c r="AA188" s="61">
        <f ca="1">IFERROR(__xludf.DUMMYFUNCTION("VLOOKUP(C188,IMPORTRANGE(""https://docs.google.com/spreadsheets/d/1heLiqWF_2HiP-P9QpK84CTP6DxpoT_aG9fTdG9C1JMk/edit?gid=1535728046#gid=1535728046"",""DATA_ABSEN_JUNI25""),44,0)"),0)</f>
        <v>0</v>
      </c>
      <c r="AB188" s="61">
        <f ca="1">IFERROR(__xludf.DUMMYFUNCTION("VLOOKUP(C188,IMPORTRANGE(""https://docs.google.com/spreadsheets/d/1heLiqWF_2HiP-P9QpK84CTP6DxpoT_aG9fTdG9C1JMk/edit?gid=1535728046#gid=1535728046"",""DATA_ABSEN_JUNI25""),45,0)"),0)</f>
        <v>0</v>
      </c>
      <c r="AC188" s="61">
        <f ca="1">IFERROR(__xludf.DUMMYFUNCTION("VLOOKUP(C188,IMPORTRANGE(""https://docs.google.com/spreadsheets/d/1heLiqWF_2HiP-P9QpK84CTP6DxpoT_aG9fTdG9C1JMk/edit?gid=1535728046#gid=1535728046"",""DATA_ABSEN_JUNI25""),46,0)"),0)</f>
        <v>0</v>
      </c>
      <c r="AD188" s="125">
        <v>0</v>
      </c>
      <c r="AE188" s="69">
        <f t="shared" ca="1" si="121"/>
        <v>0</v>
      </c>
      <c r="AF188" s="20">
        <v>326819</v>
      </c>
      <c r="AG188" s="20">
        <v>176850</v>
      </c>
      <c r="AH188" s="69">
        <v>0</v>
      </c>
      <c r="AI188" s="69" t="e">
        <f t="shared" si="122"/>
        <v>#REF!</v>
      </c>
      <c r="AJ188" s="69">
        <v>0</v>
      </c>
      <c r="AK188" s="69" t="e">
        <f t="shared" si="123"/>
        <v>#REF!</v>
      </c>
      <c r="AL188" s="69">
        <v>0</v>
      </c>
      <c r="AM188" s="69">
        <f t="shared" ca="1" si="124"/>
        <v>503669</v>
      </c>
      <c r="AN188" s="69">
        <f t="shared" ca="1" si="125"/>
        <v>6421781</v>
      </c>
      <c r="AO188" s="69">
        <f t="shared" ca="1" si="126"/>
        <v>16809.601999999999</v>
      </c>
      <c r="AP188" s="69">
        <f t="shared" ca="1" si="127"/>
        <v>6404971.398</v>
      </c>
      <c r="AQ188" s="69">
        <f t="shared" ca="1" si="128"/>
        <v>6404971.398</v>
      </c>
      <c r="AR188" s="70">
        <f t="shared" ca="1" si="129"/>
        <v>6404971.398</v>
      </c>
      <c r="AS188" s="113"/>
      <c r="AT188" s="73" t="s">
        <v>8</v>
      </c>
      <c r="AU188" s="61" t="s">
        <v>19</v>
      </c>
      <c r="AV188" s="69">
        <f t="shared" si="130"/>
        <v>3537000</v>
      </c>
      <c r="AW188" s="69">
        <f t="shared" ca="1" si="131"/>
        <v>2766394</v>
      </c>
      <c r="AX188" s="69">
        <f t="shared" ca="1" si="132"/>
        <v>259867</v>
      </c>
      <c r="AY188" s="69">
        <v>0</v>
      </c>
      <c r="AZ188" s="69">
        <f t="shared" si="133"/>
        <v>8488.7999999999993</v>
      </c>
      <c r="BA188" s="69">
        <f t="shared" si="134"/>
        <v>10611</v>
      </c>
      <c r="BB188" s="69">
        <f t="shared" si="135"/>
        <v>141480</v>
      </c>
      <c r="BC188" s="69">
        <f t="shared" ca="1" si="136"/>
        <v>6723840.7999999998</v>
      </c>
      <c r="BD188" s="74">
        <f ca="1">IF(AU188="C",VLOOKUP(BC188,TER!$J$4:$L$50,3,TRUE),IF(AU188="B",VLOOKUP(BC188,TER!$F$4:$H$50,3,TRUE),IF(AU188="A",VLOOKUP(BC188,TER!$B$4:$D$50,3,TRUE),"ERROR")))</f>
        <v>2.5000000000000001E-3</v>
      </c>
      <c r="BE188" s="69">
        <f t="shared" ca="1" si="137"/>
        <v>16809.601999999999</v>
      </c>
      <c r="BF188" s="113"/>
      <c r="BG188" s="113"/>
    </row>
    <row r="189" spans="1:59" ht="13.5" hidden="1" customHeight="1">
      <c r="A189" s="113"/>
      <c r="B189" s="224">
        <v>34</v>
      </c>
      <c r="C189" s="178" t="s">
        <v>518</v>
      </c>
      <c r="D189" s="179" t="s">
        <v>519</v>
      </c>
      <c r="E189" s="67" t="s">
        <v>57</v>
      </c>
      <c r="F189" s="68" t="s">
        <v>520</v>
      </c>
      <c r="G189" s="180" t="s">
        <v>512</v>
      </c>
      <c r="H189" s="179" t="s">
        <v>32</v>
      </c>
      <c r="I189" s="69">
        <f t="shared" si="113"/>
        <v>3537000</v>
      </c>
      <c r="J189" s="70">
        <v>220709</v>
      </c>
      <c r="K189" s="70">
        <v>141480</v>
      </c>
      <c r="L189" s="181">
        <v>1137104</v>
      </c>
      <c r="M189" s="69">
        <f t="shared" ca="1" si="114"/>
        <v>56855.199999999997</v>
      </c>
      <c r="N189" s="61">
        <f ca="1">IFERROR(__xludf.DUMMYFUNCTION("VLOOKUP(C189,IMPORTRANGE(""https://docs.google.com/spreadsheets/d/1heLiqWF_2HiP-P9QpK84CTP6DxpoT_aG9fTdG9C1JMk/edit?gid=1535728046#gid=1535728046"",""DATA_ABSEN_JUNI25""),39,0)"),20)</f>
        <v>20</v>
      </c>
      <c r="O189" s="61">
        <f ca="1">IFERROR(__xludf.DUMMYFUNCTION("VLOOKUP(C189,IMPORTRANGE(""https://docs.google.com/spreadsheets/d/1heLiqWF_2HiP-P9QpK84CTP6DxpoT_aG9fTdG9C1JMk/edit?gid=1535728046#gid=1535728046"",""DATA_ABSEN_JUNI25""),40,0)"),20)</f>
        <v>20</v>
      </c>
      <c r="P189" s="69">
        <f t="shared" ca="1" si="115"/>
        <v>1137104</v>
      </c>
      <c r="Q189" s="179"/>
      <c r="R189" s="69">
        <f t="shared" si="116"/>
        <v>5036293</v>
      </c>
      <c r="S189" s="69">
        <f t="shared" ca="1" si="117"/>
        <v>5036293</v>
      </c>
      <c r="T189" s="69">
        <f t="shared" ca="1" si="118"/>
        <v>0</v>
      </c>
      <c r="U189" s="20">
        <v>259867</v>
      </c>
      <c r="V189" s="177">
        <f ca="1">IFERROR(__xludf.DUMMYFUNCTION("VLOOKUP(C189,IMPORTRANGE(""https://docs.google.com/spreadsheets/d/1heLiqWF_2HiP-P9QpK84CTP6DxpoT_aG9fTdG9C1JMk/edit?gid=1535728046#gid=1535728046"",""DATA_ABSEN_JUNI25""),41,0)"),0)</f>
        <v>0</v>
      </c>
      <c r="W189" s="69">
        <f t="shared" ca="1" si="119"/>
        <v>0</v>
      </c>
      <c r="X189" s="183">
        <v>0</v>
      </c>
      <c r="Y189" s="69">
        <f t="shared" ca="1" si="120"/>
        <v>5036293</v>
      </c>
      <c r="Z189" s="61">
        <f ca="1">IFERROR(__xludf.DUMMYFUNCTION("VLOOKUP(C189,IMPORTRANGE(""https://docs.google.com/spreadsheets/d/1heLiqWF_2HiP-P9QpK84CTP6DxpoT_aG9fTdG9C1JMk/edit?gid=1535728046#gid=1535728046"",""DATA_ABSEN_JUNI25""),42,0)+VLOOKUP(C189,IMPORTRANGE(""https://docs.google.com/spreadsheets/d/1heLiqWF_2Hi"&amp;"P-P9QpK84CTP6DxpoT_aG9fTdG9C1JMk/edit?gid=1535728046#gid=1535728046"",""DATA_ABSEN_JUNI25""),43,0)"),0)</f>
        <v>0</v>
      </c>
      <c r="AA189" s="61">
        <f ca="1">IFERROR(__xludf.DUMMYFUNCTION("VLOOKUP(C189,IMPORTRANGE(""https://docs.google.com/spreadsheets/d/1heLiqWF_2HiP-P9QpK84CTP6DxpoT_aG9fTdG9C1JMk/edit?gid=1535728046#gid=1535728046"",""DATA_ABSEN_JUNI25""),44,0)"),0)</f>
        <v>0</v>
      </c>
      <c r="AB189" s="61">
        <f ca="1">IFERROR(__xludf.DUMMYFUNCTION("VLOOKUP(C189,IMPORTRANGE(""https://docs.google.com/spreadsheets/d/1heLiqWF_2HiP-P9QpK84CTP6DxpoT_aG9fTdG9C1JMk/edit?gid=1535728046#gid=1535728046"",""DATA_ABSEN_JUNI25""),45,0)"),0)</f>
        <v>0</v>
      </c>
      <c r="AC189" s="61">
        <f ca="1">IFERROR(__xludf.DUMMYFUNCTION("VLOOKUP(C189,IMPORTRANGE(""https://docs.google.com/spreadsheets/d/1heLiqWF_2HiP-P9QpK84CTP6DxpoT_aG9fTdG9C1JMk/edit?gid=1535728046#gid=1535728046"",""DATA_ABSEN_JUNI25""),46,0)"),0)</f>
        <v>0</v>
      </c>
      <c r="AD189" s="125">
        <v>0</v>
      </c>
      <c r="AE189" s="69">
        <f t="shared" ca="1" si="121"/>
        <v>0</v>
      </c>
      <c r="AF189" s="20">
        <v>326819</v>
      </c>
      <c r="AG189" s="20">
        <v>176850</v>
      </c>
      <c r="AH189" s="69">
        <v>0</v>
      </c>
      <c r="AI189" s="69" t="e">
        <f t="shared" si="122"/>
        <v>#REF!</v>
      </c>
      <c r="AJ189" s="69">
        <v>0</v>
      </c>
      <c r="AK189" s="69" t="e">
        <f t="shared" si="123"/>
        <v>#REF!</v>
      </c>
      <c r="AL189" s="183">
        <v>0</v>
      </c>
      <c r="AM189" s="69">
        <f t="shared" ca="1" si="124"/>
        <v>503669</v>
      </c>
      <c r="AN189" s="69">
        <f t="shared" ca="1" si="125"/>
        <v>4532624</v>
      </c>
      <c r="AO189" s="69">
        <f t="shared" ca="1" si="126"/>
        <v>0</v>
      </c>
      <c r="AP189" s="69">
        <f t="shared" ca="1" si="127"/>
        <v>4532624</v>
      </c>
      <c r="AQ189" s="69">
        <f t="shared" ca="1" si="128"/>
        <v>4532624</v>
      </c>
      <c r="AR189" s="70">
        <f t="shared" ca="1" si="129"/>
        <v>4532624</v>
      </c>
      <c r="AS189" s="184"/>
      <c r="AT189" s="185" t="s">
        <v>8</v>
      </c>
      <c r="AU189" s="186" t="s">
        <v>19</v>
      </c>
      <c r="AV189" s="69">
        <f t="shared" si="130"/>
        <v>3537000</v>
      </c>
      <c r="AW189" s="69">
        <f t="shared" ca="1" si="131"/>
        <v>1137104</v>
      </c>
      <c r="AX189" s="69">
        <f t="shared" ca="1" si="132"/>
        <v>0</v>
      </c>
      <c r="AY189" s="183">
        <v>0</v>
      </c>
      <c r="AZ189" s="69">
        <f t="shared" si="133"/>
        <v>8488.7999999999993</v>
      </c>
      <c r="BA189" s="69">
        <f t="shared" si="134"/>
        <v>10611</v>
      </c>
      <c r="BB189" s="69">
        <f t="shared" si="135"/>
        <v>141480</v>
      </c>
      <c r="BC189" s="69">
        <f t="shared" ca="1" si="136"/>
        <v>4834683.8</v>
      </c>
      <c r="BD189" s="74">
        <f ca="1">IF(AU189="C",VLOOKUP(BC189,TER!$J$4:$L$50,3,TRUE),IF(AU189="B",VLOOKUP(BC189,TER!$F$4:$H$50,3,TRUE),IF(AU189="A",VLOOKUP(BC189,TER!$B$4:$D$50,3,TRUE),"ERROR")))</f>
        <v>0</v>
      </c>
      <c r="BE189" s="69">
        <f t="shared" ca="1" si="137"/>
        <v>0</v>
      </c>
      <c r="BF189" s="113"/>
      <c r="BG189" s="113"/>
    </row>
    <row r="190" spans="1:59" ht="13.5" hidden="1" customHeight="1">
      <c r="A190" s="113"/>
      <c r="B190" s="224">
        <v>35</v>
      </c>
      <c r="C190" s="77"/>
      <c r="D190" s="78" t="s">
        <v>1079</v>
      </c>
      <c r="E190" s="76"/>
      <c r="F190" s="77"/>
      <c r="G190" s="76"/>
      <c r="H190" s="75"/>
      <c r="I190" s="79"/>
      <c r="J190" s="80"/>
      <c r="K190" s="80"/>
      <c r="L190" s="80"/>
      <c r="M190" s="79"/>
      <c r="N190" s="81"/>
      <c r="O190" s="81"/>
      <c r="P190" s="79"/>
      <c r="Q190" s="75"/>
      <c r="R190" s="79"/>
      <c r="S190" s="79"/>
      <c r="T190" s="79"/>
      <c r="U190" s="54"/>
      <c r="V190" s="81"/>
      <c r="W190" s="79"/>
      <c r="X190" s="79"/>
      <c r="Y190" s="79"/>
      <c r="Z190" s="81"/>
      <c r="AA190" s="81"/>
      <c r="AB190" s="81"/>
      <c r="AC190" s="81"/>
      <c r="AD190" s="81"/>
      <c r="AE190" s="79"/>
      <c r="AF190" s="54"/>
      <c r="AG190" s="54"/>
      <c r="AH190" s="79"/>
      <c r="AI190" s="70">
        <v>0</v>
      </c>
      <c r="AJ190" s="69">
        <v>0</v>
      </c>
      <c r="AK190" s="69">
        <f t="shared" si="123"/>
        <v>0</v>
      </c>
      <c r="AL190" s="79"/>
      <c r="AM190" s="79"/>
      <c r="AN190" s="79"/>
      <c r="AO190" s="79"/>
      <c r="AP190" s="79"/>
      <c r="AQ190" s="79"/>
      <c r="AR190" s="80"/>
      <c r="AS190" s="189"/>
      <c r="AT190" s="83"/>
      <c r="AU190" s="82"/>
      <c r="AV190" s="79"/>
      <c r="AW190" s="79"/>
      <c r="AX190" s="79"/>
      <c r="AY190" s="79"/>
      <c r="AZ190" s="79"/>
      <c r="BA190" s="79"/>
      <c r="BB190" s="79"/>
      <c r="BC190" s="79"/>
      <c r="BD190" s="76"/>
      <c r="BE190" s="79"/>
      <c r="BF190" s="113"/>
      <c r="BG190" s="113"/>
    </row>
    <row r="191" spans="1:59" ht="13.5" hidden="1" customHeight="1">
      <c r="A191" s="113"/>
      <c r="B191" s="224">
        <v>36</v>
      </c>
      <c r="C191" s="68" t="s">
        <v>521</v>
      </c>
      <c r="D191" s="98" t="s">
        <v>522</v>
      </c>
      <c r="E191" s="67" t="s">
        <v>57</v>
      </c>
      <c r="F191" s="68" t="s">
        <v>1253</v>
      </c>
      <c r="G191" s="67" t="s">
        <v>31</v>
      </c>
      <c r="H191" s="66" t="s">
        <v>32</v>
      </c>
      <c r="I191" s="69">
        <f t="shared" ref="I191:I217" si="138">IF(H191="FULL - EXISTING",3537000,3537000/O191*N191)</f>
        <v>3537000</v>
      </c>
      <c r="J191" s="70">
        <v>220709</v>
      </c>
      <c r="K191" s="70">
        <v>141480</v>
      </c>
      <c r="L191" s="70">
        <v>2766394</v>
      </c>
      <c r="M191" s="69">
        <f t="shared" ref="M191:M217" ca="1" si="139">L191/O191</f>
        <v>115266.41666666667</v>
      </c>
      <c r="N191" s="61">
        <f ca="1">IFERROR(__xludf.DUMMYFUNCTION("VLOOKUP(C191,IMPORTRANGE(""https://docs.google.com/spreadsheets/d/1heLiqWF_2HiP-P9QpK84CTP6DxpoT_aG9fTdG9C1JMk/edit?gid=1535728046#gid=1535728046"",""DATA_ABSEN_JUNI25""),39,0)"),16)</f>
        <v>16</v>
      </c>
      <c r="O191" s="61">
        <f ca="1">IFERROR(__xludf.DUMMYFUNCTION("VLOOKUP(C191,IMPORTRANGE(""https://docs.google.com/spreadsheets/d/1heLiqWF_2HiP-P9QpK84CTP6DxpoT_aG9fTdG9C1JMk/edit?gid=1535728046#gid=1535728046"",""DATA_ABSEN_JUNI25""),40,0)"),24)</f>
        <v>24</v>
      </c>
      <c r="P191" s="69">
        <f t="shared" ref="P191:P217" ca="1" si="140">M191*N191</f>
        <v>1844262.6666666667</v>
      </c>
      <c r="Q191" s="66"/>
      <c r="R191" s="69">
        <f t="shared" ref="R191:R217" si="141">I191+J191+K191+L191</f>
        <v>6665583</v>
      </c>
      <c r="S191" s="69">
        <f t="shared" ref="S191:S217" ca="1" si="142">I191+J191+K191+P191</f>
        <v>5743451.666666667</v>
      </c>
      <c r="T191" s="69">
        <f t="shared" ref="T191:T217" ca="1" si="143">IF(R191-S191&lt;0,R191-S191,0)</f>
        <v>0</v>
      </c>
      <c r="U191" s="20">
        <v>259867</v>
      </c>
      <c r="V191" s="177">
        <f ca="1">IFERROR(__xludf.DUMMYFUNCTION("VLOOKUP(C191,IMPORTRANGE(""https://docs.google.com/spreadsheets/d/1heLiqWF_2HiP-P9QpK84CTP6DxpoT_aG9fTdG9C1JMk/edit?gid=1535728046#gid=1535728046"",""DATA_ABSEN_JUNI25""),41,0)"),0)</f>
        <v>0</v>
      </c>
      <c r="W191" s="69">
        <f t="shared" ref="W191:W217" ca="1" si="144">U191*V191</f>
        <v>0</v>
      </c>
      <c r="X191" s="69">
        <v>0</v>
      </c>
      <c r="Y191" s="69">
        <f t="shared" ref="Y191:Y217" ca="1" si="145">I191+J191+K191+P191+W191+X191</f>
        <v>5743451.666666667</v>
      </c>
      <c r="Z191" s="61">
        <f ca="1">IFERROR(__xludf.DUMMYFUNCTION("VLOOKUP(C191,IMPORTRANGE(""https://docs.google.com/spreadsheets/d/1heLiqWF_2HiP-P9QpK84CTP6DxpoT_aG9fTdG9C1JMk/edit?gid=1535728046#gid=1535728046"",""DATA_ABSEN_JUNI25""),42,0)+VLOOKUP(C191,IMPORTRANGE(""https://docs.google.com/spreadsheets/d/1heLiqWF_2Hi"&amp;"P-P9QpK84CTP6DxpoT_aG9fTdG9C1JMk/edit?gid=1535728046#gid=1535728046"",""DATA_ABSEN_JUNI25""),43,0)"),0)</f>
        <v>0</v>
      </c>
      <c r="AA191" s="61">
        <f ca="1">IFERROR(__xludf.DUMMYFUNCTION("VLOOKUP(C191,IMPORTRANGE(""https://docs.google.com/spreadsheets/d/1heLiqWF_2HiP-P9QpK84CTP6DxpoT_aG9fTdG9C1JMk/edit?gid=1535728046#gid=1535728046"",""DATA_ABSEN_JUNI25""),44,0)"),0)</f>
        <v>0</v>
      </c>
      <c r="AB191" s="61">
        <f ca="1">IFERROR(__xludf.DUMMYFUNCTION("VLOOKUP(C191,IMPORTRANGE(""https://docs.google.com/spreadsheets/d/1heLiqWF_2HiP-P9QpK84CTP6DxpoT_aG9fTdG9C1JMk/edit?gid=1535728046#gid=1535728046"",""DATA_ABSEN_JUNI25""),45,0)"),0)</f>
        <v>0</v>
      </c>
      <c r="AC191" s="61">
        <f ca="1">IFERROR(__xludf.DUMMYFUNCTION("VLOOKUP(C191,IMPORTRANGE(""https://docs.google.com/spreadsheets/d/1heLiqWF_2HiP-P9QpK84CTP6DxpoT_aG9fTdG9C1JMk/edit?gid=1535728046#gid=1535728046"",""DATA_ABSEN_JUNI25""),46,0)"),0)</f>
        <v>0</v>
      </c>
      <c r="AD191" s="125">
        <v>0</v>
      </c>
      <c r="AE191" s="69">
        <f t="shared" ref="AE191:AE217" ca="1" si="146">U191*(Z191+AA191+AD191+(AC191*2))</f>
        <v>0</v>
      </c>
      <c r="AF191" s="20">
        <v>326819</v>
      </c>
      <c r="AG191" s="20">
        <v>176850</v>
      </c>
      <c r="AH191" s="69">
        <v>0</v>
      </c>
      <c r="AI191" s="69" t="e">
        <f t="shared" ref="AI191:AI217" si="147">VLOOKUP(C191,PINJAMAN_KAI_JULI_25,35,0)</f>
        <v>#REF!</v>
      </c>
      <c r="AJ191" s="69">
        <v>0</v>
      </c>
      <c r="AK191" s="69" t="e">
        <f t="shared" si="123"/>
        <v>#REF!</v>
      </c>
      <c r="AL191" s="69">
        <v>0</v>
      </c>
      <c r="AM191" s="69">
        <f t="shared" ref="AM191:AM217" ca="1" si="148">AE191+AF191+AG191+AH191+AJ191+AL191</f>
        <v>503669</v>
      </c>
      <c r="AN191" s="69">
        <f t="shared" ref="AN191:AN217" ca="1" si="149">Y191-AM191</f>
        <v>5239782.666666667</v>
      </c>
      <c r="AO191" s="69">
        <f t="shared" ref="AO191:AO217" ca="1" si="150">BE191</f>
        <v>13854.606166666666</v>
      </c>
      <c r="AP191" s="69">
        <f t="shared" ref="AP191:AP217" ca="1" si="151">AN191-AO191</f>
        <v>5225928.0605000006</v>
      </c>
      <c r="AQ191" s="69">
        <f t="shared" ref="AQ191:AQ217" ca="1" si="152">AP191-X191</f>
        <v>5225928.0605000006</v>
      </c>
      <c r="AR191" s="70">
        <f t="shared" ref="AR191:AR217" ca="1" si="153">AP191-X191</f>
        <v>5225928.0605000006</v>
      </c>
      <c r="AS191" s="113"/>
      <c r="AT191" s="73" t="s">
        <v>9</v>
      </c>
      <c r="AU191" s="61" t="s">
        <v>10</v>
      </c>
      <c r="AV191" s="69">
        <f t="shared" ref="AV191:AV217" si="154">I191</f>
        <v>3537000</v>
      </c>
      <c r="AW191" s="69">
        <f t="shared" ref="AW191:AW217" ca="1" si="155">P191</f>
        <v>1844262.6666666667</v>
      </c>
      <c r="AX191" s="69">
        <f t="shared" ref="AX191:AX217" ca="1" si="156">W191</f>
        <v>0</v>
      </c>
      <c r="AY191" s="69">
        <v>0</v>
      </c>
      <c r="AZ191" s="69">
        <f t="shared" ref="AZ191:AZ217" si="157">IF(J191=0,0,AV191*0.24%)</f>
        <v>8488.7999999999993</v>
      </c>
      <c r="BA191" s="69">
        <f t="shared" ref="BA191:BA217" si="158">IF(J191=0,0,AV191*0.3%)</f>
        <v>10611</v>
      </c>
      <c r="BB191" s="69">
        <f t="shared" ref="BB191:BB217" si="159">IF(K191=0,0,AV191*4%)</f>
        <v>141480</v>
      </c>
      <c r="BC191" s="69">
        <f t="shared" ref="BC191:BC217" ca="1" si="160">SUM(AV191:BB191)</f>
        <v>5541842.4666666668</v>
      </c>
      <c r="BD191" s="74">
        <f ca="1">IF(AU191="C",VLOOKUP(BC191,TER!$J$4:$L$50,3,TRUE),IF(AU191="B",VLOOKUP(BC191,TER!$F$4:$H$50,3,TRUE),IF(AU191="A",VLOOKUP(BC191,TER!$B$4:$D$50,3,TRUE),"ERROR")))</f>
        <v>2.5000000000000001E-3</v>
      </c>
      <c r="BE191" s="69">
        <f t="shared" ref="BE191:BE217" ca="1" si="161">BC191*BD191</f>
        <v>13854.606166666666</v>
      </c>
      <c r="BF191" s="113"/>
      <c r="BG191" s="113"/>
    </row>
    <row r="192" spans="1:59" ht="13.5" hidden="1" customHeight="1">
      <c r="A192" s="113"/>
      <c r="B192" s="224">
        <v>37</v>
      </c>
      <c r="C192" s="68" t="s">
        <v>523</v>
      </c>
      <c r="D192" s="66" t="s">
        <v>524</v>
      </c>
      <c r="E192" s="67" t="s">
        <v>57</v>
      </c>
      <c r="F192" s="68" t="s">
        <v>525</v>
      </c>
      <c r="G192" s="67" t="s">
        <v>31</v>
      </c>
      <c r="H192" s="66" t="s">
        <v>32</v>
      </c>
      <c r="I192" s="69">
        <f t="shared" si="138"/>
        <v>3537000</v>
      </c>
      <c r="J192" s="70">
        <v>220709</v>
      </c>
      <c r="K192" s="70">
        <v>141480</v>
      </c>
      <c r="L192" s="70">
        <v>2766394</v>
      </c>
      <c r="M192" s="69">
        <f t="shared" ca="1" si="139"/>
        <v>115266.41666666667</v>
      </c>
      <c r="N192" s="61">
        <f ca="1">IFERROR(__xludf.DUMMYFUNCTION("VLOOKUP(C192,IMPORTRANGE(""https://docs.google.com/spreadsheets/d/1heLiqWF_2HiP-P9QpK84CTP6DxpoT_aG9fTdG9C1JMk/edit?gid=1535728046#gid=1535728046"",""DATA_ABSEN_JUNI25""),39,0)"),24)</f>
        <v>24</v>
      </c>
      <c r="O192" s="61">
        <f ca="1">IFERROR(__xludf.DUMMYFUNCTION("VLOOKUP(C192,IMPORTRANGE(""https://docs.google.com/spreadsheets/d/1heLiqWF_2HiP-P9QpK84CTP6DxpoT_aG9fTdG9C1JMk/edit?gid=1535728046#gid=1535728046"",""DATA_ABSEN_JUNI25""),40,0)"),24)</f>
        <v>24</v>
      </c>
      <c r="P192" s="69">
        <f t="shared" ca="1" si="140"/>
        <v>2766394</v>
      </c>
      <c r="Q192" s="66"/>
      <c r="R192" s="69">
        <f t="shared" si="141"/>
        <v>6665583</v>
      </c>
      <c r="S192" s="69">
        <f t="shared" ca="1" si="142"/>
        <v>6665583</v>
      </c>
      <c r="T192" s="69">
        <f t="shared" ca="1" si="143"/>
        <v>0</v>
      </c>
      <c r="U192" s="20">
        <v>259867</v>
      </c>
      <c r="V192" s="177">
        <f ca="1">IFERROR(__xludf.DUMMYFUNCTION("VLOOKUP(C192,IMPORTRANGE(""https://docs.google.com/spreadsheets/d/1heLiqWF_2HiP-P9QpK84CTP6DxpoT_aG9fTdG9C1JMk/edit?gid=1535728046#gid=1535728046"",""DATA_ABSEN_JUNI25""),41,0)"),3)</f>
        <v>3</v>
      </c>
      <c r="W192" s="69">
        <f t="shared" ca="1" si="144"/>
        <v>779601</v>
      </c>
      <c r="X192" s="69">
        <v>0</v>
      </c>
      <c r="Y192" s="69">
        <f t="shared" ca="1" si="145"/>
        <v>7445184</v>
      </c>
      <c r="Z192" s="61">
        <f ca="1">IFERROR(__xludf.DUMMYFUNCTION("VLOOKUP(C192,IMPORTRANGE(""https://docs.google.com/spreadsheets/d/1heLiqWF_2HiP-P9QpK84CTP6DxpoT_aG9fTdG9C1JMk/edit?gid=1535728046#gid=1535728046"",""DATA_ABSEN_JUNI25""),42,0)+VLOOKUP(C192,IMPORTRANGE(""https://docs.google.com/spreadsheets/d/1heLiqWF_2Hi"&amp;"P-P9QpK84CTP6DxpoT_aG9fTdG9C1JMk/edit?gid=1535728046#gid=1535728046"",""DATA_ABSEN_JUNI25""),43,0)"),0)</f>
        <v>0</v>
      </c>
      <c r="AA192" s="61">
        <f ca="1">IFERROR(__xludf.DUMMYFUNCTION("VLOOKUP(C192,IMPORTRANGE(""https://docs.google.com/spreadsheets/d/1heLiqWF_2HiP-P9QpK84CTP6DxpoT_aG9fTdG9C1JMk/edit?gid=1535728046#gid=1535728046"",""DATA_ABSEN_JUNI25""),44,0)"),0)</f>
        <v>0</v>
      </c>
      <c r="AB192" s="61">
        <f ca="1">IFERROR(__xludf.DUMMYFUNCTION("VLOOKUP(C192,IMPORTRANGE(""https://docs.google.com/spreadsheets/d/1heLiqWF_2HiP-P9QpK84CTP6DxpoT_aG9fTdG9C1JMk/edit?gid=1535728046#gid=1535728046"",""DATA_ABSEN_JUNI25""),45,0)"),0)</f>
        <v>0</v>
      </c>
      <c r="AC192" s="61">
        <f ca="1">IFERROR(__xludf.DUMMYFUNCTION("VLOOKUP(C192,IMPORTRANGE(""https://docs.google.com/spreadsheets/d/1heLiqWF_2HiP-P9QpK84CTP6DxpoT_aG9fTdG9C1JMk/edit?gid=1535728046#gid=1535728046"",""DATA_ABSEN_JUNI25""),46,0)"),0)</f>
        <v>0</v>
      </c>
      <c r="AD192" s="125">
        <v>0</v>
      </c>
      <c r="AE192" s="69">
        <f t="shared" ca="1" si="146"/>
        <v>0</v>
      </c>
      <c r="AF192" s="20">
        <v>326819</v>
      </c>
      <c r="AG192" s="20">
        <v>176850</v>
      </c>
      <c r="AH192" s="69">
        <v>0</v>
      </c>
      <c r="AI192" s="69" t="e">
        <f t="shared" si="147"/>
        <v>#REF!</v>
      </c>
      <c r="AJ192" s="69">
        <v>0</v>
      </c>
      <c r="AK192" s="69" t="e">
        <f t="shared" si="123"/>
        <v>#REF!</v>
      </c>
      <c r="AL192" s="69">
        <v>0</v>
      </c>
      <c r="AM192" s="69">
        <f t="shared" ca="1" si="148"/>
        <v>503669</v>
      </c>
      <c r="AN192" s="69">
        <f t="shared" ca="1" si="149"/>
        <v>6941515</v>
      </c>
      <c r="AO192" s="69">
        <f t="shared" ca="1" si="150"/>
        <v>90544.684999999998</v>
      </c>
      <c r="AP192" s="69">
        <f t="shared" ca="1" si="151"/>
        <v>6850970.3150000004</v>
      </c>
      <c r="AQ192" s="69">
        <f t="shared" ca="1" si="152"/>
        <v>6850970.3150000004</v>
      </c>
      <c r="AR192" s="70">
        <f t="shared" ca="1" si="153"/>
        <v>6850970.3150000004</v>
      </c>
      <c r="AS192" s="113"/>
      <c r="AT192" s="73" t="s">
        <v>9</v>
      </c>
      <c r="AU192" s="61" t="s">
        <v>10</v>
      </c>
      <c r="AV192" s="69">
        <f t="shared" si="154"/>
        <v>3537000</v>
      </c>
      <c r="AW192" s="69">
        <f t="shared" ca="1" si="155"/>
        <v>2766394</v>
      </c>
      <c r="AX192" s="69">
        <f t="shared" ca="1" si="156"/>
        <v>779601</v>
      </c>
      <c r="AY192" s="69">
        <v>0</v>
      </c>
      <c r="AZ192" s="69">
        <f t="shared" si="157"/>
        <v>8488.7999999999993</v>
      </c>
      <c r="BA192" s="69">
        <f t="shared" si="158"/>
        <v>10611</v>
      </c>
      <c r="BB192" s="69">
        <f t="shared" si="159"/>
        <v>141480</v>
      </c>
      <c r="BC192" s="69">
        <f t="shared" ca="1" si="160"/>
        <v>7243574.7999999998</v>
      </c>
      <c r="BD192" s="74">
        <f ca="1">IF(AU192="C",VLOOKUP(BC192,TER!$J$4:$L$50,3,TRUE),IF(AU192="B",VLOOKUP(BC192,TER!$F$4:$H$50,3,TRUE),IF(AU192="A",VLOOKUP(BC192,TER!$B$4:$D$50,3,TRUE),"ERROR")))</f>
        <v>1.2500000000000001E-2</v>
      </c>
      <c r="BE192" s="69">
        <f t="shared" ca="1" si="161"/>
        <v>90544.684999999998</v>
      </c>
      <c r="BF192" s="113"/>
      <c r="BG192" s="113"/>
    </row>
    <row r="193" spans="1:59" ht="13.5" hidden="1" customHeight="1">
      <c r="A193" s="113"/>
      <c r="B193" s="224">
        <v>38</v>
      </c>
      <c r="C193" s="95" t="s">
        <v>70</v>
      </c>
      <c r="D193" s="191" t="s">
        <v>71</v>
      </c>
      <c r="E193" s="67" t="s">
        <v>57</v>
      </c>
      <c r="F193" s="68" t="s">
        <v>72</v>
      </c>
      <c r="G193" s="67" t="s">
        <v>31</v>
      </c>
      <c r="H193" s="66" t="s">
        <v>32</v>
      </c>
      <c r="I193" s="69">
        <f t="shared" si="138"/>
        <v>3537000</v>
      </c>
      <c r="J193" s="70">
        <v>220709</v>
      </c>
      <c r="K193" s="70">
        <v>141480</v>
      </c>
      <c r="L193" s="70">
        <v>2766394</v>
      </c>
      <c r="M193" s="69">
        <f t="shared" ca="1" si="139"/>
        <v>115266.41666666667</v>
      </c>
      <c r="N193" s="61">
        <f ca="1">IFERROR(__xludf.DUMMYFUNCTION("VLOOKUP(C193,IMPORTRANGE(""https://docs.google.com/spreadsheets/d/1heLiqWF_2HiP-P9QpK84CTP6DxpoT_aG9fTdG9C1JMk/edit?gid=1535728046#gid=1535728046"",""DATA_ABSEN_JUNI25""),39,0)"),24)</f>
        <v>24</v>
      </c>
      <c r="O193" s="61">
        <f ca="1">IFERROR(__xludf.DUMMYFUNCTION("VLOOKUP(C193,IMPORTRANGE(""https://docs.google.com/spreadsheets/d/1heLiqWF_2HiP-P9QpK84CTP6DxpoT_aG9fTdG9C1JMk/edit?gid=1535728046#gid=1535728046"",""DATA_ABSEN_JUNI25""),40,0)"),24)</f>
        <v>24</v>
      </c>
      <c r="P193" s="69">
        <f t="shared" ca="1" si="140"/>
        <v>2766394</v>
      </c>
      <c r="Q193" s="66"/>
      <c r="R193" s="69">
        <f t="shared" si="141"/>
        <v>6665583</v>
      </c>
      <c r="S193" s="69">
        <f t="shared" ca="1" si="142"/>
        <v>6665583</v>
      </c>
      <c r="T193" s="69">
        <f t="shared" ca="1" si="143"/>
        <v>0</v>
      </c>
      <c r="U193" s="20">
        <v>259867</v>
      </c>
      <c r="V193" s="177">
        <f ca="1">IFERROR(__xludf.DUMMYFUNCTION("VLOOKUP(C193,IMPORTRANGE(""https://docs.google.com/spreadsheets/d/1heLiqWF_2HiP-P9QpK84CTP6DxpoT_aG9fTdG9C1JMk/edit?gid=1535728046#gid=1535728046"",""DATA_ABSEN_JUNI25""),41,0)"),3)</f>
        <v>3</v>
      </c>
      <c r="W193" s="69">
        <f t="shared" ca="1" si="144"/>
        <v>779601</v>
      </c>
      <c r="X193" s="69">
        <v>0</v>
      </c>
      <c r="Y193" s="69">
        <f t="shared" ca="1" si="145"/>
        <v>7445184</v>
      </c>
      <c r="Z193" s="61">
        <f ca="1">IFERROR(__xludf.DUMMYFUNCTION("VLOOKUP(C193,IMPORTRANGE(""https://docs.google.com/spreadsheets/d/1heLiqWF_2HiP-P9QpK84CTP6DxpoT_aG9fTdG9C1JMk/edit?gid=1535728046#gid=1535728046"",""DATA_ABSEN_JUNI25""),42,0)+VLOOKUP(C193,IMPORTRANGE(""https://docs.google.com/spreadsheets/d/1heLiqWF_2Hi"&amp;"P-P9QpK84CTP6DxpoT_aG9fTdG9C1JMk/edit?gid=1535728046#gid=1535728046"",""DATA_ABSEN_JUNI25""),43,0)"),0)</f>
        <v>0</v>
      </c>
      <c r="AA193" s="61">
        <f ca="1">IFERROR(__xludf.DUMMYFUNCTION("VLOOKUP(C193,IMPORTRANGE(""https://docs.google.com/spreadsheets/d/1heLiqWF_2HiP-P9QpK84CTP6DxpoT_aG9fTdG9C1JMk/edit?gid=1535728046#gid=1535728046"",""DATA_ABSEN_JUNI25""),44,0)"),0)</f>
        <v>0</v>
      </c>
      <c r="AB193" s="61">
        <f ca="1">IFERROR(__xludf.DUMMYFUNCTION("VLOOKUP(C193,IMPORTRANGE(""https://docs.google.com/spreadsheets/d/1heLiqWF_2HiP-P9QpK84CTP6DxpoT_aG9fTdG9C1JMk/edit?gid=1535728046#gid=1535728046"",""DATA_ABSEN_JUNI25""),45,0)"),0)</f>
        <v>0</v>
      </c>
      <c r="AC193" s="61">
        <f ca="1">IFERROR(__xludf.DUMMYFUNCTION("VLOOKUP(C193,IMPORTRANGE(""https://docs.google.com/spreadsheets/d/1heLiqWF_2HiP-P9QpK84CTP6DxpoT_aG9fTdG9C1JMk/edit?gid=1535728046#gid=1535728046"",""DATA_ABSEN_JUNI25""),46,0)"),0)</f>
        <v>0</v>
      </c>
      <c r="AD193" s="125">
        <v>0</v>
      </c>
      <c r="AE193" s="69">
        <f t="shared" ca="1" si="146"/>
        <v>0</v>
      </c>
      <c r="AF193" s="20">
        <v>326819</v>
      </c>
      <c r="AG193" s="20">
        <v>176850</v>
      </c>
      <c r="AH193" s="69">
        <v>0</v>
      </c>
      <c r="AI193" s="69" t="e">
        <f t="shared" si="147"/>
        <v>#REF!</v>
      </c>
      <c r="AJ193" s="69">
        <v>0</v>
      </c>
      <c r="AK193" s="69" t="e">
        <f t="shared" si="123"/>
        <v>#REF!</v>
      </c>
      <c r="AL193" s="69">
        <v>0</v>
      </c>
      <c r="AM193" s="69">
        <f t="shared" ca="1" si="148"/>
        <v>503669</v>
      </c>
      <c r="AN193" s="69">
        <f t="shared" ca="1" si="149"/>
        <v>6941515</v>
      </c>
      <c r="AO193" s="69">
        <f t="shared" ca="1" si="150"/>
        <v>90544.684999999998</v>
      </c>
      <c r="AP193" s="69">
        <f t="shared" ca="1" si="151"/>
        <v>6850970.3150000004</v>
      </c>
      <c r="AQ193" s="69">
        <f t="shared" ca="1" si="152"/>
        <v>6850970.3150000004</v>
      </c>
      <c r="AR193" s="70">
        <f t="shared" ca="1" si="153"/>
        <v>6850970.3150000004</v>
      </c>
      <c r="AS193" s="113"/>
      <c r="AT193" s="73" t="s">
        <v>9</v>
      </c>
      <c r="AU193" s="61" t="s">
        <v>10</v>
      </c>
      <c r="AV193" s="69">
        <f t="shared" si="154"/>
        <v>3537000</v>
      </c>
      <c r="AW193" s="69">
        <f t="shared" ca="1" si="155"/>
        <v>2766394</v>
      </c>
      <c r="AX193" s="69">
        <f t="shared" ca="1" si="156"/>
        <v>779601</v>
      </c>
      <c r="AY193" s="69">
        <v>0</v>
      </c>
      <c r="AZ193" s="69">
        <f t="shared" si="157"/>
        <v>8488.7999999999993</v>
      </c>
      <c r="BA193" s="69">
        <f t="shared" si="158"/>
        <v>10611</v>
      </c>
      <c r="BB193" s="69">
        <f t="shared" si="159"/>
        <v>141480</v>
      </c>
      <c r="BC193" s="69">
        <f t="shared" ca="1" si="160"/>
        <v>7243574.7999999998</v>
      </c>
      <c r="BD193" s="74">
        <f ca="1">IF(AU193="C",VLOOKUP(BC193,TER!$J$4:$L$50,3,TRUE),IF(AU193="B",VLOOKUP(BC193,TER!$F$4:$H$50,3,TRUE),IF(AU193="A",VLOOKUP(BC193,TER!$B$4:$D$50,3,TRUE),"ERROR")))</f>
        <v>1.2500000000000001E-2</v>
      </c>
      <c r="BE193" s="69">
        <f t="shared" ca="1" si="161"/>
        <v>90544.684999999998</v>
      </c>
      <c r="BF193" s="113"/>
      <c r="BG193" s="113"/>
    </row>
    <row r="194" spans="1:59" ht="13.5" hidden="1" customHeight="1">
      <c r="A194" s="113"/>
      <c r="B194" s="224">
        <v>39</v>
      </c>
      <c r="C194" s="97" t="s">
        <v>526</v>
      </c>
      <c r="D194" s="98" t="s">
        <v>527</v>
      </c>
      <c r="E194" s="67" t="s">
        <v>57</v>
      </c>
      <c r="F194" s="68" t="s">
        <v>1254</v>
      </c>
      <c r="G194" s="67" t="s">
        <v>31</v>
      </c>
      <c r="H194" s="66" t="s">
        <v>32</v>
      </c>
      <c r="I194" s="69">
        <f t="shared" si="138"/>
        <v>3537000</v>
      </c>
      <c r="J194" s="70">
        <v>220709</v>
      </c>
      <c r="K194" s="70">
        <v>141480</v>
      </c>
      <c r="L194" s="70">
        <v>2766394</v>
      </c>
      <c r="M194" s="69">
        <f t="shared" ca="1" si="139"/>
        <v>115266.41666666667</v>
      </c>
      <c r="N194" s="61">
        <f ca="1">IFERROR(__xludf.DUMMYFUNCTION("VLOOKUP(C194,IMPORTRANGE(""https://docs.google.com/spreadsheets/d/1heLiqWF_2HiP-P9QpK84CTP6DxpoT_aG9fTdG9C1JMk/edit?gid=1535728046#gid=1535728046"",""DATA_ABSEN_JUNI25""),39,0)"),24)</f>
        <v>24</v>
      </c>
      <c r="O194" s="61">
        <f ca="1">IFERROR(__xludf.DUMMYFUNCTION("VLOOKUP(C194,IMPORTRANGE(""https://docs.google.com/spreadsheets/d/1heLiqWF_2HiP-P9QpK84CTP6DxpoT_aG9fTdG9C1JMk/edit?gid=1535728046#gid=1535728046"",""DATA_ABSEN_JUNI25""),40,0)"),24)</f>
        <v>24</v>
      </c>
      <c r="P194" s="69">
        <f t="shared" ca="1" si="140"/>
        <v>2766394</v>
      </c>
      <c r="Q194" s="66"/>
      <c r="R194" s="69">
        <f t="shared" si="141"/>
        <v>6665583</v>
      </c>
      <c r="S194" s="69">
        <f t="shared" ca="1" si="142"/>
        <v>6665583</v>
      </c>
      <c r="T194" s="69">
        <f t="shared" ca="1" si="143"/>
        <v>0</v>
      </c>
      <c r="U194" s="20">
        <v>259867</v>
      </c>
      <c r="V194" s="177">
        <f ca="1">IFERROR(__xludf.DUMMYFUNCTION("VLOOKUP(C194,IMPORTRANGE(""https://docs.google.com/spreadsheets/d/1heLiqWF_2HiP-P9QpK84CTP6DxpoT_aG9fTdG9C1JMk/edit?gid=1535728046#gid=1535728046"",""DATA_ABSEN_JUNI25""),41,0)"),1)</f>
        <v>1</v>
      </c>
      <c r="W194" s="69">
        <f t="shared" ca="1" si="144"/>
        <v>259867</v>
      </c>
      <c r="X194" s="69">
        <v>0</v>
      </c>
      <c r="Y194" s="69">
        <f t="shared" ca="1" si="145"/>
        <v>6925450</v>
      </c>
      <c r="Z194" s="61">
        <f ca="1">IFERROR(__xludf.DUMMYFUNCTION("VLOOKUP(C194,IMPORTRANGE(""https://docs.google.com/spreadsheets/d/1heLiqWF_2HiP-P9QpK84CTP6DxpoT_aG9fTdG9C1JMk/edit?gid=1535728046#gid=1535728046"",""DATA_ABSEN_JUNI25""),42,0)+VLOOKUP(C194,IMPORTRANGE(""https://docs.google.com/spreadsheets/d/1heLiqWF_2Hi"&amp;"P-P9QpK84CTP6DxpoT_aG9fTdG9C1JMk/edit?gid=1535728046#gid=1535728046"",""DATA_ABSEN_JUNI25""),43,0)"),0)</f>
        <v>0</v>
      </c>
      <c r="AA194" s="61">
        <f ca="1">IFERROR(__xludf.DUMMYFUNCTION("VLOOKUP(C194,IMPORTRANGE(""https://docs.google.com/spreadsheets/d/1heLiqWF_2HiP-P9QpK84CTP6DxpoT_aG9fTdG9C1JMk/edit?gid=1535728046#gid=1535728046"",""DATA_ABSEN_JUNI25""),44,0)"),0)</f>
        <v>0</v>
      </c>
      <c r="AB194" s="61">
        <f ca="1">IFERROR(__xludf.DUMMYFUNCTION("VLOOKUP(C194,IMPORTRANGE(""https://docs.google.com/spreadsheets/d/1heLiqWF_2HiP-P9QpK84CTP6DxpoT_aG9fTdG9C1JMk/edit?gid=1535728046#gid=1535728046"",""DATA_ABSEN_JUNI25""),45,0)"),0)</f>
        <v>0</v>
      </c>
      <c r="AC194" s="61">
        <f ca="1">IFERROR(__xludf.DUMMYFUNCTION("VLOOKUP(C194,IMPORTRANGE(""https://docs.google.com/spreadsheets/d/1heLiqWF_2HiP-P9QpK84CTP6DxpoT_aG9fTdG9C1JMk/edit?gid=1535728046#gid=1535728046"",""DATA_ABSEN_JUNI25""),46,0)"),0)</f>
        <v>0</v>
      </c>
      <c r="AD194" s="125">
        <v>0</v>
      </c>
      <c r="AE194" s="69">
        <f t="shared" ca="1" si="146"/>
        <v>0</v>
      </c>
      <c r="AF194" s="20">
        <v>326819</v>
      </c>
      <c r="AG194" s="20">
        <v>176850</v>
      </c>
      <c r="AH194" s="69">
        <v>0</v>
      </c>
      <c r="AI194" s="69" t="e">
        <f t="shared" si="147"/>
        <v>#REF!</v>
      </c>
      <c r="AJ194" s="69">
        <v>0</v>
      </c>
      <c r="AK194" s="69" t="e">
        <f t="shared" si="123"/>
        <v>#REF!</v>
      </c>
      <c r="AL194" s="69">
        <v>0</v>
      </c>
      <c r="AM194" s="69">
        <f t="shared" ca="1" si="148"/>
        <v>503669</v>
      </c>
      <c r="AN194" s="69">
        <f t="shared" ca="1" si="149"/>
        <v>6421781</v>
      </c>
      <c r="AO194" s="69">
        <f t="shared" ca="1" si="150"/>
        <v>67238.407999999996</v>
      </c>
      <c r="AP194" s="69">
        <f t="shared" ca="1" si="151"/>
        <v>6354542.5920000002</v>
      </c>
      <c r="AQ194" s="69">
        <f t="shared" ca="1" si="152"/>
        <v>6354542.5920000002</v>
      </c>
      <c r="AR194" s="70">
        <f t="shared" ca="1" si="153"/>
        <v>6354542.5920000002</v>
      </c>
      <c r="AS194" s="113"/>
      <c r="AT194" s="73" t="s">
        <v>9</v>
      </c>
      <c r="AU194" s="61" t="s">
        <v>10</v>
      </c>
      <c r="AV194" s="69">
        <f t="shared" si="154"/>
        <v>3537000</v>
      </c>
      <c r="AW194" s="69">
        <f t="shared" ca="1" si="155"/>
        <v>2766394</v>
      </c>
      <c r="AX194" s="69">
        <f t="shared" ca="1" si="156"/>
        <v>259867</v>
      </c>
      <c r="AY194" s="69">
        <v>0</v>
      </c>
      <c r="AZ194" s="69">
        <f t="shared" si="157"/>
        <v>8488.7999999999993</v>
      </c>
      <c r="BA194" s="69">
        <f t="shared" si="158"/>
        <v>10611</v>
      </c>
      <c r="BB194" s="69">
        <f t="shared" si="159"/>
        <v>141480</v>
      </c>
      <c r="BC194" s="69">
        <f t="shared" ca="1" si="160"/>
        <v>6723840.7999999998</v>
      </c>
      <c r="BD194" s="74">
        <f ca="1">IF(AU194="C",VLOOKUP(BC194,TER!$J$4:$L$50,3,TRUE),IF(AU194="B",VLOOKUP(BC194,TER!$F$4:$H$50,3,TRUE),IF(AU194="A",VLOOKUP(BC194,TER!$B$4:$D$50,3,TRUE),"ERROR")))</f>
        <v>0.01</v>
      </c>
      <c r="BE194" s="69">
        <f t="shared" ca="1" si="161"/>
        <v>67238.407999999996</v>
      </c>
      <c r="BF194" s="113"/>
      <c r="BG194" s="113"/>
    </row>
    <row r="195" spans="1:59" ht="13.5" hidden="1" customHeight="1">
      <c r="A195" s="113"/>
      <c r="B195" s="224">
        <v>40</v>
      </c>
      <c r="C195" s="68" t="s">
        <v>528</v>
      </c>
      <c r="D195" s="98" t="s">
        <v>529</v>
      </c>
      <c r="E195" s="67" t="s">
        <v>57</v>
      </c>
      <c r="F195" s="68" t="s">
        <v>530</v>
      </c>
      <c r="G195" s="67" t="s">
        <v>31</v>
      </c>
      <c r="H195" s="66" t="s">
        <v>32</v>
      </c>
      <c r="I195" s="69">
        <f t="shared" si="138"/>
        <v>3537000</v>
      </c>
      <c r="J195" s="70">
        <v>220709</v>
      </c>
      <c r="K195" s="70">
        <v>141480</v>
      </c>
      <c r="L195" s="70">
        <v>2766394</v>
      </c>
      <c r="M195" s="69">
        <f t="shared" ca="1" si="139"/>
        <v>115266.41666666667</v>
      </c>
      <c r="N195" s="61">
        <f ca="1">IFERROR(__xludf.DUMMYFUNCTION("VLOOKUP(C195,IMPORTRANGE(""https://docs.google.com/spreadsheets/d/1heLiqWF_2HiP-P9QpK84CTP6DxpoT_aG9fTdG9C1JMk/edit?gid=1535728046#gid=1535728046"",""DATA_ABSEN_JUNI25""),39,0)"),24)</f>
        <v>24</v>
      </c>
      <c r="O195" s="61">
        <f ca="1">IFERROR(__xludf.DUMMYFUNCTION("VLOOKUP(C195,IMPORTRANGE(""https://docs.google.com/spreadsheets/d/1heLiqWF_2HiP-P9QpK84CTP6DxpoT_aG9fTdG9C1JMk/edit?gid=1535728046#gid=1535728046"",""DATA_ABSEN_JUNI25""),40,0)"),24)</f>
        <v>24</v>
      </c>
      <c r="P195" s="69">
        <f t="shared" ca="1" si="140"/>
        <v>2766394</v>
      </c>
      <c r="Q195" s="66"/>
      <c r="R195" s="69">
        <f t="shared" si="141"/>
        <v>6665583</v>
      </c>
      <c r="S195" s="69">
        <f t="shared" ca="1" si="142"/>
        <v>6665583</v>
      </c>
      <c r="T195" s="69">
        <f t="shared" ca="1" si="143"/>
        <v>0</v>
      </c>
      <c r="U195" s="20">
        <v>259867</v>
      </c>
      <c r="V195" s="177">
        <f ca="1">IFERROR(__xludf.DUMMYFUNCTION("VLOOKUP(C195,IMPORTRANGE(""https://docs.google.com/spreadsheets/d/1heLiqWF_2HiP-P9QpK84CTP6DxpoT_aG9fTdG9C1JMk/edit?gid=1535728046#gid=1535728046"",""DATA_ABSEN_JUNI25""),41,0)"),2)</f>
        <v>2</v>
      </c>
      <c r="W195" s="69">
        <f t="shared" ca="1" si="144"/>
        <v>519734</v>
      </c>
      <c r="X195" s="69">
        <v>0</v>
      </c>
      <c r="Y195" s="69">
        <f t="shared" ca="1" si="145"/>
        <v>7185317</v>
      </c>
      <c r="Z195" s="61">
        <f ca="1">IFERROR(__xludf.DUMMYFUNCTION("VLOOKUP(C195,IMPORTRANGE(""https://docs.google.com/spreadsheets/d/1heLiqWF_2HiP-P9QpK84CTP6DxpoT_aG9fTdG9C1JMk/edit?gid=1535728046#gid=1535728046"",""DATA_ABSEN_JUNI25""),42,0)+VLOOKUP(C195,IMPORTRANGE(""https://docs.google.com/spreadsheets/d/1heLiqWF_2Hi"&amp;"P-P9QpK84CTP6DxpoT_aG9fTdG9C1JMk/edit?gid=1535728046#gid=1535728046"",""DATA_ABSEN_JUNI25""),43,0)"),0)</f>
        <v>0</v>
      </c>
      <c r="AA195" s="61">
        <f ca="1">IFERROR(__xludf.DUMMYFUNCTION("VLOOKUP(C195,IMPORTRANGE(""https://docs.google.com/spreadsheets/d/1heLiqWF_2HiP-P9QpK84CTP6DxpoT_aG9fTdG9C1JMk/edit?gid=1535728046#gid=1535728046"",""DATA_ABSEN_JUNI25""),44,0)"),0)</f>
        <v>0</v>
      </c>
      <c r="AB195" s="61">
        <f ca="1">IFERROR(__xludf.DUMMYFUNCTION("VLOOKUP(C195,IMPORTRANGE(""https://docs.google.com/spreadsheets/d/1heLiqWF_2HiP-P9QpK84CTP6DxpoT_aG9fTdG9C1JMk/edit?gid=1535728046#gid=1535728046"",""DATA_ABSEN_JUNI25""),45,0)"),0)</f>
        <v>0</v>
      </c>
      <c r="AC195" s="61">
        <f ca="1">IFERROR(__xludf.DUMMYFUNCTION("VLOOKUP(C195,IMPORTRANGE(""https://docs.google.com/spreadsheets/d/1heLiqWF_2HiP-P9QpK84CTP6DxpoT_aG9fTdG9C1JMk/edit?gid=1535728046#gid=1535728046"",""DATA_ABSEN_JUNI25""),46,0)"),0)</f>
        <v>0</v>
      </c>
      <c r="AD195" s="125">
        <v>0</v>
      </c>
      <c r="AE195" s="69">
        <f t="shared" ca="1" si="146"/>
        <v>0</v>
      </c>
      <c r="AF195" s="20">
        <v>326819</v>
      </c>
      <c r="AG195" s="20">
        <v>176850</v>
      </c>
      <c r="AH195" s="69">
        <v>0</v>
      </c>
      <c r="AI195" s="69" t="e">
        <f t="shared" si="147"/>
        <v>#REF!</v>
      </c>
      <c r="AJ195" s="69">
        <v>0</v>
      </c>
      <c r="AK195" s="69" t="e">
        <f t="shared" si="123"/>
        <v>#REF!</v>
      </c>
      <c r="AL195" s="69">
        <v>0</v>
      </c>
      <c r="AM195" s="69">
        <f t="shared" ca="1" si="148"/>
        <v>503669</v>
      </c>
      <c r="AN195" s="69">
        <f t="shared" ca="1" si="149"/>
        <v>6681648</v>
      </c>
      <c r="AO195" s="69">
        <f t="shared" ca="1" si="150"/>
        <v>87296.347500000003</v>
      </c>
      <c r="AP195" s="69">
        <f t="shared" ca="1" si="151"/>
        <v>6594351.6524999999</v>
      </c>
      <c r="AQ195" s="69">
        <f t="shared" ca="1" si="152"/>
        <v>6594351.6524999999</v>
      </c>
      <c r="AR195" s="70">
        <f t="shared" ca="1" si="153"/>
        <v>6594351.6524999999</v>
      </c>
      <c r="AS195" s="113"/>
      <c r="AT195" s="73" t="s">
        <v>9</v>
      </c>
      <c r="AU195" s="61" t="s">
        <v>10</v>
      </c>
      <c r="AV195" s="69">
        <f t="shared" si="154"/>
        <v>3537000</v>
      </c>
      <c r="AW195" s="69">
        <f t="shared" ca="1" si="155"/>
        <v>2766394</v>
      </c>
      <c r="AX195" s="69">
        <f t="shared" ca="1" si="156"/>
        <v>519734</v>
      </c>
      <c r="AY195" s="69">
        <v>0</v>
      </c>
      <c r="AZ195" s="69">
        <f t="shared" si="157"/>
        <v>8488.7999999999993</v>
      </c>
      <c r="BA195" s="69">
        <f t="shared" si="158"/>
        <v>10611</v>
      </c>
      <c r="BB195" s="69">
        <f t="shared" si="159"/>
        <v>141480</v>
      </c>
      <c r="BC195" s="69">
        <f t="shared" ca="1" si="160"/>
        <v>6983707.7999999998</v>
      </c>
      <c r="BD195" s="74">
        <f ca="1">IF(AU195="C",VLOOKUP(BC195,TER!$J$4:$L$50,3,TRUE),IF(AU195="B",VLOOKUP(BC195,TER!$F$4:$H$50,3,TRUE),IF(AU195="A",VLOOKUP(BC195,TER!$B$4:$D$50,3,TRUE),"ERROR")))</f>
        <v>1.2500000000000001E-2</v>
      </c>
      <c r="BE195" s="69">
        <f t="shared" ca="1" si="161"/>
        <v>87296.347500000003</v>
      </c>
      <c r="BF195" s="113"/>
      <c r="BG195" s="113"/>
    </row>
    <row r="196" spans="1:59" ht="13.5" hidden="1" customHeight="1">
      <c r="A196" s="113"/>
      <c r="B196" s="224">
        <v>41</v>
      </c>
      <c r="C196" s="68" t="s">
        <v>531</v>
      </c>
      <c r="D196" s="98" t="s">
        <v>532</v>
      </c>
      <c r="E196" s="67" t="s">
        <v>57</v>
      </c>
      <c r="F196" s="68" t="s">
        <v>533</v>
      </c>
      <c r="G196" s="67" t="s">
        <v>31</v>
      </c>
      <c r="H196" s="66" t="s">
        <v>32</v>
      </c>
      <c r="I196" s="69">
        <f t="shared" si="138"/>
        <v>3537000</v>
      </c>
      <c r="J196" s="70">
        <v>220709</v>
      </c>
      <c r="K196" s="70">
        <v>141480</v>
      </c>
      <c r="L196" s="70">
        <v>2766394</v>
      </c>
      <c r="M196" s="69">
        <f t="shared" ca="1" si="139"/>
        <v>115266.41666666667</v>
      </c>
      <c r="N196" s="61">
        <f ca="1">IFERROR(__xludf.DUMMYFUNCTION("VLOOKUP(C196,IMPORTRANGE(""https://docs.google.com/spreadsheets/d/1heLiqWF_2HiP-P9QpK84CTP6DxpoT_aG9fTdG9C1JMk/edit?gid=1535728046#gid=1535728046"",""DATA_ABSEN_JUNI25""),39,0)"),22)</f>
        <v>22</v>
      </c>
      <c r="O196" s="61">
        <f ca="1">IFERROR(__xludf.DUMMYFUNCTION("VLOOKUP(C196,IMPORTRANGE(""https://docs.google.com/spreadsheets/d/1heLiqWF_2HiP-P9QpK84CTP6DxpoT_aG9fTdG9C1JMk/edit?gid=1535728046#gid=1535728046"",""DATA_ABSEN_JUNI25""),40,0)"),24)</f>
        <v>24</v>
      </c>
      <c r="P196" s="69">
        <f t="shared" ca="1" si="140"/>
        <v>2535861.166666667</v>
      </c>
      <c r="Q196" s="66"/>
      <c r="R196" s="69">
        <f t="shared" si="141"/>
        <v>6665583</v>
      </c>
      <c r="S196" s="69">
        <f t="shared" ca="1" si="142"/>
        <v>6435050.166666667</v>
      </c>
      <c r="T196" s="69">
        <f t="shared" ca="1" si="143"/>
        <v>0</v>
      </c>
      <c r="U196" s="20">
        <v>259867</v>
      </c>
      <c r="V196" s="177">
        <f ca="1">IFERROR(__xludf.DUMMYFUNCTION("VLOOKUP(C196,IMPORTRANGE(""https://docs.google.com/spreadsheets/d/1heLiqWF_2HiP-P9QpK84CTP6DxpoT_aG9fTdG9C1JMk/edit?gid=1535728046#gid=1535728046"",""DATA_ABSEN_JUNI25""),41,0)"),3)</f>
        <v>3</v>
      </c>
      <c r="W196" s="69">
        <f t="shared" ca="1" si="144"/>
        <v>779601</v>
      </c>
      <c r="X196" s="69">
        <v>0</v>
      </c>
      <c r="Y196" s="69">
        <f t="shared" ca="1" si="145"/>
        <v>7214651.166666667</v>
      </c>
      <c r="Z196" s="61">
        <f ca="1">IFERROR(__xludf.DUMMYFUNCTION("VLOOKUP(C196,IMPORTRANGE(""https://docs.google.com/spreadsheets/d/1heLiqWF_2HiP-P9QpK84CTP6DxpoT_aG9fTdG9C1JMk/edit?gid=1535728046#gid=1535728046"",""DATA_ABSEN_JUNI25""),42,0)+VLOOKUP(C196,IMPORTRANGE(""https://docs.google.com/spreadsheets/d/1heLiqWF_2Hi"&amp;"P-P9QpK84CTP6DxpoT_aG9fTdG9C1JMk/edit?gid=1535728046#gid=1535728046"",""DATA_ABSEN_JUNI25""),43,0)"),2)</f>
        <v>2</v>
      </c>
      <c r="AA196" s="61">
        <f ca="1">IFERROR(__xludf.DUMMYFUNCTION("VLOOKUP(C196,IMPORTRANGE(""https://docs.google.com/spreadsheets/d/1heLiqWF_2HiP-P9QpK84CTP6DxpoT_aG9fTdG9C1JMk/edit?gid=1535728046#gid=1535728046"",""DATA_ABSEN_JUNI25""),44,0)"),0)</f>
        <v>0</v>
      </c>
      <c r="AB196" s="61">
        <f ca="1">IFERROR(__xludf.DUMMYFUNCTION("VLOOKUP(C196,IMPORTRANGE(""https://docs.google.com/spreadsheets/d/1heLiqWF_2HiP-P9QpK84CTP6DxpoT_aG9fTdG9C1JMk/edit?gid=1535728046#gid=1535728046"",""DATA_ABSEN_JUNI25""),45,0)"),0)</f>
        <v>0</v>
      </c>
      <c r="AC196" s="61">
        <f ca="1">IFERROR(__xludf.DUMMYFUNCTION("VLOOKUP(C196,IMPORTRANGE(""https://docs.google.com/spreadsheets/d/1heLiqWF_2HiP-P9QpK84CTP6DxpoT_aG9fTdG9C1JMk/edit?gid=1535728046#gid=1535728046"",""DATA_ABSEN_JUNI25""),46,0)"),0)</f>
        <v>0</v>
      </c>
      <c r="AD196" s="125">
        <v>0</v>
      </c>
      <c r="AE196" s="69">
        <f t="shared" ca="1" si="146"/>
        <v>519734</v>
      </c>
      <c r="AF196" s="20">
        <v>326819</v>
      </c>
      <c r="AG196" s="20">
        <v>176850</v>
      </c>
      <c r="AH196" s="69">
        <v>0</v>
      </c>
      <c r="AI196" s="69" t="e">
        <f t="shared" si="147"/>
        <v>#REF!</v>
      </c>
      <c r="AJ196" s="69">
        <v>0</v>
      </c>
      <c r="AK196" s="69" t="e">
        <f t="shared" si="123"/>
        <v>#REF!</v>
      </c>
      <c r="AL196" s="69">
        <v>0</v>
      </c>
      <c r="AM196" s="69">
        <f t="shared" ca="1" si="148"/>
        <v>1023403</v>
      </c>
      <c r="AN196" s="69">
        <f t="shared" ca="1" si="149"/>
        <v>6191248.166666667</v>
      </c>
      <c r="AO196" s="69">
        <f t="shared" ca="1" si="150"/>
        <v>52597.814749999998</v>
      </c>
      <c r="AP196" s="69">
        <f t="shared" ca="1" si="151"/>
        <v>6138650.3519166671</v>
      </c>
      <c r="AQ196" s="69">
        <f t="shared" ca="1" si="152"/>
        <v>6138650.3519166671</v>
      </c>
      <c r="AR196" s="70">
        <f t="shared" ca="1" si="153"/>
        <v>6138650.3519166671</v>
      </c>
      <c r="AS196" s="113"/>
      <c r="AT196" s="73" t="s">
        <v>18</v>
      </c>
      <c r="AU196" s="61" t="s">
        <v>15</v>
      </c>
      <c r="AV196" s="69">
        <f t="shared" si="154"/>
        <v>3537000</v>
      </c>
      <c r="AW196" s="69">
        <f t="shared" ca="1" si="155"/>
        <v>2535861.166666667</v>
      </c>
      <c r="AX196" s="69">
        <f t="shared" ca="1" si="156"/>
        <v>779601</v>
      </c>
      <c r="AY196" s="69">
        <v>0</v>
      </c>
      <c r="AZ196" s="69">
        <f t="shared" si="157"/>
        <v>8488.7999999999993</v>
      </c>
      <c r="BA196" s="69">
        <f t="shared" si="158"/>
        <v>10611</v>
      </c>
      <c r="BB196" s="69">
        <f t="shared" si="159"/>
        <v>141480</v>
      </c>
      <c r="BC196" s="69">
        <f t="shared" ca="1" si="160"/>
        <v>7013041.9666666668</v>
      </c>
      <c r="BD196" s="74">
        <f ca="1">IF(AU196="C",VLOOKUP(BC196,TER!$J$4:$L$50,3,TRUE),IF(AU196="B",VLOOKUP(BC196,TER!$F$4:$H$50,3,TRUE),IF(AU196="A",VLOOKUP(BC196,TER!$B$4:$D$50,3,TRUE),"ERROR")))</f>
        <v>7.4999999999999997E-3</v>
      </c>
      <c r="BE196" s="69">
        <f t="shared" ca="1" si="161"/>
        <v>52597.814749999998</v>
      </c>
      <c r="BF196" s="113"/>
      <c r="BG196" s="113"/>
    </row>
    <row r="197" spans="1:59" ht="13.5" hidden="1" customHeight="1">
      <c r="A197" s="113"/>
      <c r="B197" s="224">
        <v>42</v>
      </c>
      <c r="C197" s="68" t="s">
        <v>534</v>
      </c>
      <c r="D197" s="66" t="s">
        <v>535</v>
      </c>
      <c r="E197" s="67" t="s">
        <v>57</v>
      </c>
      <c r="F197" s="68" t="s">
        <v>536</v>
      </c>
      <c r="G197" s="67" t="s">
        <v>31</v>
      </c>
      <c r="H197" s="66" t="s">
        <v>32</v>
      </c>
      <c r="I197" s="69">
        <f t="shared" si="138"/>
        <v>3537000</v>
      </c>
      <c r="J197" s="70">
        <v>220709</v>
      </c>
      <c r="K197" s="70">
        <v>141480</v>
      </c>
      <c r="L197" s="70">
        <v>2766394</v>
      </c>
      <c r="M197" s="69">
        <f t="shared" ca="1" si="139"/>
        <v>115266.41666666667</v>
      </c>
      <c r="N197" s="61">
        <f ca="1">IFERROR(__xludf.DUMMYFUNCTION("VLOOKUP(C197,IMPORTRANGE(""https://docs.google.com/spreadsheets/d/1heLiqWF_2HiP-P9QpK84CTP6DxpoT_aG9fTdG9C1JMk/edit?gid=1535728046#gid=1535728046"",""DATA_ABSEN_JUNI25""),39,0)"),24)</f>
        <v>24</v>
      </c>
      <c r="O197" s="61">
        <f ca="1">IFERROR(__xludf.DUMMYFUNCTION("VLOOKUP(C197,IMPORTRANGE(""https://docs.google.com/spreadsheets/d/1heLiqWF_2HiP-P9QpK84CTP6DxpoT_aG9fTdG9C1JMk/edit?gid=1535728046#gid=1535728046"",""DATA_ABSEN_JUNI25""),40,0)"),24)</f>
        <v>24</v>
      </c>
      <c r="P197" s="69">
        <f t="shared" ca="1" si="140"/>
        <v>2766394</v>
      </c>
      <c r="Q197" s="66"/>
      <c r="R197" s="69">
        <f t="shared" si="141"/>
        <v>6665583</v>
      </c>
      <c r="S197" s="69">
        <f t="shared" ca="1" si="142"/>
        <v>6665583</v>
      </c>
      <c r="T197" s="69">
        <f t="shared" ca="1" si="143"/>
        <v>0</v>
      </c>
      <c r="U197" s="20">
        <v>259867</v>
      </c>
      <c r="V197" s="177">
        <f ca="1">IFERROR(__xludf.DUMMYFUNCTION("VLOOKUP(C197,IMPORTRANGE(""https://docs.google.com/spreadsheets/d/1heLiqWF_2HiP-P9QpK84CTP6DxpoT_aG9fTdG9C1JMk/edit?gid=1535728046#gid=1535728046"",""DATA_ABSEN_JUNI25""),41,0)"),3)</f>
        <v>3</v>
      </c>
      <c r="W197" s="69">
        <f t="shared" ca="1" si="144"/>
        <v>779601</v>
      </c>
      <c r="X197" s="69">
        <v>0</v>
      </c>
      <c r="Y197" s="69">
        <f t="shared" ca="1" si="145"/>
        <v>7445184</v>
      </c>
      <c r="Z197" s="61">
        <f ca="1">IFERROR(__xludf.DUMMYFUNCTION("VLOOKUP(C197,IMPORTRANGE(""https://docs.google.com/spreadsheets/d/1heLiqWF_2HiP-P9QpK84CTP6DxpoT_aG9fTdG9C1JMk/edit?gid=1535728046#gid=1535728046"",""DATA_ABSEN_JUNI25""),42,0)+VLOOKUP(C197,IMPORTRANGE(""https://docs.google.com/spreadsheets/d/1heLiqWF_2Hi"&amp;"P-P9QpK84CTP6DxpoT_aG9fTdG9C1JMk/edit?gid=1535728046#gid=1535728046"",""DATA_ABSEN_JUNI25""),43,0)"),0)</f>
        <v>0</v>
      </c>
      <c r="AA197" s="61">
        <f ca="1">IFERROR(__xludf.DUMMYFUNCTION("VLOOKUP(C197,IMPORTRANGE(""https://docs.google.com/spreadsheets/d/1heLiqWF_2HiP-P9QpK84CTP6DxpoT_aG9fTdG9C1JMk/edit?gid=1535728046#gid=1535728046"",""DATA_ABSEN_JUNI25""),44,0)"),0)</f>
        <v>0</v>
      </c>
      <c r="AB197" s="61">
        <f ca="1">IFERROR(__xludf.DUMMYFUNCTION("VLOOKUP(C197,IMPORTRANGE(""https://docs.google.com/spreadsheets/d/1heLiqWF_2HiP-P9QpK84CTP6DxpoT_aG9fTdG9C1JMk/edit?gid=1535728046#gid=1535728046"",""DATA_ABSEN_JUNI25""),45,0)"),0)</f>
        <v>0</v>
      </c>
      <c r="AC197" s="61">
        <f ca="1">IFERROR(__xludf.DUMMYFUNCTION("VLOOKUP(C197,IMPORTRANGE(""https://docs.google.com/spreadsheets/d/1heLiqWF_2HiP-P9QpK84CTP6DxpoT_aG9fTdG9C1JMk/edit?gid=1535728046#gid=1535728046"",""DATA_ABSEN_JUNI25""),46,0)"),0)</f>
        <v>0</v>
      </c>
      <c r="AD197" s="125">
        <v>0</v>
      </c>
      <c r="AE197" s="69">
        <f t="shared" ca="1" si="146"/>
        <v>0</v>
      </c>
      <c r="AF197" s="20">
        <v>326819</v>
      </c>
      <c r="AG197" s="20">
        <v>176850</v>
      </c>
      <c r="AH197" s="69">
        <v>0</v>
      </c>
      <c r="AI197" s="69" t="e">
        <f t="shared" si="147"/>
        <v>#REF!</v>
      </c>
      <c r="AJ197" s="69">
        <v>0</v>
      </c>
      <c r="AK197" s="69" t="e">
        <f t="shared" si="123"/>
        <v>#REF!</v>
      </c>
      <c r="AL197" s="69">
        <v>0</v>
      </c>
      <c r="AM197" s="69">
        <f t="shared" ca="1" si="148"/>
        <v>503669</v>
      </c>
      <c r="AN197" s="69">
        <f t="shared" ca="1" si="149"/>
        <v>6941515</v>
      </c>
      <c r="AO197" s="69">
        <f t="shared" ca="1" si="150"/>
        <v>90544.684999999998</v>
      </c>
      <c r="AP197" s="69">
        <f t="shared" ca="1" si="151"/>
        <v>6850970.3150000004</v>
      </c>
      <c r="AQ197" s="69">
        <f t="shared" ca="1" si="152"/>
        <v>6850970.3150000004</v>
      </c>
      <c r="AR197" s="70">
        <f t="shared" ca="1" si="153"/>
        <v>6850970.3150000004</v>
      </c>
      <c r="AS197" s="113"/>
      <c r="AT197" s="73" t="s">
        <v>9</v>
      </c>
      <c r="AU197" s="61" t="s">
        <v>10</v>
      </c>
      <c r="AV197" s="69">
        <f t="shared" si="154"/>
        <v>3537000</v>
      </c>
      <c r="AW197" s="69">
        <f t="shared" ca="1" si="155"/>
        <v>2766394</v>
      </c>
      <c r="AX197" s="69">
        <f t="shared" ca="1" si="156"/>
        <v>779601</v>
      </c>
      <c r="AY197" s="69">
        <v>0</v>
      </c>
      <c r="AZ197" s="69">
        <f t="shared" si="157"/>
        <v>8488.7999999999993</v>
      </c>
      <c r="BA197" s="69">
        <f t="shared" si="158"/>
        <v>10611</v>
      </c>
      <c r="BB197" s="69">
        <f t="shared" si="159"/>
        <v>141480</v>
      </c>
      <c r="BC197" s="69">
        <f t="shared" ca="1" si="160"/>
        <v>7243574.7999999998</v>
      </c>
      <c r="BD197" s="74">
        <f ca="1">IF(AU197="C",VLOOKUP(BC197,TER!$J$4:$L$50,3,TRUE),IF(AU197="B",VLOOKUP(BC197,TER!$F$4:$H$50,3,TRUE),IF(AU197="A",VLOOKUP(BC197,TER!$B$4:$D$50,3,TRUE),"ERROR")))</f>
        <v>1.2500000000000001E-2</v>
      </c>
      <c r="BE197" s="69">
        <f t="shared" ca="1" si="161"/>
        <v>90544.684999999998</v>
      </c>
      <c r="BF197" s="113"/>
      <c r="BG197" s="113"/>
    </row>
    <row r="198" spans="1:59" ht="13.5" hidden="1" customHeight="1">
      <c r="A198" s="113"/>
      <c r="B198" s="224">
        <v>43</v>
      </c>
      <c r="C198" s="68" t="s">
        <v>537</v>
      </c>
      <c r="D198" s="98" t="s">
        <v>538</v>
      </c>
      <c r="E198" s="67" t="s">
        <v>57</v>
      </c>
      <c r="F198" s="68" t="s">
        <v>539</v>
      </c>
      <c r="G198" s="67" t="s">
        <v>31</v>
      </c>
      <c r="H198" s="66" t="s">
        <v>32</v>
      </c>
      <c r="I198" s="69">
        <f t="shared" si="138"/>
        <v>3537000</v>
      </c>
      <c r="J198" s="70">
        <v>220709</v>
      </c>
      <c r="K198" s="70">
        <v>141480</v>
      </c>
      <c r="L198" s="70">
        <v>2766394</v>
      </c>
      <c r="M198" s="69">
        <f t="shared" ca="1" si="139"/>
        <v>115266.41666666667</v>
      </c>
      <c r="N198" s="61">
        <f ca="1">IFERROR(__xludf.DUMMYFUNCTION("VLOOKUP(C198,IMPORTRANGE(""https://docs.google.com/spreadsheets/d/1heLiqWF_2HiP-P9QpK84CTP6DxpoT_aG9fTdG9C1JMk/edit?gid=1535728046#gid=1535728046"",""DATA_ABSEN_JUNI25""),39,0)"),24)</f>
        <v>24</v>
      </c>
      <c r="O198" s="61">
        <f ca="1">IFERROR(__xludf.DUMMYFUNCTION("VLOOKUP(C198,IMPORTRANGE(""https://docs.google.com/spreadsheets/d/1heLiqWF_2HiP-P9QpK84CTP6DxpoT_aG9fTdG9C1JMk/edit?gid=1535728046#gid=1535728046"",""DATA_ABSEN_JUNI25""),40,0)"),24)</f>
        <v>24</v>
      </c>
      <c r="P198" s="69">
        <f t="shared" ca="1" si="140"/>
        <v>2766394</v>
      </c>
      <c r="Q198" s="66"/>
      <c r="R198" s="69">
        <f t="shared" si="141"/>
        <v>6665583</v>
      </c>
      <c r="S198" s="69">
        <f t="shared" ca="1" si="142"/>
        <v>6665583</v>
      </c>
      <c r="T198" s="69">
        <f t="shared" ca="1" si="143"/>
        <v>0</v>
      </c>
      <c r="U198" s="20">
        <v>259867</v>
      </c>
      <c r="V198" s="177">
        <f ca="1">IFERROR(__xludf.DUMMYFUNCTION("VLOOKUP(C198,IMPORTRANGE(""https://docs.google.com/spreadsheets/d/1heLiqWF_2HiP-P9QpK84CTP6DxpoT_aG9fTdG9C1JMk/edit?gid=1535728046#gid=1535728046"",""DATA_ABSEN_JUNI25""),41,0)"),1)</f>
        <v>1</v>
      </c>
      <c r="W198" s="69">
        <f t="shared" ca="1" si="144"/>
        <v>259867</v>
      </c>
      <c r="X198" s="69">
        <v>0</v>
      </c>
      <c r="Y198" s="69">
        <f t="shared" ca="1" si="145"/>
        <v>6925450</v>
      </c>
      <c r="Z198" s="61">
        <f ca="1">IFERROR(__xludf.DUMMYFUNCTION("VLOOKUP(C198,IMPORTRANGE(""https://docs.google.com/spreadsheets/d/1heLiqWF_2HiP-P9QpK84CTP6DxpoT_aG9fTdG9C1JMk/edit?gid=1535728046#gid=1535728046"",""DATA_ABSEN_JUNI25""),42,0)+VLOOKUP(C198,IMPORTRANGE(""https://docs.google.com/spreadsheets/d/1heLiqWF_2Hi"&amp;"P-P9QpK84CTP6DxpoT_aG9fTdG9C1JMk/edit?gid=1535728046#gid=1535728046"",""DATA_ABSEN_JUNI25""),43,0)"),0)</f>
        <v>0</v>
      </c>
      <c r="AA198" s="61">
        <f ca="1">IFERROR(__xludf.DUMMYFUNCTION("VLOOKUP(C198,IMPORTRANGE(""https://docs.google.com/spreadsheets/d/1heLiqWF_2HiP-P9QpK84CTP6DxpoT_aG9fTdG9C1JMk/edit?gid=1535728046#gid=1535728046"",""DATA_ABSEN_JUNI25""),44,0)"),0)</f>
        <v>0</v>
      </c>
      <c r="AB198" s="61">
        <f ca="1">IFERROR(__xludf.DUMMYFUNCTION("VLOOKUP(C198,IMPORTRANGE(""https://docs.google.com/spreadsheets/d/1heLiqWF_2HiP-P9QpK84CTP6DxpoT_aG9fTdG9C1JMk/edit?gid=1535728046#gid=1535728046"",""DATA_ABSEN_JUNI25""),45,0)"),0)</f>
        <v>0</v>
      </c>
      <c r="AC198" s="61">
        <f ca="1">IFERROR(__xludf.DUMMYFUNCTION("VLOOKUP(C198,IMPORTRANGE(""https://docs.google.com/spreadsheets/d/1heLiqWF_2HiP-P9QpK84CTP6DxpoT_aG9fTdG9C1JMk/edit?gid=1535728046#gid=1535728046"",""DATA_ABSEN_JUNI25""),46,0)"),0)</f>
        <v>0</v>
      </c>
      <c r="AD198" s="125">
        <v>0</v>
      </c>
      <c r="AE198" s="69">
        <f t="shared" ca="1" si="146"/>
        <v>0</v>
      </c>
      <c r="AF198" s="20">
        <v>326819</v>
      </c>
      <c r="AG198" s="20">
        <v>176850</v>
      </c>
      <c r="AH198" s="69">
        <v>0</v>
      </c>
      <c r="AI198" s="69" t="e">
        <f t="shared" si="147"/>
        <v>#REF!</v>
      </c>
      <c r="AJ198" s="69">
        <v>0</v>
      </c>
      <c r="AK198" s="69" t="e">
        <f t="shared" si="123"/>
        <v>#REF!</v>
      </c>
      <c r="AL198" s="69">
        <v>0</v>
      </c>
      <c r="AM198" s="69">
        <f t="shared" ca="1" si="148"/>
        <v>503669</v>
      </c>
      <c r="AN198" s="69">
        <f t="shared" ca="1" si="149"/>
        <v>6421781</v>
      </c>
      <c r="AO198" s="69">
        <f t="shared" ca="1" si="150"/>
        <v>67238.407999999996</v>
      </c>
      <c r="AP198" s="69">
        <f t="shared" ca="1" si="151"/>
        <v>6354542.5920000002</v>
      </c>
      <c r="AQ198" s="69">
        <f t="shared" ca="1" si="152"/>
        <v>6354542.5920000002</v>
      </c>
      <c r="AR198" s="70">
        <f t="shared" ca="1" si="153"/>
        <v>6354542.5920000002</v>
      </c>
      <c r="AS198" s="113"/>
      <c r="AT198" s="73" t="s">
        <v>9</v>
      </c>
      <c r="AU198" s="61" t="s">
        <v>10</v>
      </c>
      <c r="AV198" s="69">
        <f t="shared" si="154"/>
        <v>3537000</v>
      </c>
      <c r="AW198" s="69">
        <f t="shared" ca="1" si="155"/>
        <v>2766394</v>
      </c>
      <c r="AX198" s="69">
        <f t="shared" ca="1" si="156"/>
        <v>259867</v>
      </c>
      <c r="AY198" s="69">
        <v>0</v>
      </c>
      <c r="AZ198" s="69">
        <f t="shared" si="157"/>
        <v>8488.7999999999993</v>
      </c>
      <c r="BA198" s="69">
        <f t="shared" si="158"/>
        <v>10611</v>
      </c>
      <c r="BB198" s="69">
        <f t="shared" si="159"/>
        <v>141480</v>
      </c>
      <c r="BC198" s="69">
        <f t="shared" ca="1" si="160"/>
        <v>6723840.7999999998</v>
      </c>
      <c r="BD198" s="74">
        <f ca="1">IF(AU198="C",VLOOKUP(BC198,TER!$J$4:$L$50,3,TRUE),IF(AU198="B",VLOOKUP(BC198,TER!$F$4:$H$50,3,TRUE),IF(AU198="A",VLOOKUP(BC198,TER!$B$4:$D$50,3,TRUE),"ERROR")))</f>
        <v>0.01</v>
      </c>
      <c r="BE198" s="69">
        <f t="shared" ca="1" si="161"/>
        <v>67238.407999999996</v>
      </c>
      <c r="BF198" s="113"/>
      <c r="BG198" s="113"/>
    </row>
    <row r="199" spans="1:59" ht="13.5" hidden="1" customHeight="1">
      <c r="A199" s="113"/>
      <c r="B199" s="224">
        <v>44</v>
      </c>
      <c r="C199" s="124" t="s">
        <v>540</v>
      </c>
      <c r="D199" s="98" t="s">
        <v>541</v>
      </c>
      <c r="E199" s="67" t="s">
        <v>57</v>
      </c>
      <c r="F199" s="68" t="s">
        <v>542</v>
      </c>
      <c r="G199" s="67" t="s">
        <v>31</v>
      </c>
      <c r="H199" s="66" t="s">
        <v>32</v>
      </c>
      <c r="I199" s="69">
        <f t="shared" si="138"/>
        <v>3537000</v>
      </c>
      <c r="J199" s="70">
        <v>220709</v>
      </c>
      <c r="K199" s="70">
        <v>141480</v>
      </c>
      <c r="L199" s="70">
        <v>2766394</v>
      </c>
      <c r="M199" s="69">
        <f t="shared" ca="1" si="139"/>
        <v>115266.41666666667</v>
      </c>
      <c r="N199" s="61">
        <f ca="1">IFERROR(__xludf.DUMMYFUNCTION("VLOOKUP(C199,IMPORTRANGE(""https://docs.google.com/spreadsheets/d/1heLiqWF_2HiP-P9QpK84CTP6DxpoT_aG9fTdG9C1JMk/edit?gid=1535728046#gid=1535728046"",""DATA_ABSEN_JUNI25""),39,0)"),23)</f>
        <v>23</v>
      </c>
      <c r="O199" s="61">
        <f ca="1">IFERROR(__xludf.DUMMYFUNCTION("VLOOKUP(C199,IMPORTRANGE(""https://docs.google.com/spreadsheets/d/1heLiqWF_2HiP-P9QpK84CTP6DxpoT_aG9fTdG9C1JMk/edit?gid=1535728046#gid=1535728046"",""DATA_ABSEN_JUNI25""),40,0)"),24)</f>
        <v>24</v>
      </c>
      <c r="P199" s="69">
        <f t="shared" ca="1" si="140"/>
        <v>2651127.5833333335</v>
      </c>
      <c r="Q199" s="66"/>
      <c r="R199" s="69">
        <f t="shared" si="141"/>
        <v>6665583</v>
      </c>
      <c r="S199" s="69">
        <f t="shared" ca="1" si="142"/>
        <v>6550316.583333334</v>
      </c>
      <c r="T199" s="69">
        <f t="shared" ca="1" si="143"/>
        <v>0</v>
      </c>
      <c r="U199" s="20">
        <v>259867</v>
      </c>
      <c r="V199" s="177">
        <f ca="1">IFERROR(__xludf.DUMMYFUNCTION("VLOOKUP(C199,IMPORTRANGE(""https://docs.google.com/spreadsheets/d/1heLiqWF_2HiP-P9QpK84CTP6DxpoT_aG9fTdG9C1JMk/edit?gid=1535728046#gid=1535728046"",""DATA_ABSEN_JUNI25""),41,0)"),2)</f>
        <v>2</v>
      </c>
      <c r="W199" s="69">
        <f t="shared" ca="1" si="144"/>
        <v>519734</v>
      </c>
      <c r="X199" s="69">
        <v>0</v>
      </c>
      <c r="Y199" s="69">
        <f t="shared" ca="1" si="145"/>
        <v>7070050.583333334</v>
      </c>
      <c r="Z199" s="61">
        <f ca="1">IFERROR(__xludf.DUMMYFUNCTION("VLOOKUP(C199,IMPORTRANGE(""https://docs.google.com/spreadsheets/d/1heLiqWF_2HiP-P9QpK84CTP6DxpoT_aG9fTdG9C1JMk/edit?gid=1535728046#gid=1535728046"",""DATA_ABSEN_JUNI25""),42,0)+VLOOKUP(C199,IMPORTRANGE(""https://docs.google.com/spreadsheets/d/1heLiqWF_2Hi"&amp;"P-P9QpK84CTP6DxpoT_aG9fTdG9C1JMk/edit?gid=1535728046#gid=1535728046"",""DATA_ABSEN_JUNI25""),43,0)"),1)</f>
        <v>1</v>
      </c>
      <c r="AA199" s="61">
        <f ca="1">IFERROR(__xludf.DUMMYFUNCTION("VLOOKUP(C199,IMPORTRANGE(""https://docs.google.com/spreadsheets/d/1heLiqWF_2HiP-P9QpK84CTP6DxpoT_aG9fTdG9C1JMk/edit?gid=1535728046#gid=1535728046"",""DATA_ABSEN_JUNI25""),44,0)"),0)</f>
        <v>0</v>
      </c>
      <c r="AB199" s="61">
        <f ca="1">IFERROR(__xludf.DUMMYFUNCTION("VLOOKUP(C199,IMPORTRANGE(""https://docs.google.com/spreadsheets/d/1heLiqWF_2HiP-P9QpK84CTP6DxpoT_aG9fTdG9C1JMk/edit?gid=1535728046#gid=1535728046"",""DATA_ABSEN_JUNI25""),45,0)"),0)</f>
        <v>0</v>
      </c>
      <c r="AC199" s="61">
        <f ca="1">IFERROR(__xludf.DUMMYFUNCTION("VLOOKUP(C199,IMPORTRANGE(""https://docs.google.com/spreadsheets/d/1heLiqWF_2HiP-P9QpK84CTP6DxpoT_aG9fTdG9C1JMk/edit?gid=1535728046#gid=1535728046"",""DATA_ABSEN_JUNI25""),46,0)"),0)</f>
        <v>0</v>
      </c>
      <c r="AD199" s="125">
        <v>0</v>
      </c>
      <c r="AE199" s="69">
        <f t="shared" ca="1" si="146"/>
        <v>259867</v>
      </c>
      <c r="AF199" s="20">
        <v>326819</v>
      </c>
      <c r="AG199" s="20">
        <v>176850</v>
      </c>
      <c r="AH199" s="69">
        <v>0</v>
      </c>
      <c r="AI199" s="69" t="e">
        <f t="shared" si="147"/>
        <v>#REF!</v>
      </c>
      <c r="AJ199" s="69">
        <v>0</v>
      </c>
      <c r="AK199" s="69" t="e">
        <f t="shared" si="123"/>
        <v>#REF!</v>
      </c>
      <c r="AL199" s="69">
        <v>0</v>
      </c>
      <c r="AM199" s="69">
        <f t="shared" ca="1" si="148"/>
        <v>763536</v>
      </c>
      <c r="AN199" s="69">
        <f t="shared" ca="1" si="149"/>
        <v>6306514.583333334</v>
      </c>
      <c r="AO199" s="69">
        <f t="shared" ca="1" si="150"/>
        <v>85855.517291666678</v>
      </c>
      <c r="AP199" s="69">
        <f t="shared" ca="1" si="151"/>
        <v>6220659.066041667</v>
      </c>
      <c r="AQ199" s="69">
        <f t="shared" ca="1" si="152"/>
        <v>6220659.066041667</v>
      </c>
      <c r="AR199" s="70">
        <f t="shared" ca="1" si="153"/>
        <v>6220659.066041667</v>
      </c>
      <c r="AS199" s="113"/>
      <c r="AT199" s="73" t="s">
        <v>9</v>
      </c>
      <c r="AU199" s="61" t="s">
        <v>10</v>
      </c>
      <c r="AV199" s="69">
        <f t="shared" si="154"/>
        <v>3537000</v>
      </c>
      <c r="AW199" s="69">
        <f t="shared" ca="1" si="155"/>
        <v>2651127.5833333335</v>
      </c>
      <c r="AX199" s="69">
        <f t="shared" ca="1" si="156"/>
        <v>519734</v>
      </c>
      <c r="AY199" s="69">
        <v>0</v>
      </c>
      <c r="AZ199" s="69">
        <f t="shared" si="157"/>
        <v>8488.7999999999993</v>
      </c>
      <c r="BA199" s="69">
        <f t="shared" si="158"/>
        <v>10611</v>
      </c>
      <c r="BB199" s="69">
        <f t="shared" si="159"/>
        <v>141480</v>
      </c>
      <c r="BC199" s="69">
        <f t="shared" ca="1" si="160"/>
        <v>6868441.3833333338</v>
      </c>
      <c r="BD199" s="74">
        <f ca="1">IF(AU199="C",VLOOKUP(BC199,TER!$J$4:$L$50,3,TRUE),IF(AU199="B",VLOOKUP(BC199,TER!$F$4:$H$50,3,TRUE),IF(AU199="A",VLOOKUP(BC199,TER!$B$4:$D$50,3,TRUE),"ERROR")))</f>
        <v>1.2500000000000001E-2</v>
      </c>
      <c r="BE199" s="69">
        <f t="shared" ca="1" si="161"/>
        <v>85855.517291666678</v>
      </c>
      <c r="BF199" s="113"/>
      <c r="BG199" s="113"/>
    </row>
    <row r="200" spans="1:59" ht="13.5" hidden="1" customHeight="1">
      <c r="A200" s="113"/>
      <c r="B200" s="224">
        <v>45</v>
      </c>
      <c r="C200" s="68" t="s">
        <v>543</v>
      </c>
      <c r="D200" s="98" t="s">
        <v>544</v>
      </c>
      <c r="E200" s="67" t="s">
        <v>57</v>
      </c>
      <c r="F200" s="68" t="s">
        <v>545</v>
      </c>
      <c r="G200" s="67" t="s">
        <v>31</v>
      </c>
      <c r="H200" s="66" t="s">
        <v>32</v>
      </c>
      <c r="I200" s="69">
        <f t="shared" si="138"/>
        <v>3537000</v>
      </c>
      <c r="J200" s="70">
        <v>220709</v>
      </c>
      <c r="K200" s="70">
        <v>141480</v>
      </c>
      <c r="L200" s="70">
        <v>2766394</v>
      </c>
      <c r="M200" s="69">
        <f t="shared" ca="1" si="139"/>
        <v>115266.41666666667</v>
      </c>
      <c r="N200" s="61">
        <f ca="1">IFERROR(__xludf.DUMMYFUNCTION("VLOOKUP(C200,IMPORTRANGE(""https://docs.google.com/spreadsheets/d/1heLiqWF_2HiP-P9QpK84CTP6DxpoT_aG9fTdG9C1JMk/edit?gid=1535728046#gid=1535728046"",""DATA_ABSEN_JUNI25""),39,0)"),22)</f>
        <v>22</v>
      </c>
      <c r="O200" s="61">
        <f ca="1">IFERROR(__xludf.DUMMYFUNCTION("VLOOKUP(C200,IMPORTRANGE(""https://docs.google.com/spreadsheets/d/1heLiqWF_2HiP-P9QpK84CTP6DxpoT_aG9fTdG9C1JMk/edit?gid=1535728046#gid=1535728046"",""DATA_ABSEN_JUNI25""),40,0)"),24)</f>
        <v>24</v>
      </c>
      <c r="P200" s="69">
        <f t="shared" ca="1" si="140"/>
        <v>2535861.166666667</v>
      </c>
      <c r="Q200" s="66"/>
      <c r="R200" s="69">
        <f t="shared" si="141"/>
        <v>6665583</v>
      </c>
      <c r="S200" s="69">
        <f t="shared" ca="1" si="142"/>
        <v>6435050.166666667</v>
      </c>
      <c r="T200" s="69">
        <f t="shared" ca="1" si="143"/>
        <v>0</v>
      </c>
      <c r="U200" s="20">
        <v>259867</v>
      </c>
      <c r="V200" s="177">
        <f ca="1">IFERROR(__xludf.DUMMYFUNCTION("VLOOKUP(C200,IMPORTRANGE(""https://docs.google.com/spreadsheets/d/1heLiqWF_2HiP-P9QpK84CTP6DxpoT_aG9fTdG9C1JMk/edit?gid=1535728046#gid=1535728046"",""DATA_ABSEN_JUNI25""),41,0)"),1)</f>
        <v>1</v>
      </c>
      <c r="W200" s="69">
        <f t="shared" ca="1" si="144"/>
        <v>259867</v>
      </c>
      <c r="X200" s="69">
        <v>0</v>
      </c>
      <c r="Y200" s="69">
        <f t="shared" ca="1" si="145"/>
        <v>6694917.166666667</v>
      </c>
      <c r="Z200" s="61">
        <f ca="1">IFERROR(__xludf.DUMMYFUNCTION("VLOOKUP(C200,IMPORTRANGE(""https://docs.google.com/spreadsheets/d/1heLiqWF_2HiP-P9QpK84CTP6DxpoT_aG9fTdG9C1JMk/edit?gid=1535728046#gid=1535728046"",""DATA_ABSEN_JUNI25""),42,0)+VLOOKUP(C200,IMPORTRANGE(""https://docs.google.com/spreadsheets/d/1heLiqWF_2Hi"&amp;"P-P9QpK84CTP6DxpoT_aG9fTdG9C1JMk/edit?gid=1535728046#gid=1535728046"",""DATA_ABSEN_JUNI25""),43,0)"),2)</f>
        <v>2</v>
      </c>
      <c r="AA200" s="61">
        <f ca="1">IFERROR(__xludf.DUMMYFUNCTION("VLOOKUP(C200,IMPORTRANGE(""https://docs.google.com/spreadsheets/d/1heLiqWF_2HiP-P9QpK84CTP6DxpoT_aG9fTdG9C1JMk/edit?gid=1535728046#gid=1535728046"",""DATA_ABSEN_JUNI25""),44,0)"),0)</f>
        <v>0</v>
      </c>
      <c r="AB200" s="61">
        <f ca="1">IFERROR(__xludf.DUMMYFUNCTION("VLOOKUP(C200,IMPORTRANGE(""https://docs.google.com/spreadsheets/d/1heLiqWF_2HiP-P9QpK84CTP6DxpoT_aG9fTdG9C1JMk/edit?gid=1535728046#gid=1535728046"",""DATA_ABSEN_JUNI25""),45,0)"),0)</f>
        <v>0</v>
      </c>
      <c r="AC200" s="61">
        <f ca="1">IFERROR(__xludf.DUMMYFUNCTION("VLOOKUP(C200,IMPORTRANGE(""https://docs.google.com/spreadsheets/d/1heLiqWF_2HiP-P9QpK84CTP6DxpoT_aG9fTdG9C1JMk/edit?gid=1535728046#gid=1535728046"",""DATA_ABSEN_JUNI25""),46,0)"),0)</f>
        <v>0</v>
      </c>
      <c r="AD200" s="125">
        <v>0</v>
      </c>
      <c r="AE200" s="69">
        <f t="shared" ca="1" si="146"/>
        <v>519734</v>
      </c>
      <c r="AF200" s="20">
        <v>326819</v>
      </c>
      <c r="AG200" s="20">
        <v>176850</v>
      </c>
      <c r="AH200" s="69">
        <v>0</v>
      </c>
      <c r="AI200" s="69" t="e">
        <f t="shared" si="147"/>
        <v>#REF!</v>
      </c>
      <c r="AJ200" s="69">
        <v>0</v>
      </c>
      <c r="AK200" s="69" t="e">
        <f t="shared" si="123"/>
        <v>#REF!</v>
      </c>
      <c r="AL200" s="69">
        <v>0</v>
      </c>
      <c r="AM200" s="69">
        <f t="shared" ca="1" si="148"/>
        <v>1023403</v>
      </c>
      <c r="AN200" s="69">
        <f t="shared" ca="1" si="149"/>
        <v>5671514.166666667</v>
      </c>
      <c r="AO200" s="69">
        <f t="shared" ca="1" si="150"/>
        <v>64933.079666666672</v>
      </c>
      <c r="AP200" s="69">
        <f t="shared" ca="1" si="151"/>
        <v>5606581.0870000003</v>
      </c>
      <c r="AQ200" s="69">
        <f t="shared" ca="1" si="152"/>
        <v>5606581.0870000003</v>
      </c>
      <c r="AR200" s="70">
        <f t="shared" ca="1" si="153"/>
        <v>5606581.0870000003</v>
      </c>
      <c r="AS200" s="113"/>
      <c r="AT200" s="73" t="s">
        <v>9</v>
      </c>
      <c r="AU200" s="61" t="s">
        <v>10</v>
      </c>
      <c r="AV200" s="69">
        <f t="shared" si="154"/>
        <v>3537000</v>
      </c>
      <c r="AW200" s="69">
        <f t="shared" ca="1" si="155"/>
        <v>2535861.166666667</v>
      </c>
      <c r="AX200" s="69">
        <f t="shared" ca="1" si="156"/>
        <v>259867</v>
      </c>
      <c r="AY200" s="69">
        <v>0</v>
      </c>
      <c r="AZ200" s="69">
        <f t="shared" si="157"/>
        <v>8488.7999999999993</v>
      </c>
      <c r="BA200" s="69">
        <f t="shared" si="158"/>
        <v>10611</v>
      </c>
      <c r="BB200" s="69">
        <f t="shared" si="159"/>
        <v>141480</v>
      </c>
      <c r="BC200" s="69">
        <f t="shared" ca="1" si="160"/>
        <v>6493307.9666666668</v>
      </c>
      <c r="BD200" s="74">
        <f ca="1">IF(AU200="C",VLOOKUP(BC200,TER!$J$4:$L$50,3,TRUE),IF(AU200="B",VLOOKUP(BC200,TER!$F$4:$H$50,3,TRUE),IF(AU200="A",VLOOKUP(BC200,TER!$B$4:$D$50,3,TRUE),"ERROR")))</f>
        <v>0.01</v>
      </c>
      <c r="BE200" s="69">
        <f t="shared" ca="1" si="161"/>
        <v>64933.079666666672</v>
      </c>
      <c r="BF200" s="113"/>
      <c r="BG200" s="113"/>
    </row>
    <row r="201" spans="1:59" ht="13.5" hidden="1" customHeight="1">
      <c r="A201" s="113"/>
      <c r="B201" s="224">
        <v>46</v>
      </c>
      <c r="C201" s="124" t="s">
        <v>546</v>
      </c>
      <c r="D201" s="98" t="s">
        <v>547</v>
      </c>
      <c r="E201" s="67" t="s">
        <v>57</v>
      </c>
      <c r="F201" s="68" t="s">
        <v>1255</v>
      </c>
      <c r="G201" s="67" t="s">
        <v>31</v>
      </c>
      <c r="H201" s="66" t="s">
        <v>32</v>
      </c>
      <c r="I201" s="69">
        <f t="shared" si="138"/>
        <v>3537000</v>
      </c>
      <c r="J201" s="70">
        <v>220709</v>
      </c>
      <c r="K201" s="70">
        <v>141480</v>
      </c>
      <c r="L201" s="70">
        <v>2766394</v>
      </c>
      <c r="M201" s="69">
        <f t="shared" ca="1" si="139"/>
        <v>115266.41666666667</v>
      </c>
      <c r="N201" s="61">
        <f ca="1">IFERROR(__xludf.DUMMYFUNCTION("VLOOKUP(C201,IMPORTRANGE(""https://docs.google.com/spreadsheets/d/1heLiqWF_2HiP-P9QpK84CTP6DxpoT_aG9fTdG9C1JMk/edit?gid=1535728046#gid=1535728046"",""DATA_ABSEN_JUNI25""),39,0)"),24)</f>
        <v>24</v>
      </c>
      <c r="O201" s="61">
        <f ca="1">IFERROR(__xludf.DUMMYFUNCTION("VLOOKUP(C201,IMPORTRANGE(""https://docs.google.com/spreadsheets/d/1heLiqWF_2HiP-P9QpK84CTP6DxpoT_aG9fTdG9C1JMk/edit?gid=1535728046#gid=1535728046"",""DATA_ABSEN_JUNI25""),40,0)"),24)</f>
        <v>24</v>
      </c>
      <c r="P201" s="69">
        <f t="shared" ca="1" si="140"/>
        <v>2766394</v>
      </c>
      <c r="Q201" s="66"/>
      <c r="R201" s="69">
        <f t="shared" si="141"/>
        <v>6665583</v>
      </c>
      <c r="S201" s="69">
        <f t="shared" ca="1" si="142"/>
        <v>6665583</v>
      </c>
      <c r="T201" s="69">
        <f t="shared" ca="1" si="143"/>
        <v>0</v>
      </c>
      <c r="U201" s="20">
        <v>259867</v>
      </c>
      <c r="V201" s="177">
        <f ca="1">IFERROR(__xludf.DUMMYFUNCTION("VLOOKUP(C201,IMPORTRANGE(""https://docs.google.com/spreadsheets/d/1heLiqWF_2HiP-P9QpK84CTP6DxpoT_aG9fTdG9C1JMk/edit?gid=1535728046#gid=1535728046"",""DATA_ABSEN_JUNI25""),41,0)"),2)</f>
        <v>2</v>
      </c>
      <c r="W201" s="69">
        <f t="shared" ca="1" si="144"/>
        <v>519734</v>
      </c>
      <c r="X201" s="69">
        <v>0</v>
      </c>
      <c r="Y201" s="69">
        <f t="shared" ca="1" si="145"/>
        <v>7185317</v>
      </c>
      <c r="Z201" s="61">
        <f ca="1">IFERROR(__xludf.DUMMYFUNCTION("VLOOKUP(C201,IMPORTRANGE(""https://docs.google.com/spreadsheets/d/1heLiqWF_2HiP-P9QpK84CTP6DxpoT_aG9fTdG9C1JMk/edit?gid=1535728046#gid=1535728046"",""DATA_ABSEN_JUNI25""),42,0)+VLOOKUP(C201,IMPORTRANGE(""https://docs.google.com/spreadsheets/d/1heLiqWF_2Hi"&amp;"P-P9QpK84CTP6DxpoT_aG9fTdG9C1JMk/edit?gid=1535728046#gid=1535728046"",""DATA_ABSEN_JUNI25""),43,0)"),0)</f>
        <v>0</v>
      </c>
      <c r="AA201" s="61">
        <f ca="1">IFERROR(__xludf.DUMMYFUNCTION("VLOOKUP(C201,IMPORTRANGE(""https://docs.google.com/spreadsheets/d/1heLiqWF_2HiP-P9QpK84CTP6DxpoT_aG9fTdG9C1JMk/edit?gid=1535728046#gid=1535728046"",""DATA_ABSEN_JUNI25""),44,0)"),0)</f>
        <v>0</v>
      </c>
      <c r="AB201" s="61">
        <f ca="1">IFERROR(__xludf.DUMMYFUNCTION("VLOOKUP(C201,IMPORTRANGE(""https://docs.google.com/spreadsheets/d/1heLiqWF_2HiP-P9QpK84CTP6DxpoT_aG9fTdG9C1JMk/edit?gid=1535728046#gid=1535728046"",""DATA_ABSEN_JUNI25""),45,0)"),0)</f>
        <v>0</v>
      </c>
      <c r="AC201" s="61">
        <f ca="1">IFERROR(__xludf.DUMMYFUNCTION("VLOOKUP(C201,IMPORTRANGE(""https://docs.google.com/spreadsheets/d/1heLiqWF_2HiP-P9QpK84CTP6DxpoT_aG9fTdG9C1JMk/edit?gid=1535728046#gid=1535728046"",""DATA_ABSEN_JUNI25""),46,0)"),0)</f>
        <v>0</v>
      </c>
      <c r="AD201" s="125">
        <v>0</v>
      </c>
      <c r="AE201" s="69">
        <f t="shared" ca="1" si="146"/>
        <v>0</v>
      </c>
      <c r="AF201" s="20">
        <v>326819</v>
      </c>
      <c r="AG201" s="20">
        <v>176850</v>
      </c>
      <c r="AH201" s="69">
        <v>0</v>
      </c>
      <c r="AI201" s="69" t="e">
        <f t="shared" si="147"/>
        <v>#REF!</v>
      </c>
      <c r="AJ201" s="69">
        <v>0</v>
      </c>
      <c r="AK201" s="69" t="e">
        <f t="shared" si="123"/>
        <v>#REF!</v>
      </c>
      <c r="AL201" s="69">
        <v>0</v>
      </c>
      <c r="AM201" s="69">
        <f t="shared" ca="1" si="148"/>
        <v>503669</v>
      </c>
      <c r="AN201" s="69">
        <f t="shared" ca="1" si="149"/>
        <v>6681648</v>
      </c>
      <c r="AO201" s="69">
        <f t="shared" ca="1" si="150"/>
        <v>87296.347500000003</v>
      </c>
      <c r="AP201" s="69">
        <f t="shared" ca="1" si="151"/>
        <v>6594351.6524999999</v>
      </c>
      <c r="AQ201" s="69">
        <f t="shared" ca="1" si="152"/>
        <v>6594351.6524999999</v>
      </c>
      <c r="AR201" s="70">
        <f t="shared" ca="1" si="153"/>
        <v>6594351.6524999999</v>
      </c>
      <c r="AS201" s="113"/>
      <c r="AT201" s="73" t="s">
        <v>9</v>
      </c>
      <c r="AU201" s="61" t="s">
        <v>10</v>
      </c>
      <c r="AV201" s="69">
        <f t="shared" si="154"/>
        <v>3537000</v>
      </c>
      <c r="AW201" s="69">
        <f t="shared" ca="1" si="155"/>
        <v>2766394</v>
      </c>
      <c r="AX201" s="69">
        <f t="shared" ca="1" si="156"/>
        <v>519734</v>
      </c>
      <c r="AY201" s="69">
        <v>0</v>
      </c>
      <c r="AZ201" s="69">
        <f t="shared" si="157"/>
        <v>8488.7999999999993</v>
      </c>
      <c r="BA201" s="69">
        <f t="shared" si="158"/>
        <v>10611</v>
      </c>
      <c r="BB201" s="69">
        <f t="shared" si="159"/>
        <v>141480</v>
      </c>
      <c r="BC201" s="69">
        <f t="shared" ca="1" si="160"/>
        <v>6983707.7999999998</v>
      </c>
      <c r="BD201" s="74">
        <f ca="1">IF(AU201="C",VLOOKUP(BC201,TER!$J$4:$L$50,3,TRUE),IF(AU201="B",VLOOKUP(BC201,TER!$F$4:$H$50,3,TRUE),IF(AU201="A",VLOOKUP(BC201,TER!$B$4:$D$50,3,TRUE),"ERROR")))</f>
        <v>1.2500000000000001E-2</v>
      </c>
      <c r="BE201" s="69">
        <f t="shared" ca="1" si="161"/>
        <v>87296.347500000003</v>
      </c>
      <c r="BF201" s="113"/>
      <c r="BG201" s="113"/>
    </row>
    <row r="202" spans="1:59" ht="13.5" hidden="1" customHeight="1">
      <c r="A202" s="113"/>
      <c r="B202" s="224">
        <v>47</v>
      </c>
      <c r="C202" s="124" t="s">
        <v>548</v>
      </c>
      <c r="D202" s="98" t="s">
        <v>549</v>
      </c>
      <c r="E202" s="67" t="s">
        <v>57</v>
      </c>
      <c r="F202" s="68" t="s">
        <v>550</v>
      </c>
      <c r="G202" s="67" t="s">
        <v>31</v>
      </c>
      <c r="H202" s="66" t="s">
        <v>32</v>
      </c>
      <c r="I202" s="69">
        <f t="shared" si="138"/>
        <v>3537000</v>
      </c>
      <c r="J202" s="70">
        <v>220709</v>
      </c>
      <c r="K202" s="70">
        <v>141480</v>
      </c>
      <c r="L202" s="70">
        <v>2766394</v>
      </c>
      <c r="M202" s="69">
        <f t="shared" ca="1" si="139"/>
        <v>115266.41666666667</v>
      </c>
      <c r="N202" s="61">
        <f ca="1">IFERROR(__xludf.DUMMYFUNCTION("VLOOKUP(C202,IMPORTRANGE(""https://docs.google.com/spreadsheets/d/1heLiqWF_2HiP-P9QpK84CTP6DxpoT_aG9fTdG9C1JMk/edit?gid=1535728046#gid=1535728046"",""DATA_ABSEN_JUNI25""),39,0)"),24)</f>
        <v>24</v>
      </c>
      <c r="O202" s="61">
        <f ca="1">IFERROR(__xludf.DUMMYFUNCTION("VLOOKUP(C202,IMPORTRANGE(""https://docs.google.com/spreadsheets/d/1heLiqWF_2HiP-P9QpK84CTP6DxpoT_aG9fTdG9C1JMk/edit?gid=1535728046#gid=1535728046"",""DATA_ABSEN_JUNI25""),40,0)"),24)</f>
        <v>24</v>
      </c>
      <c r="P202" s="69">
        <f t="shared" ca="1" si="140"/>
        <v>2766394</v>
      </c>
      <c r="Q202" s="66"/>
      <c r="R202" s="69">
        <f t="shared" si="141"/>
        <v>6665583</v>
      </c>
      <c r="S202" s="69">
        <f t="shared" ca="1" si="142"/>
        <v>6665583</v>
      </c>
      <c r="T202" s="69">
        <f t="shared" ca="1" si="143"/>
        <v>0</v>
      </c>
      <c r="U202" s="20">
        <v>259867</v>
      </c>
      <c r="V202" s="177">
        <f ca="1">IFERROR(__xludf.DUMMYFUNCTION("VLOOKUP(C202,IMPORTRANGE(""https://docs.google.com/spreadsheets/d/1heLiqWF_2HiP-P9QpK84CTP6DxpoT_aG9fTdG9C1JMk/edit?gid=1535728046#gid=1535728046"",""DATA_ABSEN_JUNI25""),41,0)"),3)</f>
        <v>3</v>
      </c>
      <c r="W202" s="69">
        <f t="shared" ca="1" si="144"/>
        <v>779601</v>
      </c>
      <c r="X202" s="69">
        <v>0</v>
      </c>
      <c r="Y202" s="69">
        <f t="shared" ca="1" si="145"/>
        <v>7445184</v>
      </c>
      <c r="Z202" s="61">
        <f ca="1">IFERROR(__xludf.DUMMYFUNCTION("VLOOKUP(C202,IMPORTRANGE(""https://docs.google.com/spreadsheets/d/1heLiqWF_2HiP-P9QpK84CTP6DxpoT_aG9fTdG9C1JMk/edit?gid=1535728046#gid=1535728046"",""DATA_ABSEN_JUNI25""),42,0)+VLOOKUP(C202,IMPORTRANGE(""https://docs.google.com/spreadsheets/d/1heLiqWF_2Hi"&amp;"P-P9QpK84CTP6DxpoT_aG9fTdG9C1JMk/edit?gid=1535728046#gid=1535728046"",""DATA_ABSEN_JUNI25""),43,0)"),0)</f>
        <v>0</v>
      </c>
      <c r="AA202" s="61">
        <f ca="1">IFERROR(__xludf.DUMMYFUNCTION("VLOOKUP(C202,IMPORTRANGE(""https://docs.google.com/spreadsheets/d/1heLiqWF_2HiP-P9QpK84CTP6DxpoT_aG9fTdG9C1JMk/edit?gid=1535728046#gid=1535728046"",""DATA_ABSEN_JUNI25""),44,0)"),0)</f>
        <v>0</v>
      </c>
      <c r="AB202" s="61">
        <f ca="1">IFERROR(__xludf.DUMMYFUNCTION("VLOOKUP(C202,IMPORTRANGE(""https://docs.google.com/spreadsheets/d/1heLiqWF_2HiP-P9QpK84CTP6DxpoT_aG9fTdG9C1JMk/edit?gid=1535728046#gid=1535728046"",""DATA_ABSEN_JUNI25""),45,0)"),0)</f>
        <v>0</v>
      </c>
      <c r="AC202" s="61">
        <f ca="1">IFERROR(__xludf.DUMMYFUNCTION("VLOOKUP(C202,IMPORTRANGE(""https://docs.google.com/spreadsheets/d/1heLiqWF_2HiP-P9QpK84CTP6DxpoT_aG9fTdG9C1JMk/edit?gid=1535728046#gid=1535728046"",""DATA_ABSEN_JUNI25""),46,0)"),0)</f>
        <v>0</v>
      </c>
      <c r="AD202" s="125">
        <v>0</v>
      </c>
      <c r="AE202" s="69">
        <f t="shared" ca="1" si="146"/>
        <v>0</v>
      </c>
      <c r="AF202" s="20">
        <v>326819</v>
      </c>
      <c r="AG202" s="20">
        <v>176850</v>
      </c>
      <c r="AH202" s="69">
        <v>0</v>
      </c>
      <c r="AI202" s="69" t="e">
        <f t="shared" si="147"/>
        <v>#REF!</v>
      </c>
      <c r="AJ202" s="69">
        <v>0</v>
      </c>
      <c r="AK202" s="69" t="e">
        <f t="shared" si="123"/>
        <v>#REF!</v>
      </c>
      <c r="AL202" s="69">
        <v>0</v>
      </c>
      <c r="AM202" s="69">
        <f t="shared" ca="1" si="148"/>
        <v>503669</v>
      </c>
      <c r="AN202" s="69">
        <f t="shared" ca="1" si="149"/>
        <v>6941515</v>
      </c>
      <c r="AO202" s="69">
        <f t="shared" ca="1" si="150"/>
        <v>90544.684999999998</v>
      </c>
      <c r="AP202" s="69">
        <f t="shared" ca="1" si="151"/>
        <v>6850970.3150000004</v>
      </c>
      <c r="AQ202" s="69">
        <f t="shared" ca="1" si="152"/>
        <v>6850970.3150000004</v>
      </c>
      <c r="AR202" s="70">
        <f t="shared" ca="1" si="153"/>
        <v>6850970.3150000004</v>
      </c>
      <c r="AS202" s="113"/>
      <c r="AT202" s="73" t="s">
        <v>9</v>
      </c>
      <c r="AU202" s="61" t="s">
        <v>10</v>
      </c>
      <c r="AV202" s="69">
        <f t="shared" si="154"/>
        <v>3537000</v>
      </c>
      <c r="AW202" s="69">
        <f t="shared" ca="1" si="155"/>
        <v>2766394</v>
      </c>
      <c r="AX202" s="69">
        <f t="shared" ca="1" si="156"/>
        <v>779601</v>
      </c>
      <c r="AY202" s="69">
        <v>0</v>
      </c>
      <c r="AZ202" s="69">
        <f t="shared" si="157"/>
        <v>8488.7999999999993</v>
      </c>
      <c r="BA202" s="69">
        <f t="shared" si="158"/>
        <v>10611</v>
      </c>
      <c r="BB202" s="69">
        <f t="shared" si="159"/>
        <v>141480</v>
      </c>
      <c r="BC202" s="69">
        <f t="shared" ca="1" si="160"/>
        <v>7243574.7999999998</v>
      </c>
      <c r="BD202" s="74">
        <f ca="1">IF(AU202="C",VLOOKUP(BC202,TER!$J$4:$L$50,3,TRUE),IF(AU202="B",VLOOKUP(BC202,TER!$F$4:$H$50,3,TRUE),IF(AU202="A",VLOOKUP(BC202,TER!$B$4:$D$50,3,TRUE),"ERROR")))</f>
        <v>1.2500000000000001E-2</v>
      </c>
      <c r="BE202" s="69">
        <f t="shared" ca="1" si="161"/>
        <v>90544.684999999998</v>
      </c>
      <c r="BF202" s="113"/>
      <c r="BG202" s="113"/>
    </row>
    <row r="203" spans="1:59" ht="13.5" hidden="1" customHeight="1">
      <c r="A203" s="113"/>
      <c r="B203" s="224">
        <v>48</v>
      </c>
      <c r="C203" s="68" t="s">
        <v>551</v>
      </c>
      <c r="D203" s="98" t="s">
        <v>552</v>
      </c>
      <c r="E203" s="67" t="s">
        <v>57</v>
      </c>
      <c r="F203" s="68" t="s">
        <v>1256</v>
      </c>
      <c r="G203" s="67" t="s">
        <v>31</v>
      </c>
      <c r="H203" s="66" t="s">
        <v>32</v>
      </c>
      <c r="I203" s="69">
        <f t="shared" si="138"/>
        <v>3537000</v>
      </c>
      <c r="J203" s="70">
        <v>220709</v>
      </c>
      <c r="K203" s="70">
        <v>141480</v>
      </c>
      <c r="L203" s="70">
        <v>2766394</v>
      </c>
      <c r="M203" s="69">
        <f t="shared" ca="1" si="139"/>
        <v>115266.41666666667</v>
      </c>
      <c r="N203" s="61">
        <f ca="1">IFERROR(__xludf.DUMMYFUNCTION("VLOOKUP(C203,IMPORTRANGE(""https://docs.google.com/spreadsheets/d/1heLiqWF_2HiP-P9QpK84CTP6DxpoT_aG9fTdG9C1JMk/edit?gid=1535728046#gid=1535728046"",""DATA_ABSEN_JUNI25""),39,0)"),23)</f>
        <v>23</v>
      </c>
      <c r="O203" s="61">
        <f ca="1">IFERROR(__xludf.DUMMYFUNCTION("VLOOKUP(C203,IMPORTRANGE(""https://docs.google.com/spreadsheets/d/1heLiqWF_2HiP-P9QpK84CTP6DxpoT_aG9fTdG9C1JMk/edit?gid=1535728046#gid=1535728046"",""DATA_ABSEN_JUNI25""),40,0)"),24)</f>
        <v>24</v>
      </c>
      <c r="P203" s="69">
        <f t="shared" ca="1" si="140"/>
        <v>2651127.5833333335</v>
      </c>
      <c r="Q203" s="66"/>
      <c r="R203" s="69">
        <f t="shared" si="141"/>
        <v>6665583</v>
      </c>
      <c r="S203" s="69">
        <f t="shared" ca="1" si="142"/>
        <v>6550316.583333334</v>
      </c>
      <c r="T203" s="69">
        <f t="shared" ca="1" si="143"/>
        <v>0</v>
      </c>
      <c r="U203" s="20">
        <v>259867</v>
      </c>
      <c r="V203" s="177">
        <f ca="1">IFERROR(__xludf.DUMMYFUNCTION("VLOOKUP(C203,IMPORTRANGE(""https://docs.google.com/spreadsheets/d/1heLiqWF_2HiP-P9QpK84CTP6DxpoT_aG9fTdG9C1JMk/edit?gid=1535728046#gid=1535728046"",""DATA_ABSEN_JUNI25""),41,0)"),2)</f>
        <v>2</v>
      </c>
      <c r="W203" s="69">
        <f t="shared" ca="1" si="144"/>
        <v>519734</v>
      </c>
      <c r="X203" s="69">
        <v>0</v>
      </c>
      <c r="Y203" s="69">
        <f t="shared" ca="1" si="145"/>
        <v>7070050.583333334</v>
      </c>
      <c r="Z203" s="61">
        <f ca="1">IFERROR(__xludf.DUMMYFUNCTION("VLOOKUP(C203,IMPORTRANGE(""https://docs.google.com/spreadsheets/d/1heLiqWF_2HiP-P9QpK84CTP6DxpoT_aG9fTdG9C1JMk/edit?gid=1535728046#gid=1535728046"",""DATA_ABSEN_JUNI25""),42,0)+VLOOKUP(C203,IMPORTRANGE(""https://docs.google.com/spreadsheets/d/1heLiqWF_2Hi"&amp;"P-P9QpK84CTP6DxpoT_aG9fTdG9C1JMk/edit?gid=1535728046#gid=1535728046"",""DATA_ABSEN_JUNI25""),43,0)"),0)</f>
        <v>0</v>
      </c>
      <c r="AA203" s="61">
        <f ca="1">IFERROR(__xludf.DUMMYFUNCTION("VLOOKUP(C203,IMPORTRANGE(""https://docs.google.com/spreadsheets/d/1heLiqWF_2HiP-P9QpK84CTP6DxpoT_aG9fTdG9C1JMk/edit?gid=1535728046#gid=1535728046"",""DATA_ABSEN_JUNI25""),44,0)"),1)</f>
        <v>1</v>
      </c>
      <c r="AB203" s="61">
        <f ca="1">IFERROR(__xludf.DUMMYFUNCTION("VLOOKUP(C203,IMPORTRANGE(""https://docs.google.com/spreadsheets/d/1heLiqWF_2HiP-P9QpK84CTP6DxpoT_aG9fTdG9C1JMk/edit?gid=1535728046#gid=1535728046"",""DATA_ABSEN_JUNI25""),45,0)"),0)</f>
        <v>0</v>
      </c>
      <c r="AC203" s="61">
        <f ca="1">IFERROR(__xludf.DUMMYFUNCTION("VLOOKUP(C203,IMPORTRANGE(""https://docs.google.com/spreadsheets/d/1heLiqWF_2HiP-P9QpK84CTP6DxpoT_aG9fTdG9C1JMk/edit?gid=1535728046#gid=1535728046"",""DATA_ABSEN_JUNI25""),46,0)"),0)</f>
        <v>0</v>
      </c>
      <c r="AD203" s="125">
        <v>0</v>
      </c>
      <c r="AE203" s="69">
        <f t="shared" ca="1" si="146"/>
        <v>259867</v>
      </c>
      <c r="AF203" s="20">
        <v>326819</v>
      </c>
      <c r="AG203" s="20">
        <v>176850</v>
      </c>
      <c r="AH203" s="69">
        <v>0</v>
      </c>
      <c r="AI203" s="69" t="e">
        <f t="shared" si="147"/>
        <v>#REF!</v>
      </c>
      <c r="AJ203" s="69">
        <v>0</v>
      </c>
      <c r="AK203" s="69" t="e">
        <f t="shared" si="123"/>
        <v>#REF!</v>
      </c>
      <c r="AL203" s="69">
        <v>0</v>
      </c>
      <c r="AM203" s="69">
        <f t="shared" ca="1" si="148"/>
        <v>763536</v>
      </c>
      <c r="AN203" s="69">
        <f t="shared" ca="1" si="149"/>
        <v>6306514.583333334</v>
      </c>
      <c r="AO203" s="69">
        <f t="shared" ca="1" si="150"/>
        <v>85855.517291666678</v>
      </c>
      <c r="AP203" s="69">
        <f t="shared" ca="1" si="151"/>
        <v>6220659.066041667</v>
      </c>
      <c r="AQ203" s="69">
        <f t="shared" ca="1" si="152"/>
        <v>6220659.066041667</v>
      </c>
      <c r="AR203" s="70">
        <f t="shared" ca="1" si="153"/>
        <v>6220659.066041667</v>
      </c>
      <c r="AS203" s="113"/>
      <c r="AT203" s="73" t="s">
        <v>9</v>
      </c>
      <c r="AU203" s="61" t="s">
        <v>10</v>
      </c>
      <c r="AV203" s="69">
        <f t="shared" si="154"/>
        <v>3537000</v>
      </c>
      <c r="AW203" s="69">
        <f t="shared" ca="1" si="155"/>
        <v>2651127.5833333335</v>
      </c>
      <c r="AX203" s="69">
        <f t="shared" ca="1" si="156"/>
        <v>519734</v>
      </c>
      <c r="AY203" s="69">
        <v>0</v>
      </c>
      <c r="AZ203" s="69">
        <f t="shared" si="157"/>
        <v>8488.7999999999993</v>
      </c>
      <c r="BA203" s="69">
        <f t="shared" si="158"/>
        <v>10611</v>
      </c>
      <c r="BB203" s="69">
        <f t="shared" si="159"/>
        <v>141480</v>
      </c>
      <c r="BC203" s="69">
        <f t="shared" ca="1" si="160"/>
        <v>6868441.3833333338</v>
      </c>
      <c r="BD203" s="74">
        <f ca="1">IF(AU203="C",VLOOKUP(BC203,TER!$J$4:$L$50,3,TRUE),IF(AU203="B",VLOOKUP(BC203,TER!$F$4:$H$50,3,TRUE),IF(AU203="A",VLOOKUP(BC203,TER!$B$4:$D$50,3,TRUE),"ERROR")))</f>
        <v>1.2500000000000001E-2</v>
      </c>
      <c r="BE203" s="69">
        <f t="shared" ca="1" si="161"/>
        <v>85855.517291666678</v>
      </c>
      <c r="BF203" s="113"/>
      <c r="BG203" s="113"/>
    </row>
    <row r="204" spans="1:59" ht="13.5" hidden="1" customHeight="1">
      <c r="A204" s="113"/>
      <c r="B204" s="224">
        <v>49</v>
      </c>
      <c r="C204" s="68" t="s">
        <v>73</v>
      </c>
      <c r="D204" s="98" t="s">
        <v>74</v>
      </c>
      <c r="E204" s="67" t="s">
        <v>57</v>
      </c>
      <c r="F204" s="68" t="s">
        <v>1257</v>
      </c>
      <c r="G204" s="67" t="s">
        <v>31</v>
      </c>
      <c r="H204" s="66" t="s">
        <v>32</v>
      </c>
      <c r="I204" s="69">
        <f t="shared" si="138"/>
        <v>3537000</v>
      </c>
      <c r="J204" s="70">
        <v>220709</v>
      </c>
      <c r="K204" s="70">
        <v>141480</v>
      </c>
      <c r="L204" s="70">
        <v>2766394</v>
      </c>
      <c r="M204" s="69">
        <f t="shared" ca="1" si="139"/>
        <v>115266.41666666667</v>
      </c>
      <c r="N204" s="61">
        <f ca="1">IFERROR(__xludf.DUMMYFUNCTION("VLOOKUP(C204,IMPORTRANGE(""https://docs.google.com/spreadsheets/d/1heLiqWF_2HiP-P9QpK84CTP6DxpoT_aG9fTdG9C1JMk/edit?gid=1535728046#gid=1535728046"",""DATA_ABSEN_JUNI25""),39,0)"),24)</f>
        <v>24</v>
      </c>
      <c r="O204" s="61">
        <f ca="1">IFERROR(__xludf.DUMMYFUNCTION("VLOOKUP(C204,IMPORTRANGE(""https://docs.google.com/spreadsheets/d/1heLiqWF_2HiP-P9QpK84CTP6DxpoT_aG9fTdG9C1JMk/edit?gid=1535728046#gid=1535728046"",""DATA_ABSEN_JUNI25""),40,0)"),24)</f>
        <v>24</v>
      </c>
      <c r="P204" s="69">
        <f t="shared" ca="1" si="140"/>
        <v>2766394</v>
      </c>
      <c r="Q204" s="66"/>
      <c r="R204" s="69">
        <f t="shared" si="141"/>
        <v>6665583</v>
      </c>
      <c r="S204" s="69">
        <f t="shared" ca="1" si="142"/>
        <v>6665583</v>
      </c>
      <c r="T204" s="69">
        <f t="shared" ca="1" si="143"/>
        <v>0</v>
      </c>
      <c r="U204" s="20">
        <v>259867</v>
      </c>
      <c r="V204" s="177">
        <f ca="1">IFERROR(__xludf.DUMMYFUNCTION("VLOOKUP(C204,IMPORTRANGE(""https://docs.google.com/spreadsheets/d/1heLiqWF_2HiP-P9QpK84CTP6DxpoT_aG9fTdG9C1JMk/edit?gid=1535728046#gid=1535728046"",""DATA_ABSEN_JUNI25""),41,0)"),2)</f>
        <v>2</v>
      </c>
      <c r="W204" s="69">
        <f t="shared" ca="1" si="144"/>
        <v>519734</v>
      </c>
      <c r="X204" s="69">
        <v>0</v>
      </c>
      <c r="Y204" s="69">
        <f t="shared" ca="1" si="145"/>
        <v>7185317</v>
      </c>
      <c r="Z204" s="61">
        <f ca="1">IFERROR(__xludf.DUMMYFUNCTION("VLOOKUP(C204,IMPORTRANGE(""https://docs.google.com/spreadsheets/d/1heLiqWF_2HiP-P9QpK84CTP6DxpoT_aG9fTdG9C1JMk/edit?gid=1535728046#gid=1535728046"",""DATA_ABSEN_JUNI25""),42,0)+VLOOKUP(C204,IMPORTRANGE(""https://docs.google.com/spreadsheets/d/1heLiqWF_2Hi"&amp;"P-P9QpK84CTP6DxpoT_aG9fTdG9C1JMk/edit?gid=1535728046#gid=1535728046"",""DATA_ABSEN_JUNI25""),43,0)"),0)</f>
        <v>0</v>
      </c>
      <c r="AA204" s="61">
        <f ca="1">IFERROR(__xludf.DUMMYFUNCTION("VLOOKUP(C204,IMPORTRANGE(""https://docs.google.com/spreadsheets/d/1heLiqWF_2HiP-P9QpK84CTP6DxpoT_aG9fTdG9C1JMk/edit?gid=1535728046#gid=1535728046"",""DATA_ABSEN_JUNI25""),44,0)"),0)</f>
        <v>0</v>
      </c>
      <c r="AB204" s="61">
        <f ca="1">IFERROR(__xludf.DUMMYFUNCTION("VLOOKUP(C204,IMPORTRANGE(""https://docs.google.com/spreadsheets/d/1heLiqWF_2HiP-P9QpK84CTP6DxpoT_aG9fTdG9C1JMk/edit?gid=1535728046#gid=1535728046"",""DATA_ABSEN_JUNI25""),45,0)"),0)</f>
        <v>0</v>
      </c>
      <c r="AC204" s="61">
        <f ca="1">IFERROR(__xludf.DUMMYFUNCTION("VLOOKUP(C204,IMPORTRANGE(""https://docs.google.com/spreadsheets/d/1heLiqWF_2HiP-P9QpK84CTP6DxpoT_aG9fTdG9C1JMk/edit?gid=1535728046#gid=1535728046"",""DATA_ABSEN_JUNI25""),46,0)"),0)</f>
        <v>0</v>
      </c>
      <c r="AD204" s="125">
        <v>0</v>
      </c>
      <c r="AE204" s="69">
        <f t="shared" ca="1" si="146"/>
        <v>0</v>
      </c>
      <c r="AF204" s="20">
        <v>326819</v>
      </c>
      <c r="AG204" s="20">
        <v>176850</v>
      </c>
      <c r="AH204" s="69">
        <v>0</v>
      </c>
      <c r="AI204" s="69" t="e">
        <f t="shared" si="147"/>
        <v>#REF!</v>
      </c>
      <c r="AJ204" s="69">
        <v>0</v>
      </c>
      <c r="AK204" s="69" t="e">
        <f t="shared" si="123"/>
        <v>#REF!</v>
      </c>
      <c r="AL204" s="69">
        <v>0</v>
      </c>
      <c r="AM204" s="69">
        <f t="shared" ca="1" si="148"/>
        <v>503669</v>
      </c>
      <c r="AN204" s="69">
        <f t="shared" ca="1" si="149"/>
        <v>6681648</v>
      </c>
      <c r="AO204" s="69">
        <f t="shared" ca="1" si="150"/>
        <v>87296.347500000003</v>
      </c>
      <c r="AP204" s="69">
        <f t="shared" ca="1" si="151"/>
        <v>6594351.6524999999</v>
      </c>
      <c r="AQ204" s="69">
        <f t="shared" ca="1" si="152"/>
        <v>6594351.6524999999</v>
      </c>
      <c r="AR204" s="70">
        <f t="shared" ca="1" si="153"/>
        <v>6594351.6524999999</v>
      </c>
      <c r="AS204" s="113"/>
      <c r="AT204" s="73" t="s">
        <v>9</v>
      </c>
      <c r="AU204" s="61" t="s">
        <v>10</v>
      </c>
      <c r="AV204" s="69">
        <f t="shared" si="154"/>
        <v>3537000</v>
      </c>
      <c r="AW204" s="69">
        <f t="shared" ca="1" si="155"/>
        <v>2766394</v>
      </c>
      <c r="AX204" s="69">
        <f t="shared" ca="1" si="156"/>
        <v>519734</v>
      </c>
      <c r="AY204" s="69">
        <v>0</v>
      </c>
      <c r="AZ204" s="69">
        <f t="shared" si="157"/>
        <v>8488.7999999999993</v>
      </c>
      <c r="BA204" s="69">
        <f t="shared" si="158"/>
        <v>10611</v>
      </c>
      <c r="BB204" s="69">
        <f t="shared" si="159"/>
        <v>141480</v>
      </c>
      <c r="BC204" s="69">
        <f t="shared" ca="1" si="160"/>
        <v>6983707.7999999998</v>
      </c>
      <c r="BD204" s="74">
        <f ca="1">IF(AU204="C",VLOOKUP(BC204,TER!$J$4:$L$50,3,TRUE),IF(AU204="B",VLOOKUP(BC204,TER!$F$4:$H$50,3,TRUE),IF(AU204="A",VLOOKUP(BC204,TER!$B$4:$D$50,3,TRUE),"ERROR")))</f>
        <v>1.2500000000000001E-2</v>
      </c>
      <c r="BE204" s="69">
        <f t="shared" ca="1" si="161"/>
        <v>87296.347500000003</v>
      </c>
      <c r="BF204" s="113"/>
      <c r="BG204" s="113"/>
    </row>
    <row r="205" spans="1:59" ht="13.5" hidden="1" customHeight="1">
      <c r="A205" s="113"/>
      <c r="B205" s="224">
        <v>50</v>
      </c>
      <c r="C205" s="68" t="s">
        <v>75</v>
      </c>
      <c r="D205" s="98" t="s">
        <v>76</v>
      </c>
      <c r="E205" s="67" t="s">
        <v>57</v>
      </c>
      <c r="F205" s="68" t="s">
        <v>1258</v>
      </c>
      <c r="G205" s="67" t="s">
        <v>31</v>
      </c>
      <c r="H205" s="66" t="s">
        <v>32</v>
      </c>
      <c r="I205" s="69">
        <f t="shared" si="138"/>
        <v>3537000</v>
      </c>
      <c r="J205" s="70">
        <v>220709</v>
      </c>
      <c r="K205" s="70">
        <v>141480</v>
      </c>
      <c r="L205" s="70">
        <v>2766394</v>
      </c>
      <c r="M205" s="69">
        <f t="shared" ca="1" si="139"/>
        <v>115266.41666666667</v>
      </c>
      <c r="N205" s="61">
        <f ca="1">IFERROR(__xludf.DUMMYFUNCTION("VLOOKUP(C205,IMPORTRANGE(""https://docs.google.com/spreadsheets/d/1heLiqWF_2HiP-P9QpK84CTP6DxpoT_aG9fTdG9C1JMk/edit?gid=1535728046#gid=1535728046"",""DATA_ABSEN_JUNI25""),39,0)"),24)</f>
        <v>24</v>
      </c>
      <c r="O205" s="61">
        <f ca="1">IFERROR(__xludf.DUMMYFUNCTION("VLOOKUP(C205,IMPORTRANGE(""https://docs.google.com/spreadsheets/d/1heLiqWF_2HiP-P9QpK84CTP6DxpoT_aG9fTdG9C1JMk/edit?gid=1535728046#gid=1535728046"",""DATA_ABSEN_JUNI25""),40,0)"),24)</f>
        <v>24</v>
      </c>
      <c r="P205" s="69">
        <f t="shared" ca="1" si="140"/>
        <v>2766394</v>
      </c>
      <c r="Q205" s="66"/>
      <c r="R205" s="69">
        <f t="shared" si="141"/>
        <v>6665583</v>
      </c>
      <c r="S205" s="69">
        <f t="shared" ca="1" si="142"/>
        <v>6665583</v>
      </c>
      <c r="T205" s="69">
        <f t="shared" ca="1" si="143"/>
        <v>0</v>
      </c>
      <c r="U205" s="20">
        <v>259867</v>
      </c>
      <c r="V205" s="177">
        <f ca="1">IFERROR(__xludf.DUMMYFUNCTION("VLOOKUP(C205,IMPORTRANGE(""https://docs.google.com/spreadsheets/d/1heLiqWF_2HiP-P9QpK84CTP6DxpoT_aG9fTdG9C1JMk/edit?gid=1535728046#gid=1535728046"",""DATA_ABSEN_JUNI25""),41,0)"),2)</f>
        <v>2</v>
      </c>
      <c r="W205" s="69">
        <f t="shared" ca="1" si="144"/>
        <v>519734</v>
      </c>
      <c r="X205" s="69">
        <v>0</v>
      </c>
      <c r="Y205" s="69">
        <f t="shared" ca="1" si="145"/>
        <v>7185317</v>
      </c>
      <c r="Z205" s="61">
        <f ca="1">IFERROR(__xludf.DUMMYFUNCTION("VLOOKUP(C205,IMPORTRANGE(""https://docs.google.com/spreadsheets/d/1heLiqWF_2HiP-P9QpK84CTP6DxpoT_aG9fTdG9C1JMk/edit?gid=1535728046#gid=1535728046"",""DATA_ABSEN_JUNI25""),42,0)+VLOOKUP(C205,IMPORTRANGE(""https://docs.google.com/spreadsheets/d/1heLiqWF_2Hi"&amp;"P-P9QpK84CTP6DxpoT_aG9fTdG9C1JMk/edit?gid=1535728046#gid=1535728046"",""DATA_ABSEN_JUNI25""),43,0)"),0)</f>
        <v>0</v>
      </c>
      <c r="AA205" s="61">
        <f ca="1">IFERROR(__xludf.DUMMYFUNCTION("VLOOKUP(C205,IMPORTRANGE(""https://docs.google.com/spreadsheets/d/1heLiqWF_2HiP-P9QpK84CTP6DxpoT_aG9fTdG9C1JMk/edit?gid=1535728046#gid=1535728046"",""DATA_ABSEN_JUNI25""),44,0)"),0)</f>
        <v>0</v>
      </c>
      <c r="AB205" s="61">
        <f ca="1">IFERROR(__xludf.DUMMYFUNCTION("VLOOKUP(C205,IMPORTRANGE(""https://docs.google.com/spreadsheets/d/1heLiqWF_2HiP-P9QpK84CTP6DxpoT_aG9fTdG9C1JMk/edit?gid=1535728046#gid=1535728046"",""DATA_ABSEN_JUNI25""),45,0)"),0)</f>
        <v>0</v>
      </c>
      <c r="AC205" s="61">
        <f ca="1">IFERROR(__xludf.DUMMYFUNCTION("VLOOKUP(C205,IMPORTRANGE(""https://docs.google.com/spreadsheets/d/1heLiqWF_2HiP-P9QpK84CTP6DxpoT_aG9fTdG9C1JMk/edit?gid=1535728046#gid=1535728046"",""DATA_ABSEN_JUNI25""),46,0)"),0)</f>
        <v>0</v>
      </c>
      <c r="AD205" s="125">
        <v>0</v>
      </c>
      <c r="AE205" s="69">
        <f t="shared" ca="1" si="146"/>
        <v>0</v>
      </c>
      <c r="AF205" s="20">
        <v>326819</v>
      </c>
      <c r="AG205" s="20">
        <v>176850</v>
      </c>
      <c r="AH205" s="69">
        <v>0</v>
      </c>
      <c r="AI205" s="69" t="e">
        <f t="shared" si="147"/>
        <v>#REF!</v>
      </c>
      <c r="AJ205" s="69">
        <v>0</v>
      </c>
      <c r="AK205" s="69" t="e">
        <f t="shared" si="123"/>
        <v>#REF!</v>
      </c>
      <c r="AL205" s="69">
        <v>0</v>
      </c>
      <c r="AM205" s="69">
        <f t="shared" ca="1" si="148"/>
        <v>503669</v>
      </c>
      <c r="AN205" s="69">
        <f t="shared" ca="1" si="149"/>
        <v>6681648</v>
      </c>
      <c r="AO205" s="69">
        <f t="shared" ca="1" si="150"/>
        <v>87296.347500000003</v>
      </c>
      <c r="AP205" s="69">
        <f t="shared" ca="1" si="151"/>
        <v>6594351.6524999999</v>
      </c>
      <c r="AQ205" s="69">
        <f t="shared" ca="1" si="152"/>
        <v>6594351.6524999999</v>
      </c>
      <c r="AR205" s="70">
        <f t="shared" ca="1" si="153"/>
        <v>6594351.6524999999</v>
      </c>
      <c r="AS205" s="113"/>
      <c r="AT205" s="73" t="s">
        <v>9</v>
      </c>
      <c r="AU205" s="61" t="s">
        <v>10</v>
      </c>
      <c r="AV205" s="69">
        <f t="shared" si="154"/>
        <v>3537000</v>
      </c>
      <c r="AW205" s="69">
        <f t="shared" ca="1" si="155"/>
        <v>2766394</v>
      </c>
      <c r="AX205" s="69">
        <f t="shared" ca="1" si="156"/>
        <v>519734</v>
      </c>
      <c r="AY205" s="69">
        <v>0</v>
      </c>
      <c r="AZ205" s="69">
        <f t="shared" si="157"/>
        <v>8488.7999999999993</v>
      </c>
      <c r="BA205" s="69">
        <f t="shared" si="158"/>
        <v>10611</v>
      </c>
      <c r="BB205" s="69">
        <f t="shared" si="159"/>
        <v>141480</v>
      </c>
      <c r="BC205" s="69">
        <f t="shared" ca="1" si="160"/>
        <v>6983707.7999999998</v>
      </c>
      <c r="BD205" s="74">
        <f ca="1">IF(AU205="C",VLOOKUP(BC205,TER!$J$4:$L$50,3,TRUE),IF(AU205="B",VLOOKUP(BC205,TER!$F$4:$H$50,3,TRUE),IF(AU205="A",VLOOKUP(BC205,TER!$B$4:$D$50,3,TRUE),"ERROR")))</f>
        <v>1.2500000000000001E-2</v>
      </c>
      <c r="BE205" s="69">
        <f t="shared" ca="1" si="161"/>
        <v>87296.347500000003</v>
      </c>
      <c r="BF205" s="113"/>
      <c r="BG205" s="113"/>
    </row>
    <row r="206" spans="1:59" ht="13.5" hidden="1" customHeight="1">
      <c r="A206" s="113"/>
      <c r="B206" s="224">
        <v>51</v>
      </c>
      <c r="C206" s="68" t="s">
        <v>553</v>
      </c>
      <c r="D206" s="66" t="s">
        <v>554</v>
      </c>
      <c r="E206" s="67" t="s">
        <v>57</v>
      </c>
      <c r="F206" s="68" t="s">
        <v>555</v>
      </c>
      <c r="G206" s="67" t="s">
        <v>31</v>
      </c>
      <c r="H206" s="66" t="s">
        <v>32</v>
      </c>
      <c r="I206" s="69">
        <f t="shared" si="138"/>
        <v>3537000</v>
      </c>
      <c r="J206" s="70">
        <v>220709</v>
      </c>
      <c r="K206" s="70">
        <v>141480</v>
      </c>
      <c r="L206" s="70">
        <v>2766394</v>
      </c>
      <c r="M206" s="69">
        <f t="shared" ca="1" si="139"/>
        <v>115266.41666666667</v>
      </c>
      <c r="N206" s="61">
        <f ca="1">IFERROR(__xludf.DUMMYFUNCTION("VLOOKUP(C206,IMPORTRANGE(""https://docs.google.com/spreadsheets/d/1heLiqWF_2HiP-P9QpK84CTP6DxpoT_aG9fTdG9C1JMk/edit?gid=1535728046#gid=1535728046"",""DATA_ABSEN_JUNI25""),39,0)"),24)</f>
        <v>24</v>
      </c>
      <c r="O206" s="61">
        <f ca="1">IFERROR(__xludf.DUMMYFUNCTION("VLOOKUP(C206,IMPORTRANGE(""https://docs.google.com/spreadsheets/d/1heLiqWF_2HiP-P9QpK84CTP6DxpoT_aG9fTdG9C1JMk/edit?gid=1535728046#gid=1535728046"",""DATA_ABSEN_JUNI25""),40,0)"),24)</f>
        <v>24</v>
      </c>
      <c r="P206" s="69">
        <f t="shared" ca="1" si="140"/>
        <v>2766394</v>
      </c>
      <c r="Q206" s="66"/>
      <c r="R206" s="69">
        <f t="shared" si="141"/>
        <v>6665583</v>
      </c>
      <c r="S206" s="69">
        <f t="shared" ca="1" si="142"/>
        <v>6665583</v>
      </c>
      <c r="T206" s="69">
        <f t="shared" ca="1" si="143"/>
        <v>0</v>
      </c>
      <c r="U206" s="20">
        <v>259867</v>
      </c>
      <c r="V206" s="177">
        <f ca="1">IFERROR(__xludf.DUMMYFUNCTION("VLOOKUP(C206,IMPORTRANGE(""https://docs.google.com/spreadsheets/d/1heLiqWF_2HiP-P9QpK84CTP6DxpoT_aG9fTdG9C1JMk/edit?gid=1535728046#gid=1535728046"",""DATA_ABSEN_JUNI25""),41,0)"),2)</f>
        <v>2</v>
      </c>
      <c r="W206" s="69">
        <f t="shared" ca="1" si="144"/>
        <v>519734</v>
      </c>
      <c r="X206" s="69">
        <v>0</v>
      </c>
      <c r="Y206" s="69">
        <f t="shared" ca="1" si="145"/>
        <v>7185317</v>
      </c>
      <c r="Z206" s="61">
        <f ca="1">IFERROR(__xludf.DUMMYFUNCTION("VLOOKUP(C206,IMPORTRANGE(""https://docs.google.com/spreadsheets/d/1heLiqWF_2HiP-P9QpK84CTP6DxpoT_aG9fTdG9C1JMk/edit?gid=1535728046#gid=1535728046"",""DATA_ABSEN_JUNI25""),42,0)+VLOOKUP(C206,IMPORTRANGE(""https://docs.google.com/spreadsheets/d/1heLiqWF_2Hi"&amp;"P-P9QpK84CTP6DxpoT_aG9fTdG9C1JMk/edit?gid=1535728046#gid=1535728046"",""DATA_ABSEN_JUNI25""),43,0)"),0)</f>
        <v>0</v>
      </c>
      <c r="AA206" s="61">
        <f ca="1">IFERROR(__xludf.DUMMYFUNCTION("VLOOKUP(C206,IMPORTRANGE(""https://docs.google.com/spreadsheets/d/1heLiqWF_2HiP-P9QpK84CTP6DxpoT_aG9fTdG9C1JMk/edit?gid=1535728046#gid=1535728046"",""DATA_ABSEN_JUNI25""),44,0)"),0)</f>
        <v>0</v>
      </c>
      <c r="AB206" s="61">
        <f ca="1">IFERROR(__xludf.DUMMYFUNCTION("VLOOKUP(C206,IMPORTRANGE(""https://docs.google.com/spreadsheets/d/1heLiqWF_2HiP-P9QpK84CTP6DxpoT_aG9fTdG9C1JMk/edit?gid=1535728046#gid=1535728046"",""DATA_ABSEN_JUNI25""),45,0)"),0)</f>
        <v>0</v>
      </c>
      <c r="AC206" s="61">
        <f ca="1">IFERROR(__xludf.DUMMYFUNCTION("VLOOKUP(C206,IMPORTRANGE(""https://docs.google.com/spreadsheets/d/1heLiqWF_2HiP-P9QpK84CTP6DxpoT_aG9fTdG9C1JMk/edit?gid=1535728046#gid=1535728046"",""DATA_ABSEN_JUNI25""),46,0)"),0)</f>
        <v>0</v>
      </c>
      <c r="AD206" s="125">
        <v>0</v>
      </c>
      <c r="AE206" s="69">
        <f t="shared" ca="1" si="146"/>
        <v>0</v>
      </c>
      <c r="AF206" s="20">
        <v>326819</v>
      </c>
      <c r="AG206" s="20">
        <v>176850</v>
      </c>
      <c r="AH206" s="69">
        <v>0</v>
      </c>
      <c r="AI206" s="69" t="e">
        <f t="shared" si="147"/>
        <v>#REF!</v>
      </c>
      <c r="AJ206" s="69">
        <v>0</v>
      </c>
      <c r="AK206" s="69" t="e">
        <f t="shared" si="123"/>
        <v>#REF!</v>
      </c>
      <c r="AL206" s="69">
        <v>0</v>
      </c>
      <c r="AM206" s="69">
        <f t="shared" ca="1" si="148"/>
        <v>503669</v>
      </c>
      <c r="AN206" s="69">
        <f t="shared" ca="1" si="149"/>
        <v>6681648</v>
      </c>
      <c r="AO206" s="69">
        <f t="shared" ca="1" si="150"/>
        <v>87296.347500000003</v>
      </c>
      <c r="AP206" s="69">
        <f t="shared" ca="1" si="151"/>
        <v>6594351.6524999999</v>
      </c>
      <c r="AQ206" s="69">
        <f t="shared" ca="1" si="152"/>
        <v>6594351.6524999999</v>
      </c>
      <c r="AR206" s="70">
        <f t="shared" ca="1" si="153"/>
        <v>6594351.6524999999</v>
      </c>
      <c r="AS206" s="113"/>
      <c r="AT206" s="73" t="s">
        <v>9</v>
      </c>
      <c r="AU206" s="61" t="s">
        <v>10</v>
      </c>
      <c r="AV206" s="69">
        <f t="shared" si="154"/>
        <v>3537000</v>
      </c>
      <c r="AW206" s="69">
        <f t="shared" ca="1" si="155"/>
        <v>2766394</v>
      </c>
      <c r="AX206" s="69">
        <f t="shared" ca="1" si="156"/>
        <v>519734</v>
      </c>
      <c r="AY206" s="69">
        <v>0</v>
      </c>
      <c r="AZ206" s="69">
        <f t="shared" si="157"/>
        <v>8488.7999999999993</v>
      </c>
      <c r="BA206" s="69">
        <f t="shared" si="158"/>
        <v>10611</v>
      </c>
      <c r="BB206" s="69">
        <f t="shared" si="159"/>
        <v>141480</v>
      </c>
      <c r="BC206" s="69">
        <f t="shared" ca="1" si="160"/>
        <v>6983707.7999999998</v>
      </c>
      <c r="BD206" s="74">
        <f ca="1">IF(AU206="C",VLOOKUP(BC206,TER!$J$4:$L$50,3,TRUE),IF(AU206="B",VLOOKUP(BC206,TER!$F$4:$H$50,3,TRUE),IF(AU206="A",VLOOKUP(BC206,TER!$B$4:$D$50,3,TRUE),"ERROR")))</f>
        <v>1.2500000000000001E-2</v>
      </c>
      <c r="BE206" s="69">
        <f t="shared" ca="1" si="161"/>
        <v>87296.347500000003</v>
      </c>
      <c r="BF206" s="113"/>
      <c r="BG206" s="113"/>
    </row>
    <row r="207" spans="1:59" ht="13.5" hidden="1" customHeight="1">
      <c r="A207" s="113"/>
      <c r="B207" s="224">
        <v>52</v>
      </c>
      <c r="C207" s="68" t="s">
        <v>556</v>
      </c>
      <c r="D207" s="98" t="s">
        <v>557</v>
      </c>
      <c r="E207" s="67" t="s">
        <v>57</v>
      </c>
      <c r="F207" s="68" t="s">
        <v>558</v>
      </c>
      <c r="G207" s="67" t="s">
        <v>31</v>
      </c>
      <c r="H207" s="66" t="s">
        <v>32</v>
      </c>
      <c r="I207" s="69">
        <f t="shared" si="138"/>
        <v>3537000</v>
      </c>
      <c r="J207" s="70">
        <v>220709</v>
      </c>
      <c r="K207" s="70">
        <v>141480</v>
      </c>
      <c r="L207" s="70">
        <v>2766394</v>
      </c>
      <c r="M207" s="69">
        <f t="shared" ca="1" si="139"/>
        <v>115266.41666666667</v>
      </c>
      <c r="N207" s="61">
        <f ca="1">IFERROR(__xludf.DUMMYFUNCTION("VLOOKUP(C207,IMPORTRANGE(""https://docs.google.com/spreadsheets/d/1heLiqWF_2HiP-P9QpK84CTP6DxpoT_aG9fTdG9C1JMk/edit?gid=1535728046#gid=1535728046"",""DATA_ABSEN_JUNI25""),39,0)"),22)</f>
        <v>22</v>
      </c>
      <c r="O207" s="61">
        <f ca="1">IFERROR(__xludf.DUMMYFUNCTION("VLOOKUP(C207,IMPORTRANGE(""https://docs.google.com/spreadsheets/d/1heLiqWF_2HiP-P9QpK84CTP6DxpoT_aG9fTdG9C1JMk/edit?gid=1535728046#gid=1535728046"",""DATA_ABSEN_JUNI25""),40,0)"),24)</f>
        <v>24</v>
      </c>
      <c r="P207" s="69">
        <f t="shared" ca="1" si="140"/>
        <v>2535861.166666667</v>
      </c>
      <c r="Q207" s="66"/>
      <c r="R207" s="69">
        <f t="shared" si="141"/>
        <v>6665583</v>
      </c>
      <c r="S207" s="69">
        <f t="shared" ca="1" si="142"/>
        <v>6435050.166666667</v>
      </c>
      <c r="T207" s="69">
        <f t="shared" ca="1" si="143"/>
        <v>0</v>
      </c>
      <c r="U207" s="20">
        <v>259867</v>
      </c>
      <c r="V207" s="177">
        <f ca="1">IFERROR(__xludf.DUMMYFUNCTION("VLOOKUP(C207,IMPORTRANGE(""https://docs.google.com/spreadsheets/d/1heLiqWF_2HiP-P9QpK84CTP6DxpoT_aG9fTdG9C1JMk/edit?gid=1535728046#gid=1535728046"",""DATA_ABSEN_JUNI25""),41,0)"),1)</f>
        <v>1</v>
      </c>
      <c r="W207" s="69">
        <f t="shared" ca="1" si="144"/>
        <v>259867</v>
      </c>
      <c r="X207" s="69">
        <v>0</v>
      </c>
      <c r="Y207" s="69">
        <f t="shared" ca="1" si="145"/>
        <v>6694917.166666667</v>
      </c>
      <c r="Z207" s="61">
        <f ca="1">IFERROR(__xludf.DUMMYFUNCTION("VLOOKUP(C207,IMPORTRANGE(""https://docs.google.com/spreadsheets/d/1heLiqWF_2HiP-P9QpK84CTP6DxpoT_aG9fTdG9C1JMk/edit?gid=1535728046#gid=1535728046"",""DATA_ABSEN_JUNI25""),42,0)+VLOOKUP(C207,IMPORTRANGE(""https://docs.google.com/spreadsheets/d/1heLiqWF_2Hi"&amp;"P-P9QpK84CTP6DxpoT_aG9fTdG9C1JMk/edit?gid=1535728046#gid=1535728046"",""DATA_ABSEN_JUNI25""),43,0)"),0)</f>
        <v>0</v>
      </c>
      <c r="AA207" s="61">
        <f ca="1">IFERROR(__xludf.DUMMYFUNCTION("VLOOKUP(C207,IMPORTRANGE(""https://docs.google.com/spreadsheets/d/1heLiqWF_2HiP-P9QpK84CTP6DxpoT_aG9fTdG9C1JMk/edit?gid=1535728046#gid=1535728046"",""DATA_ABSEN_JUNI25""),44,0)"),2)</f>
        <v>2</v>
      </c>
      <c r="AB207" s="61">
        <f ca="1">IFERROR(__xludf.DUMMYFUNCTION("VLOOKUP(C207,IMPORTRANGE(""https://docs.google.com/spreadsheets/d/1heLiqWF_2HiP-P9QpK84CTP6DxpoT_aG9fTdG9C1JMk/edit?gid=1535728046#gid=1535728046"",""DATA_ABSEN_JUNI25""),45,0)"),0)</f>
        <v>0</v>
      </c>
      <c r="AC207" s="61">
        <f ca="1">IFERROR(__xludf.DUMMYFUNCTION("VLOOKUP(C207,IMPORTRANGE(""https://docs.google.com/spreadsheets/d/1heLiqWF_2HiP-P9QpK84CTP6DxpoT_aG9fTdG9C1JMk/edit?gid=1535728046#gid=1535728046"",""DATA_ABSEN_JUNI25""),46,0)"),0)</f>
        <v>0</v>
      </c>
      <c r="AD207" s="125">
        <v>0</v>
      </c>
      <c r="AE207" s="69">
        <f t="shared" ca="1" si="146"/>
        <v>519734</v>
      </c>
      <c r="AF207" s="20">
        <v>326819</v>
      </c>
      <c r="AG207" s="20">
        <v>176850</v>
      </c>
      <c r="AH207" s="69">
        <v>0</v>
      </c>
      <c r="AI207" s="69" t="e">
        <f t="shared" si="147"/>
        <v>#REF!</v>
      </c>
      <c r="AJ207" s="69">
        <v>0</v>
      </c>
      <c r="AK207" s="69" t="e">
        <f t="shared" si="123"/>
        <v>#REF!</v>
      </c>
      <c r="AL207" s="69">
        <v>0</v>
      </c>
      <c r="AM207" s="69">
        <f t="shared" ca="1" si="148"/>
        <v>1023403</v>
      </c>
      <c r="AN207" s="69">
        <f t="shared" ca="1" si="149"/>
        <v>5671514.166666667</v>
      </c>
      <c r="AO207" s="69">
        <f t="shared" ca="1" si="150"/>
        <v>64933.079666666672</v>
      </c>
      <c r="AP207" s="69">
        <f t="shared" ca="1" si="151"/>
        <v>5606581.0870000003</v>
      </c>
      <c r="AQ207" s="69">
        <f t="shared" ca="1" si="152"/>
        <v>5606581.0870000003</v>
      </c>
      <c r="AR207" s="70">
        <f t="shared" ca="1" si="153"/>
        <v>5606581.0870000003</v>
      </c>
      <c r="AS207" s="113"/>
      <c r="AT207" s="73" t="s">
        <v>9</v>
      </c>
      <c r="AU207" s="61" t="s">
        <v>10</v>
      </c>
      <c r="AV207" s="69">
        <f t="shared" si="154"/>
        <v>3537000</v>
      </c>
      <c r="AW207" s="69">
        <f t="shared" ca="1" si="155"/>
        <v>2535861.166666667</v>
      </c>
      <c r="AX207" s="69">
        <f t="shared" ca="1" si="156"/>
        <v>259867</v>
      </c>
      <c r="AY207" s="69">
        <v>0</v>
      </c>
      <c r="AZ207" s="69">
        <f t="shared" si="157"/>
        <v>8488.7999999999993</v>
      </c>
      <c r="BA207" s="69">
        <f t="shared" si="158"/>
        <v>10611</v>
      </c>
      <c r="BB207" s="69">
        <f t="shared" si="159"/>
        <v>141480</v>
      </c>
      <c r="BC207" s="69">
        <f t="shared" ca="1" si="160"/>
        <v>6493307.9666666668</v>
      </c>
      <c r="BD207" s="74">
        <f ca="1">IF(AU207="C",VLOOKUP(BC207,TER!$J$4:$L$50,3,TRUE),IF(AU207="B",VLOOKUP(BC207,TER!$F$4:$H$50,3,TRUE),IF(AU207="A",VLOOKUP(BC207,TER!$B$4:$D$50,3,TRUE),"ERROR")))</f>
        <v>0.01</v>
      </c>
      <c r="BE207" s="69">
        <f t="shared" ca="1" si="161"/>
        <v>64933.079666666672</v>
      </c>
      <c r="BF207" s="113"/>
      <c r="BG207" s="113"/>
    </row>
    <row r="208" spans="1:59" ht="13.5" hidden="1" customHeight="1">
      <c r="A208" s="113"/>
      <c r="B208" s="224">
        <v>53</v>
      </c>
      <c r="C208" s="68" t="s">
        <v>559</v>
      </c>
      <c r="D208" s="98" t="s">
        <v>560</v>
      </c>
      <c r="E208" s="67" t="s">
        <v>57</v>
      </c>
      <c r="F208" s="68" t="s">
        <v>1259</v>
      </c>
      <c r="G208" s="67" t="s">
        <v>31</v>
      </c>
      <c r="H208" s="66" t="s">
        <v>32</v>
      </c>
      <c r="I208" s="69">
        <f t="shared" si="138"/>
        <v>3537000</v>
      </c>
      <c r="J208" s="70">
        <v>220709</v>
      </c>
      <c r="K208" s="70">
        <v>141480</v>
      </c>
      <c r="L208" s="70">
        <v>2766394</v>
      </c>
      <c r="M208" s="69">
        <f t="shared" ca="1" si="139"/>
        <v>115266.41666666667</v>
      </c>
      <c r="N208" s="61">
        <f ca="1">IFERROR(__xludf.DUMMYFUNCTION("VLOOKUP(C208,IMPORTRANGE(""https://docs.google.com/spreadsheets/d/1heLiqWF_2HiP-P9QpK84CTP6DxpoT_aG9fTdG9C1JMk/edit?gid=1535728046#gid=1535728046"",""DATA_ABSEN_JUNI25""),39,0)"),24)</f>
        <v>24</v>
      </c>
      <c r="O208" s="61">
        <f ca="1">IFERROR(__xludf.DUMMYFUNCTION("VLOOKUP(C208,IMPORTRANGE(""https://docs.google.com/spreadsheets/d/1heLiqWF_2HiP-P9QpK84CTP6DxpoT_aG9fTdG9C1JMk/edit?gid=1535728046#gid=1535728046"",""DATA_ABSEN_JUNI25""),40,0)"),24)</f>
        <v>24</v>
      </c>
      <c r="P208" s="69">
        <f t="shared" ca="1" si="140"/>
        <v>2766394</v>
      </c>
      <c r="Q208" s="66"/>
      <c r="R208" s="69">
        <f t="shared" si="141"/>
        <v>6665583</v>
      </c>
      <c r="S208" s="69">
        <f t="shared" ca="1" si="142"/>
        <v>6665583</v>
      </c>
      <c r="T208" s="69">
        <f t="shared" ca="1" si="143"/>
        <v>0</v>
      </c>
      <c r="U208" s="20">
        <v>259867</v>
      </c>
      <c r="V208" s="177">
        <f ca="1">IFERROR(__xludf.DUMMYFUNCTION("VLOOKUP(C208,IMPORTRANGE(""https://docs.google.com/spreadsheets/d/1heLiqWF_2HiP-P9QpK84CTP6DxpoT_aG9fTdG9C1JMk/edit?gid=1535728046#gid=1535728046"",""DATA_ABSEN_JUNI25""),41,0)"),1)</f>
        <v>1</v>
      </c>
      <c r="W208" s="69">
        <f t="shared" ca="1" si="144"/>
        <v>259867</v>
      </c>
      <c r="X208" s="69">
        <v>0</v>
      </c>
      <c r="Y208" s="69">
        <f t="shared" ca="1" si="145"/>
        <v>6925450</v>
      </c>
      <c r="Z208" s="61">
        <f ca="1">IFERROR(__xludf.DUMMYFUNCTION("VLOOKUP(C208,IMPORTRANGE(""https://docs.google.com/spreadsheets/d/1heLiqWF_2HiP-P9QpK84CTP6DxpoT_aG9fTdG9C1JMk/edit?gid=1535728046#gid=1535728046"",""DATA_ABSEN_JUNI25""),42,0)+VLOOKUP(C208,IMPORTRANGE(""https://docs.google.com/spreadsheets/d/1heLiqWF_2Hi"&amp;"P-P9QpK84CTP6DxpoT_aG9fTdG9C1JMk/edit?gid=1535728046#gid=1535728046"",""DATA_ABSEN_JUNI25""),43,0)"),0)</f>
        <v>0</v>
      </c>
      <c r="AA208" s="61">
        <f ca="1">IFERROR(__xludf.DUMMYFUNCTION("VLOOKUP(C208,IMPORTRANGE(""https://docs.google.com/spreadsheets/d/1heLiqWF_2HiP-P9QpK84CTP6DxpoT_aG9fTdG9C1JMk/edit?gid=1535728046#gid=1535728046"",""DATA_ABSEN_JUNI25""),44,0)"),0)</f>
        <v>0</v>
      </c>
      <c r="AB208" s="61">
        <f ca="1">IFERROR(__xludf.DUMMYFUNCTION("VLOOKUP(C208,IMPORTRANGE(""https://docs.google.com/spreadsheets/d/1heLiqWF_2HiP-P9QpK84CTP6DxpoT_aG9fTdG9C1JMk/edit?gid=1535728046#gid=1535728046"",""DATA_ABSEN_JUNI25""),45,0)"),0)</f>
        <v>0</v>
      </c>
      <c r="AC208" s="61">
        <f ca="1">IFERROR(__xludf.DUMMYFUNCTION("VLOOKUP(C208,IMPORTRANGE(""https://docs.google.com/spreadsheets/d/1heLiqWF_2HiP-P9QpK84CTP6DxpoT_aG9fTdG9C1JMk/edit?gid=1535728046#gid=1535728046"",""DATA_ABSEN_JUNI25""),46,0)"),0)</f>
        <v>0</v>
      </c>
      <c r="AD208" s="125">
        <v>0</v>
      </c>
      <c r="AE208" s="69">
        <f t="shared" ca="1" si="146"/>
        <v>0</v>
      </c>
      <c r="AF208" s="20">
        <v>326819</v>
      </c>
      <c r="AG208" s="20">
        <v>176850</v>
      </c>
      <c r="AH208" s="69">
        <v>0</v>
      </c>
      <c r="AI208" s="69" t="e">
        <f t="shared" si="147"/>
        <v>#REF!</v>
      </c>
      <c r="AJ208" s="69">
        <v>0</v>
      </c>
      <c r="AK208" s="69" t="e">
        <f t="shared" si="123"/>
        <v>#REF!</v>
      </c>
      <c r="AL208" s="69">
        <v>0</v>
      </c>
      <c r="AM208" s="69">
        <f t="shared" ca="1" si="148"/>
        <v>503669</v>
      </c>
      <c r="AN208" s="69">
        <f t="shared" ca="1" si="149"/>
        <v>6421781</v>
      </c>
      <c r="AO208" s="69">
        <f t="shared" ca="1" si="150"/>
        <v>67238.407999999996</v>
      </c>
      <c r="AP208" s="69">
        <f t="shared" ca="1" si="151"/>
        <v>6354542.5920000002</v>
      </c>
      <c r="AQ208" s="69">
        <f t="shared" ca="1" si="152"/>
        <v>6354542.5920000002</v>
      </c>
      <c r="AR208" s="70">
        <f t="shared" ca="1" si="153"/>
        <v>6354542.5920000002</v>
      </c>
      <c r="AS208" s="113"/>
      <c r="AT208" s="73" t="s">
        <v>9</v>
      </c>
      <c r="AU208" s="61" t="s">
        <v>10</v>
      </c>
      <c r="AV208" s="69">
        <f t="shared" si="154"/>
        <v>3537000</v>
      </c>
      <c r="AW208" s="69">
        <f t="shared" ca="1" si="155"/>
        <v>2766394</v>
      </c>
      <c r="AX208" s="69">
        <f t="shared" ca="1" si="156"/>
        <v>259867</v>
      </c>
      <c r="AY208" s="69">
        <v>0</v>
      </c>
      <c r="AZ208" s="69">
        <f t="shared" si="157"/>
        <v>8488.7999999999993</v>
      </c>
      <c r="BA208" s="69">
        <f t="shared" si="158"/>
        <v>10611</v>
      </c>
      <c r="BB208" s="69">
        <f t="shared" si="159"/>
        <v>141480</v>
      </c>
      <c r="BC208" s="69">
        <f t="shared" ca="1" si="160"/>
        <v>6723840.7999999998</v>
      </c>
      <c r="BD208" s="74">
        <f ca="1">IF(AU208="C",VLOOKUP(BC208,TER!$J$4:$L$50,3,TRUE),IF(AU208="B",VLOOKUP(BC208,TER!$F$4:$H$50,3,TRUE),IF(AU208="A",VLOOKUP(BC208,TER!$B$4:$D$50,3,TRUE),"ERROR")))</f>
        <v>0.01</v>
      </c>
      <c r="BE208" s="69">
        <f t="shared" ca="1" si="161"/>
        <v>67238.407999999996</v>
      </c>
      <c r="BF208" s="113"/>
      <c r="BG208" s="113"/>
    </row>
    <row r="209" spans="1:59" ht="13.5" hidden="1" customHeight="1">
      <c r="A209" s="113"/>
      <c r="B209" s="224">
        <v>54</v>
      </c>
      <c r="C209" s="68" t="s">
        <v>561</v>
      </c>
      <c r="D209" s="98" t="s">
        <v>562</v>
      </c>
      <c r="E209" s="67" t="s">
        <v>57</v>
      </c>
      <c r="F209" s="68" t="s">
        <v>1260</v>
      </c>
      <c r="G209" s="67" t="s">
        <v>31</v>
      </c>
      <c r="H209" s="66" t="s">
        <v>32</v>
      </c>
      <c r="I209" s="69">
        <f t="shared" si="138"/>
        <v>3537000</v>
      </c>
      <c r="J209" s="70">
        <v>220709</v>
      </c>
      <c r="K209" s="70">
        <v>141480</v>
      </c>
      <c r="L209" s="70">
        <v>2766394</v>
      </c>
      <c r="M209" s="69">
        <f t="shared" ca="1" si="139"/>
        <v>115266.41666666667</v>
      </c>
      <c r="N209" s="61">
        <f ca="1">IFERROR(__xludf.DUMMYFUNCTION("VLOOKUP(C209,IMPORTRANGE(""https://docs.google.com/spreadsheets/d/1heLiqWF_2HiP-P9QpK84CTP6DxpoT_aG9fTdG9C1JMk/edit?gid=1535728046#gid=1535728046"",""DATA_ABSEN_JUNI25""),39,0)"),23)</f>
        <v>23</v>
      </c>
      <c r="O209" s="61">
        <f ca="1">IFERROR(__xludf.DUMMYFUNCTION("VLOOKUP(C209,IMPORTRANGE(""https://docs.google.com/spreadsheets/d/1heLiqWF_2HiP-P9QpK84CTP6DxpoT_aG9fTdG9C1JMk/edit?gid=1535728046#gid=1535728046"",""DATA_ABSEN_JUNI25""),40,0)"),24)</f>
        <v>24</v>
      </c>
      <c r="P209" s="69">
        <f t="shared" ca="1" si="140"/>
        <v>2651127.5833333335</v>
      </c>
      <c r="Q209" s="66"/>
      <c r="R209" s="69">
        <f t="shared" si="141"/>
        <v>6665583</v>
      </c>
      <c r="S209" s="69">
        <f t="shared" ca="1" si="142"/>
        <v>6550316.583333334</v>
      </c>
      <c r="T209" s="69">
        <f t="shared" ca="1" si="143"/>
        <v>0</v>
      </c>
      <c r="U209" s="20">
        <v>259867</v>
      </c>
      <c r="V209" s="177">
        <f ca="1">IFERROR(__xludf.DUMMYFUNCTION("VLOOKUP(C209,IMPORTRANGE(""https://docs.google.com/spreadsheets/d/1heLiqWF_2HiP-P9QpK84CTP6DxpoT_aG9fTdG9C1JMk/edit?gid=1535728046#gid=1535728046"",""DATA_ABSEN_JUNI25""),41,0)"),1)</f>
        <v>1</v>
      </c>
      <c r="W209" s="69">
        <f t="shared" ca="1" si="144"/>
        <v>259867</v>
      </c>
      <c r="X209" s="69">
        <v>0</v>
      </c>
      <c r="Y209" s="69">
        <f t="shared" ca="1" si="145"/>
        <v>6810183.583333334</v>
      </c>
      <c r="Z209" s="61">
        <f ca="1">IFERROR(__xludf.DUMMYFUNCTION("VLOOKUP(C209,IMPORTRANGE(""https://docs.google.com/spreadsheets/d/1heLiqWF_2HiP-P9QpK84CTP6DxpoT_aG9fTdG9C1JMk/edit?gid=1535728046#gid=1535728046"",""DATA_ABSEN_JUNI25""),42,0)+VLOOKUP(C209,IMPORTRANGE(""https://docs.google.com/spreadsheets/d/1heLiqWF_2Hi"&amp;"P-P9QpK84CTP6DxpoT_aG9fTdG9C1JMk/edit?gid=1535728046#gid=1535728046"",""DATA_ABSEN_JUNI25""),43,0)"),0)</f>
        <v>0</v>
      </c>
      <c r="AA209" s="61">
        <f ca="1">IFERROR(__xludf.DUMMYFUNCTION("VLOOKUP(C209,IMPORTRANGE(""https://docs.google.com/spreadsheets/d/1heLiqWF_2HiP-P9QpK84CTP6DxpoT_aG9fTdG9C1JMk/edit?gid=1535728046#gid=1535728046"",""DATA_ABSEN_JUNI25""),44,0)"),1)</f>
        <v>1</v>
      </c>
      <c r="AB209" s="61">
        <f ca="1">IFERROR(__xludf.DUMMYFUNCTION("VLOOKUP(C209,IMPORTRANGE(""https://docs.google.com/spreadsheets/d/1heLiqWF_2HiP-P9QpK84CTP6DxpoT_aG9fTdG9C1JMk/edit?gid=1535728046#gid=1535728046"",""DATA_ABSEN_JUNI25""),45,0)"),0)</f>
        <v>0</v>
      </c>
      <c r="AC209" s="61">
        <f ca="1">IFERROR(__xludf.DUMMYFUNCTION("VLOOKUP(C209,IMPORTRANGE(""https://docs.google.com/spreadsheets/d/1heLiqWF_2HiP-P9QpK84CTP6DxpoT_aG9fTdG9C1JMk/edit?gid=1535728046#gid=1535728046"",""DATA_ABSEN_JUNI25""),46,0)"),0)</f>
        <v>0</v>
      </c>
      <c r="AD209" s="125">
        <v>0</v>
      </c>
      <c r="AE209" s="69">
        <f t="shared" ca="1" si="146"/>
        <v>259867</v>
      </c>
      <c r="AF209" s="20">
        <v>326819</v>
      </c>
      <c r="AG209" s="20">
        <v>176850</v>
      </c>
      <c r="AH209" s="69">
        <v>0</v>
      </c>
      <c r="AI209" s="69" t="e">
        <f t="shared" si="147"/>
        <v>#REF!</v>
      </c>
      <c r="AJ209" s="69">
        <v>0</v>
      </c>
      <c r="AK209" s="69" t="e">
        <f t="shared" si="123"/>
        <v>#REF!</v>
      </c>
      <c r="AL209" s="69">
        <v>0</v>
      </c>
      <c r="AM209" s="69">
        <f t="shared" ca="1" si="148"/>
        <v>763536</v>
      </c>
      <c r="AN209" s="69">
        <f t="shared" ca="1" si="149"/>
        <v>6046647.583333334</v>
      </c>
      <c r="AO209" s="69">
        <f t="shared" ca="1" si="150"/>
        <v>33042.871916666671</v>
      </c>
      <c r="AP209" s="69">
        <f t="shared" ca="1" si="151"/>
        <v>6013604.7114166673</v>
      </c>
      <c r="AQ209" s="69">
        <f t="shared" ca="1" si="152"/>
        <v>6013604.7114166673</v>
      </c>
      <c r="AR209" s="70">
        <f t="shared" ca="1" si="153"/>
        <v>6013604.7114166673</v>
      </c>
      <c r="AS209" s="113"/>
      <c r="AT209" s="73" t="s">
        <v>17</v>
      </c>
      <c r="AU209" s="61" t="s">
        <v>15</v>
      </c>
      <c r="AV209" s="69">
        <f t="shared" si="154"/>
        <v>3537000</v>
      </c>
      <c r="AW209" s="69">
        <f t="shared" ca="1" si="155"/>
        <v>2651127.5833333335</v>
      </c>
      <c r="AX209" s="69">
        <f t="shared" ca="1" si="156"/>
        <v>259867</v>
      </c>
      <c r="AY209" s="69">
        <v>0</v>
      </c>
      <c r="AZ209" s="69">
        <f t="shared" si="157"/>
        <v>8488.7999999999993</v>
      </c>
      <c r="BA209" s="69">
        <f t="shared" si="158"/>
        <v>10611</v>
      </c>
      <c r="BB209" s="69">
        <f t="shared" si="159"/>
        <v>141480</v>
      </c>
      <c r="BC209" s="69">
        <f t="shared" ca="1" si="160"/>
        <v>6608574.3833333338</v>
      </c>
      <c r="BD209" s="74">
        <f ca="1">IF(AU209="C",VLOOKUP(BC209,TER!$J$4:$L$50,3,TRUE),IF(AU209="B",VLOOKUP(BC209,TER!$F$4:$H$50,3,TRUE),IF(AU209="A",VLOOKUP(BC209,TER!$B$4:$D$50,3,TRUE),"ERROR")))</f>
        <v>5.0000000000000001E-3</v>
      </c>
      <c r="BE209" s="69">
        <f t="shared" ca="1" si="161"/>
        <v>33042.871916666671</v>
      </c>
      <c r="BF209" s="113"/>
      <c r="BG209" s="113"/>
    </row>
    <row r="210" spans="1:59" ht="13.5" hidden="1" customHeight="1">
      <c r="A210" s="113"/>
      <c r="B210" s="224">
        <v>55</v>
      </c>
      <c r="C210" s="124" t="s">
        <v>563</v>
      </c>
      <c r="D210" s="98" t="s">
        <v>564</v>
      </c>
      <c r="E210" s="67" t="s">
        <v>57</v>
      </c>
      <c r="F210" s="68" t="s">
        <v>565</v>
      </c>
      <c r="G210" s="67" t="s">
        <v>31</v>
      </c>
      <c r="H210" s="66" t="s">
        <v>32</v>
      </c>
      <c r="I210" s="69">
        <f t="shared" si="138"/>
        <v>3537000</v>
      </c>
      <c r="J210" s="70">
        <v>220709</v>
      </c>
      <c r="K210" s="70">
        <v>141480</v>
      </c>
      <c r="L210" s="70">
        <v>2766394</v>
      </c>
      <c r="M210" s="69">
        <f t="shared" ca="1" si="139"/>
        <v>115266.41666666667</v>
      </c>
      <c r="N210" s="61">
        <f ca="1">IFERROR(__xludf.DUMMYFUNCTION("VLOOKUP(C210,IMPORTRANGE(""https://docs.google.com/spreadsheets/d/1heLiqWF_2HiP-P9QpK84CTP6DxpoT_aG9fTdG9C1JMk/edit?gid=1535728046#gid=1535728046"",""DATA_ABSEN_JUNI25""),39,0)"),18)</f>
        <v>18</v>
      </c>
      <c r="O210" s="61">
        <f ca="1">IFERROR(__xludf.DUMMYFUNCTION("VLOOKUP(C210,IMPORTRANGE(""https://docs.google.com/spreadsheets/d/1heLiqWF_2HiP-P9QpK84CTP6DxpoT_aG9fTdG9C1JMk/edit?gid=1535728046#gid=1535728046"",""DATA_ABSEN_JUNI25""),40,0)"),24)</f>
        <v>24</v>
      </c>
      <c r="P210" s="69">
        <f t="shared" ca="1" si="140"/>
        <v>2074795.5</v>
      </c>
      <c r="Q210" s="66"/>
      <c r="R210" s="69">
        <f t="shared" si="141"/>
        <v>6665583</v>
      </c>
      <c r="S210" s="69">
        <f t="shared" ca="1" si="142"/>
        <v>5973984.5</v>
      </c>
      <c r="T210" s="69">
        <f t="shared" ca="1" si="143"/>
        <v>0</v>
      </c>
      <c r="U210" s="20">
        <v>259867</v>
      </c>
      <c r="V210" s="177">
        <f ca="1">IFERROR(__xludf.DUMMYFUNCTION("VLOOKUP(C210,IMPORTRANGE(""https://docs.google.com/spreadsheets/d/1heLiqWF_2HiP-P9QpK84CTP6DxpoT_aG9fTdG9C1JMk/edit?gid=1535728046#gid=1535728046"",""DATA_ABSEN_JUNI25""),41,0)"),1)</f>
        <v>1</v>
      </c>
      <c r="W210" s="69">
        <f t="shared" ca="1" si="144"/>
        <v>259867</v>
      </c>
      <c r="X210" s="69">
        <v>0</v>
      </c>
      <c r="Y210" s="69">
        <f t="shared" ca="1" si="145"/>
        <v>6233851.5</v>
      </c>
      <c r="Z210" s="61">
        <f ca="1">IFERROR(__xludf.DUMMYFUNCTION("VLOOKUP(C210,IMPORTRANGE(""https://docs.google.com/spreadsheets/d/1heLiqWF_2HiP-P9QpK84CTP6DxpoT_aG9fTdG9C1JMk/edit?gid=1535728046#gid=1535728046"",""DATA_ABSEN_JUNI25""),42,0)+VLOOKUP(C210,IMPORTRANGE(""https://docs.google.com/spreadsheets/d/1heLiqWF_2Hi"&amp;"P-P9QpK84CTP6DxpoT_aG9fTdG9C1JMk/edit?gid=1535728046#gid=1535728046"",""DATA_ABSEN_JUNI25""),43,0)"),0)</f>
        <v>0</v>
      </c>
      <c r="AA210" s="61">
        <f ca="1">IFERROR(__xludf.DUMMYFUNCTION("VLOOKUP(C210,IMPORTRANGE(""https://docs.google.com/spreadsheets/d/1heLiqWF_2HiP-P9QpK84CTP6DxpoT_aG9fTdG9C1JMk/edit?gid=1535728046#gid=1535728046"",""DATA_ABSEN_JUNI25""),44,0)"),3)</f>
        <v>3</v>
      </c>
      <c r="AB210" s="61">
        <f ca="1">IFERROR(__xludf.DUMMYFUNCTION("VLOOKUP(C210,IMPORTRANGE(""https://docs.google.com/spreadsheets/d/1heLiqWF_2HiP-P9QpK84CTP6DxpoT_aG9fTdG9C1JMk/edit?gid=1535728046#gid=1535728046"",""DATA_ABSEN_JUNI25""),45,0)"),3)</f>
        <v>3</v>
      </c>
      <c r="AC210" s="61">
        <f ca="1">IFERROR(__xludf.DUMMYFUNCTION("VLOOKUP(C210,IMPORTRANGE(""https://docs.google.com/spreadsheets/d/1heLiqWF_2HiP-P9QpK84CTP6DxpoT_aG9fTdG9C1JMk/edit?gid=1535728046#gid=1535728046"",""DATA_ABSEN_JUNI25""),46,0)"),0)</f>
        <v>0</v>
      </c>
      <c r="AD210" s="125">
        <v>0</v>
      </c>
      <c r="AE210" s="69">
        <f t="shared" ca="1" si="146"/>
        <v>779601</v>
      </c>
      <c r="AF210" s="20">
        <v>326819</v>
      </c>
      <c r="AG210" s="20">
        <v>176850</v>
      </c>
      <c r="AH210" s="69">
        <v>0</v>
      </c>
      <c r="AI210" s="69" t="e">
        <f t="shared" si="147"/>
        <v>#REF!</v>
      </c>
      <c r="AJ210" s="69">
        <v>0</v>
      </c>
      <c r="AK210" s="69" t="e">
        <f t="shared" si="123"/>
        <v>#REF!</v>
      </c>
      <c r="AL210" s="69">
        <v>0</v>
      </c>
      <c r="AM210" s="69">
        <f t="shared" ca="1" si="148"/>
        <v>1283270</v>
      </c>
      <c r="AN210" s="69">
        <f t="shared" ca="1" si="149"/>
        <v>4950581.5</v>
      </c>
      <c r="AO210" s="69">
        <f t="shared" ca="1" si="150"/>
        <v>45241.81725</v>
      </c>
      <c r="AP210" s="69">
        <f t="shared" ca="1" si="151"/>
        <v>4905339.6827499997</v>
      </c>
      <c r="AQ210" s="69">
        <f t="shared" ca="1" si="152"/>
        <v>4905339.6827499997</v>
      </c>
      <c r="AR210" s="70">
        <f t="shared" ca="1" si="153"/>
        <v>4905339.6827499997</v>
      </c>
      <c r="AS210" s="113"/>
      <c r="AT210" s="73" t="s">
        <v>9</v>
      </c>
      <c r="AU210" s="61" t="s">
        <v>10</v>
      </c>
      <c r="AV210" s="69">
        <f t="shared" si="154"/>
        <v>3537000</v>
      </c>
      <c r="AW210" s="69">
        <f t="shared" ca="1" si="155"/>
        <v>2074795.5</v>
      </c>
      <c r="AX210" s="69">
        <f t="shared" ca="1" si="156"/>
        <v>259867</v>
      </c>
      <c r="AY210" s="69">
        <v>0</v>
      </c>
      <c r="AZ210" s="69">
        <f t="shared" si="157"/>
        <v>8488.7999999999993</v>
      </c>
      <c r="BA210" s="69">
        <f t="shared" si="158"/>
        <v>10611</v>
      </c>
      <c r="BB210" s="69">
        <f t="shared" si="159"/>
        <v>141480</v>
      </c>
      <c r="BC210" s="69">
        <f t="shared" ca="1" si="160"/>
        <v>6032242.2999999998</v>
      </c>
      <c r="BD210" s="74">
        <f ca="1">IF(AU210="C",VLOOKUP(BC210,TER!$J$4:$L$50,3,TRUE),IF(AU210="B",VLOOKUP(BC210,TER!$F$4:$H$50,3,TRUE),IF(AU210="A",VLOOKUP(BC210,TER!$B$4:$D$50,3,TRUE),"ERROR")))</f>
        <v>7.4999999999999997E-3</v>
      </c>
      <c r="BE210" s="69">
        <f t="shared" ca="1" si="161"/>
        <v>45241.81725</v>
      </c>
      <c r="BF210" s="113"/>
      <c r="BG210" s="113"/>
    </row>
    <row r="211" spans="1:59" ht="13.5" hidden="1" customHeight="1">
      <c r="A211" s="113"/>
      <c r="B211" s="224">
        <v>56</v>
      </c>
      <c r="C211" s="68" t="s">
        <v>566</v>
      </c>
      <c r="D211" s="98" t="s">
        <v>567</v>
      </c>
      <c r="E211" s="67" t="s">
        <v>57</v>
      </c>
      <c r="F211" s="68" t="s">
        <v>568</v>
      </c>
      <c r="G211" s="67" t="s">
        <v>31</v>
      </c>
      <c r="H211" s="66" t="s">
        <v>32</v>
      </c>
      <c r="I211" s="69">
        <f t="shared" si="138"/>
        <v>3537000</v>
      </c>
      <c r="J211" s="70">
        <v>220709</v>
      </c>
      <c r="K211" s="70">
        <v>141480</v>
      </c>
      <c r="L211" s="70">
        <v>2766394</v>
      </c>
      <c r="M211" s="69">
        <f t="shared" ca="1" si="139"/>
        <v>115266.41666666667</v>
      </c>
      <c r="N211" s="61">
        <f ca="1">IFERROR(__xludf.DUMMYFUNCTION("VLOOKUP(C211,IMPORTRANGE(""https://docs.google.com/spreadsheets/d/1heLiqWF_2HiP-P9QpK84CTP6DxpoT_aG9fTdG9C1JMk/edit?gid=1535728046#gid=1535728046"",""DATA_ABSEN_JUNI25""),39,0)"),23)</f>
        <v>23</v>
      </c>
      <c r="O211" s="61">
        <f ca="1">IFERROR(__xludf.DUMMYFUNCTION("VLOOKUP(C211,IMPORTRANGE(""https://docs.google.com/spreadsheets/d/1heLiqWF_2HiP-P9QpK84CTP6DxpoT_aG9fTdG9C1JMk/edit?gid=1535728046#gid=1535728046"",""DATA_ABSEN_JUNI25""),40,0)"),24)</f>
        <v>24</v>
      </c>
      <c r="P211" s="69">
        <f t="shared" ca="1" si="140"/>
        <v>2651127.5833333335</v>
      </c>
      <c r="Q211" s="66"/>
      <c r="R211" s="69">
        <f t="shared" si="141"/>
        <v>6665583</v>
      </c>
      <c r="S211" s="69">
        <f t="shared" ca="1" si="142"/>
        <v>6550316.583333334</v>
      </c>
      <c r="T211" s="69">
        <f t="shared" ca="1" si="143"/>
        <v>0</v>
      </c>
      <c r="U211" s="20">
        <v>259867</v>
      </c>
      <c r="V211" s="177">
        <f ca="1">IFERROR(__xludf.DUMMYFUNCTION("VLOOKUP(C211,IMPORTRANGE(""https://docs.google.com/spreadsheets/d/1heLiqWF_2HiP-P9QpK84CTP6DxpoT_aG9fTdG9C1JMk/edit?gid=1535728046#gid=1535728046"",""DATA_ABSEN_JUNI25""),41,0)"),1)</f>
        <v>1</v>
      </c>
      <c r="W211" s="69">
        <f t="shared" ca="1" si="144"/>
        <v>259867</v>
      </c>
      <c r="X211" s="69">
        <v>0</v>
      </c>
      <c r="Y211" s="69">
        <f t="shared" ca="1" si="145"/>
        <v>6810183.583333334</v>
      </c>
      <c r="Z211" s="61">
        <f ca="1">IFERROR(__xludf.DUMMYFUNCTION("VLOOKUP(C211,IMPORTRANGE(""https://docs.google.com/spreadsheets/d/1heLiqWF_2HiP-P9QpK84CTP6DxpoT_aG9fTdG9C1JMk/edit?gid=1535728046#gid=1535728046"",""DATA_ABSEN_JUNI25""),42,0)+VLOOKUP(C211,IMPORTRANGE(""https://docs.google.com/spreadsheets/d/1heLiqWF_2Hi"&amp;"P-P9QpK84CTP6DxpoT_aG9fTdG9C1JMk/edit?gid=1535728046#gid=1535728046"",""DATA_ABSEN_JUNI25""),43,0)"),0)</f>
        <v>0</v>
      </c>
      <c r="AA211" s="61">
        <f ca="1">IFERROR(__xludf.DUMMYFUNCTION("VLOOKUP(C211,IMPORTRANGE(""https://docs.google.com/spreadsheets/d/1heLiqWF_2HiP-P9QpK84CTP6DxpoT_aG9fTdG9C1JMk/edit?gid=1535728046#gid=1535728046"",""DATA_ABSEN_JUNI25""),44,0)"),1)</f>
        <v>1</v>
      </c>
      <c r="AB211" s="61">
        <f ca="1">IFERROR(__xludf.DUMMYFUNCTION("VLOOKUP(C211,IMPORTRANGE(""https://docs.google.com/spreadsheets/d/1heLiqWF_2HiP-P9QpK84CTP6DxpoT_aG9fTdG9C1JMk/edit?gid=1535728046#gid=1535728046"",""DATA_ABSEN_JUNI25""),45,0)"),0)</f>
        <v>0</v>
      </c>
      <c r="AC211" s="61">
        <f ca="1">IFERROR(__xludf.DUMMYFUNCTION("VLOOKUP(C211,IMPORTRANGE(""https://docs.google.com/spreadsheets/d/1heLiqWF_2HiP-P9QpK84CTP6DxpoT_aG9fTdG9C1JMk/edit?gid=1535728046#gid=1535728046"",""DATA_ABSEN_JUNI25""),46,0)"),0)</f>
        <v>0</v>
      </c>
      <c r="AD211" s="125">
        <v>0</v>
      </c>
      <c r="AE211" s="69">
        <f t="shared" ca="1" si="146"/>
        <v>259867</v>
      </c>
      <c r="AF211" s="20">
        <v>326819</v>
      </c>
      <c r="AG211" s="20">
        <v>176850</v>
      </c>
      <c r="AH211" s="69">
        <v>0</v>
      </c>
      <c r="AI211" s="69" t="e">
        <f t="shared" si="147"/>
        <v>#REF!</v>
      </c>
      <c r="AJ211" s="69">
        <v>0</v>
      </c>
      <c r="AK211" s="69" t="e">
        <f t="shared" si="123"/>
        <v>#REF!</v>
      </c>
      <c r="AL211" s="69">
        <v>0</v>
      </c>
      <c r="AM211" s="69">
        <f t="shared" ca="1" si="148"/>
        <v>763536</v>
      </c>
      <c r="AN211" s="69">
        <f t="shared" ca="1" si="149"/>
        <v>6046647.583333334</v>
      </c>
      <c r="AO211" s="69">
        <f t="shared" ca="1" si="150"/>
        <v>66085.743833333341</v>
      </c>
      <c r="AP211" s="69">
        <f t="shared" ca="1" si="151"/>
        <v>5980561.8395000007</v>
      </c>
      <c r="AQ211" s="69">
        <f t="shared" ca="1" si="152"/>
        <v>5980561.8395000007</v>
      </c>
      <c r="AR211" s="70">
        <f t="shared" ca="1" si="153"/>
        <v>5980561.8395000007</v>
      </c>
      <c r="AS211" s="113"/>
      <c r="AT211" s="73" t="s">
        <v>9</v>
      </c>
      <c r="AU211" s="61" t="s">
        <v>10</v>
      </c>
      <c r="AV211" s="69">
        <f t="shared" si="154"/>
        <v>3537000</v>
      </c>
      <c r="AW211" s="69">
        <f t="shared" ca="1" si="155"/>
        <v>2651127.5833333335</v>
      </c>
      <c r="AX211" s="69">
        <f t="shared" ca="1" si="156"/>
        <v>259867</v>
      </c>
      <c r="AY211" s="69">
        <v>0</v>
      </c>
      <c r="AZ211" s="69">
        <f t="shared" si="157"/>
        <v>8488.7999999999993</v>
      </c>
      <c r="BA211" s="69">
        <f t="shared" si="158"/>
        <v>10611</v>
      </c>
      <c r="BB211" s="69">
        <f t="shared" si="159"/>
        <v>141480</v>
      </c>
      <c r="BC211" s="69">
        <f t="shared" ca="1" si="160"/>
        <v>6608574.3833333338</v>
      </c>
      <c r="BD211" s="74">
        <f ca="1">IF(AU211="C",VLOOKUP(BC211,TER!$J$4:$L$50,3,TRUE),IF(AU211="B",VLOOKUP(BC211,TER!$F$4:$H$50,3,TRUE),IF(AU211="A",VLOOKUP(BC211,TER!$B$4:$D$50,3,TRUE),"ERROR")))</f>
        <v>0.01</v>
      </c>
      <c r="BE211" s="69">
        <f t="shared" ca="1" si="161"/>
        <v>66085.743833333341</v>
      </c>
      <c r="BF211" s="113"/>
      <c r="BG211" s="113"/>
    </row>
    <row r="212" spans="1:59" ht="13.5" hidden="1" customHeight="1">
      <c r="A212" s="113"/>
      <c r="B212" s="224">
        <v>57</v>
      </c>
      <c r="C212" s="68" t="s">
        <v>77</v>
      </c>
      <c r="D212" s="98" t="s">
        <v>78</v>
      </c>
      <c r="E212" s="67" t="s">
        <v>57</v>
      </c>
      <c r="F212" s="68" t="s">
        <v>79</v>
      </c>
      <c r="G212" s="67" t="s">
        <v>31</v>
      </c>
      <c r="H212" s="66" t="s">
        <v>32</v>
      </c>
      <c r="I212" s="69">
        <f t="shared" si="138"/>
        <v>3537000</v>
      </c>
      <c r="J212" s="70">
        <v>220709</v>
      </c>
      <c r="K212" s="70">
        <v>141480</v>
      </c>
      <c r="L212" s="70">
        <v>2766394</v>
      </c>
      <c r="M212" s="69">
        <f t="shared" ca="1" si="139"/>
        <v>115266.41666666667</v>
      </c>
      <c r="N212" s="61">
        <f ca="1">IFERROR(__xludf.DUMMYFUNCTION("VLOOKUP(C212,IMPORTRANGE(""https://docs.google.com/spreadsheets/d/1heLiqWF_2HiP-P9QpK84CTP6DxpoT_aG9fTdG9C1JMk/edit?gid=1535728046#gid=1535728046"",""DATA_ABSEN_JUNI25""),39,0)"),24)</f>
        <v>24</v>
      </c>
      <c r="O212" s="61">
        <f ca="1">IFERROR(__xludf.DUMMYFUNCTION("VLOOKUP(C212,IMPORTRANGE(""https://docs.google.com/spreadsheets/d/1heLiqWF_2HiP-P9QpK84CTP6DxpoT_aG9fTdG9C1JMk/edit?gid=1535728046#gid=1535728046"",""DATA_ABSEN_JUNI25""),40,0)"),24)</f>
        <v>24</v>
      </c>
      <c r="P212" s="69">
        <f t="shared" ca="1" si="140"/>
        <v>2766394</v>
      </c>
      <c r="Q212" s="66"/>
      <c r="R212" s="69">
        <f t="shared" si="141"/>
        <v>6665583</v>
      </c>
      <c r="S212" s="69">
        <f t="shared" ca="1" si="142"/>
        <v>6665583</v>
      </c>
      <c r="T212" s="69">
        <f t="shared" ca="1" si="143"/>
        <v>0</v>
      </c>
      <c r="U212" s="20">
        <v>259867</v>
      </c>
      <c r="V212" s="177">
        <f ca="1">IFERROR(__xludf.DUMMYFUNCTION("VLOOKUP(C212,IMPORTRANGE(""https://docs.google.com/spreadsheets/d/1heLiqWF_2HiP-P9QpK84CTP6DxpoT_aG9fTdG9C1JMk/edit?gid=1535728046#gid=1535728046"",""DATA_ABSEN_JUNI25""),41,0)"),1)</f>
        <v>1</v>
      </c>
      <c r="W212" s="69">
        <f t="shared" ca="1" si="144"/>
        <v>259867</v>
      </c>
      <c r="X212" s="69">
        <v>0</v>
      </c>
      <c r="Y212" s="69">
        <f t="shared" ca="1" si="145"/>
        <v>6925450</v>
      </c>
      <c r="Z212" s="61">
        <f ca="1">IFERROR(__xludf.DUMMYFUNCTION("VLOOKUP(C212,IMPORTRANGE(""https://docs.google.com/spreadsheets/d/1heLiqWF_2HiP-P9QpK84CTP6DxpoT_aG9fTdG9C1JMk/edit?gid=1535728046#gid=1535728046"",""DATA_ABSEN_JUNI25""),42,0)+VLOOKUP(C212,IMPORTRANGE(""https://docs.google.com/spreadsheets/d/1heLiqWF_2Hi"&amp;"P-P9QpK84CTP6DxpoT_aG9fTdG9C1JMk/edit?gid=1535728046#gid=1535728046"",""DATA_ABSEN_JUNI25""),43,0)"),0)</f>
        <v>0</v>
      </c>
      <c r="AA212" s="61">
        <f ca="1">IFERROR(__xludf.DUMMYFUNCTION("VLOOKUP(C212,IMPORTRANGE(""https://docs.google.com/spreadsheets/d/1heLiqWF_2HiP-P9QpK84CTP6DxpoT_aG9fTdG9C1JMk/edit?gid=1535728046#gid=1535728046"",""DATA_ABSEN_JUNI25""),44,0)"),0)</f>
        <v>0</v>
      </c>
      <c r="AB212" s="61">
        <f ca="1">IFERROR(__xludf.DUMMYFUNCTION("VLOOKUP(C212,IMPORTRANGE(""https://docs.google.com/spreadsheets/d/1heLiqWF_2HiP-P9QpK84CTP6DxpoT_aG9fTdG9C1JMk/edit?gid=1535728046#gid=1535728046"",""DATA_ABSEN_JUNI25""),45,0)"),0)</f>
        <v>0</v>
      </c>
      <c r="AC212" s="61">
        <f ca="1">IFERROR(__xludf.DUMMYFUNCTION("VLOOKUP(C212,IMPORTRANGE(""https://docs.google.com/spreadsheets/d/1heLiqWF_2HiP-P9QpK84CTP6DxpoT_aG9fTdG9C1JMk/edit?gid=1535728046#gid=1535728046"",""DATA_ABSEN_JUNI25""),46,0)"),0)</f>
        <v>0</v>
      </c>
      <c r="AD212" s="125">
        <v>0</v>
      </c>
      <c r="AE212" s="69">
        <f t="shared" ca="1" si="146"/>
        <v>0</v>
      </c>
      <c r="AF212" s="20">
        <v>326819</v>
      </c>
      <c r="AG212" s="20">
        <v>176850</v>
      </c>
      <c r="AH212" s="69">
        <v>0</v>
      </c>
      <c r="AI212" s="69" t="e">
        <f t="shared" si="147"/>
        <v>#REF!</v>
      </c>
      <c r="AJ212" s="69">
        <v>0</v>
      </c>
      <c r="AK212" s="69" t="e">
        <f t="shared" si="123"/>
        <v>#REF!</v>
      </c>
      <c r="AL212" s="69">
        <v>0</v>
      </c>
      <c r="AM212" s="69">
        <f t="shared" ca="1" si="148"/>
        <v>503669</v>
      </c>
      <c r="AN212" s="69">
        <f t="shared" ca="1" si="149"/>
        <v>6421781</v>
      </c>
      <c r="AO212" s="69">
        <f t="shared" ca="1" si="150"/>
        <v>67238.407999999996</v>
      </c>
      <c r="AP212" s="69">
        <f t="shared" ca="1" si="151"/>
        <v>6354542.5920000002</v>
      </c>
      <c r="AQ212" s="69">
        <f t="shared" ca="1" si="152"/>
        <v>6354542.5920000002</v>
      </c>
      <c r="AR212" s="70">
        <f t="shared" ca="1" si="153"/>
        <v>6354542.5920000002</v>
      </c>
      <c r="AS212" s="113"/>
      <c r="AT212" s="73" t="s">
        <v>9</v>
      </c>
      <c r="AU212" s="61" t="s">
        <v>10</v>
      </c>
      <c r="AV212" s="69">
        <f t="shared" si="154"/>
        <v>3537000</v>
      </c>
      <c r="AW212" s="69">
        <f t="shared" ca="1" si="155"/>
        <v>2766394</v>
      </c>
      <c r="AX212" s="69">
        <f t="shared" ca="1" si="156"/>
        <v>259867</v>
      </c>
      <c r="AY212" s="69">
        <v>0</v>
      </c>
      <c r="AZ212" s="69">
        <f t="shared" si="157"/>
        <v>8488.7999999999993</v>
      </c>
      <c r="BA212" s="69">
        <f t="shared" si="158"/>
        <v>10611</v>
      </c>
      <c r="BB212" s="69">
        <f t="shared" si="159"/>
        <v>141480</v>
      </c>
      <c r="BC212" s="69">
        <f t="shared" ca="1" si="160"/>
        <v>6723840.7999999998</v>
      </c>
      <c r="BD212" s="74">
        <f ca="1">IF(AU212="C",VLOOKUP(BC212,TER!$J$4:$L$50,3,TRUE),IF(AU212="B",VLOOKUP(BC212,TER!$F$4:$H$50,3,TRUE),IF(AU212="A",VLOOKUP(BC212,TER!$B$4:$D$50,3,TRUE),"ERROR")))</f>
        <v>0.01</v>
      </c>
      <c r="BE212" s="69">
        <f t="shared" ca="1" si="161"/>
        <v>67238.407999999996</v>
      </c>
      <c r="BF212" s="113"/>
      <c r="BG212" s="113"/>
    </row>
    <row r="213" spans="1:59" ht="13.5" hidden="1" customHeight="1">
      <c r="A213" s="113"/>
      <c r="B213" s="224">
        <v>58</v>
      </c>
      <c r="C213" s="68" t="s">
        <v>569</v>
      </c>
      <c r="D213" s="98" t="s">
        <v>570</v>
      </c>
      <c r="E213" s="67" t="s">
        <v>57</v>
      </c>
      <c r="F213" s="68" t="s">
        <v>571</v>
      </c>
      <c r="G213" s="67" t="s">
        <v>31</v>
      </c>
      <c r="H213" s="66" t="s">
        <v>32</v>
      </c>
      <c r="I213" s="69">
        <f t="shared" si="138"/>
        <v>3537000</v>
      </c>
      <c r="J213" s="70">
        <v>220709</v>
      </c>
      <c r="K213" s="70">
        <v>141480</v>
      </c>
      <c r="L213" s="70">
        <v>2766394</v>
      </c>
      <c r="M213" s="69">
        <f t="shared" ca="1" si="139"/>
        <v>115266.41666666667</v>
      </c>
      <c r="N213" s="61">
        <f ca="1">IFERROR(__xludf.DUMMYFUNCTION("VLOOKUP(C213,IMPORTRANGE(""https://docs.google.com/spreadsheets/d/1heLiqWF_2HiP-P9QpK84CTP6DxpoT_aG9fTdG9C1JMk/edit?gid=1535728046#gid=1535728046"",""DATA_ABSEN_JUNI25""),39,0)"),24)</f>
        <v>24</v>
      </c>
      <c r="O213" s="61">
        <f ca="1">IFERROR(__xludf.DUMMYFUNCTION("VLOOKUP(C213,IMPORTRANGE(""https://docs.google.com/spreadsheets/d/1heLiqWF_2HiP-P9QpK84CTP6DxpoT_aG9fTdG9C1JMk/edit?gid=1535728046#gid=1535728046"",""DATA_ABSEN_JUNI25""),40,0)"),24)</f>
        <v>24</v>
      </c>
      <c r="P213" s="69">
        <f t="shared" ca="1" si="140"/>
        <v>2766394</v>
      </c>
      <c r="Q213" s="66"/>
      <c r="R213" s="69">
        <f t="shared" si="141"/>
        <v>6665583</v>
      </c>
      <c r="S213" s="69">
        <f t="shared" ca="1" si="142"/>
        <v>6665583</v>
      </c>
      <c r="T213" s="69">
        <f t="shared" ca="1" si="143"/>
        <v>0</v>
      </c>
      <c r="U213" s="20">
        <v>259867</v>
      </c>
      <c r="V213" s="177">
        <f ca="1">IFERROR(__xludf.DUMMYFUNCTION("VLOOKUP(C213,IMPORTRANGE(""https://docs.google.com/spreadsheets/d/1heLiqWF_2HiP-P9QpK84CTP6DxpoT_aG9fTdG9C1JMk/edit?gid=1535728046#gid=1535728046"",""DATA_ABSEN_JUNI25""),41,0)"),3)</f>
        <v>3</v>
      </c>
      <c r="W213" s="69">
        <f t="shared" ca="1" si="144"/>
        <v>779601</v>
      </c>
      <c r="X213" s="69">
        <v>0</v>
      </c>
      <c r="Y213" s="69">
        <f t="shared" ca="1" si="145"/>
        <v>7445184</v>
      </c>
      <c r="Z213" s="61">
        <f ca="1">IFERROR(__xludf.DUMMYFUNCTION("VLOOKUP(C213,IMPORTRANGE(""https://docs.google.com/spreadsheets/d/1heLiqWF_2HiP-P9QpK84CTP6DxpoT_aG9fTdG9C1JMk/edit?gid=1535728046#gid=1535728046"",""DATA_ABSEN_JUNI25""),42,0)+VLOOKUP(C213,IMPORTRANGE(""https://docs.google.com/spreadsheets/d/1heLiqWF_2Hi"&amp;"P-P9QpK84CTP6DxpoT_aG9fTdG9C1JMk/edit?gid=1535728046#gid=1535728046"",""DATA_ABSEN_JUNI25""),43,0)"),0)</f>
        <v>0</v>
      </c>
      <c r="AA213" s="61">
        <f ca="1">IFERROR(__xludf.DUMMYFUNCTION("VLOOKUP(C213,IMPORTRANGE(""https://docs.google.com/spreadsheets/d/1heLiqWF_2HiP-P9QpK84CTP6DxpoT_aG9fTdG9C1JMk/edit?gid=1535728046#gid=1535728046"",""DATA_ABSEN_JUNI25""),44,0)"),0)</f>
        <v>0</v>
      </c>
      <c r="AB213" s="61">
        <f ca="1">IFERROR(__xludf.DUMMYFUNCTION("VLOOKUP(C213,IMPORTRANGE(""https://docs.google.com/spreadsheets/d/1heLiqWF_2HiP-P9QpK84CTP6DxpoT_aG9fTdG9C1JMk/edit?gid=1535728046#gid=1535728046"",""DATA_ABSEN_JUNI25""),45,0)"),0)</f>
        <v>0</v>
      </c>
      <c r="AC213" s="61">
        <f ca="1">IFERROR(__xludf.DUMMYFUNCTION("VLOOKUP(C213,IMPORTRANGE(""https://docs.google.com/spreadsheets/d/1heLiqWF_2HiP-P9QpK84CTP6DxpoT_aG9fTdG9C1JMk/edit?gid=1535728046#gid=1535728046"",""DATA_ABSEN_JUNI25""),46,0)"),0)</f>
        <v>0</v>
      </c>
      <c r="AD213" s="125">
        <v>0</v>
      </c>
      <c r="AE213" s="69">
        <f t="shared" ca="1" si="146"/>
        <v>0</v>
      </c>
      <c r="AF213" s="20">
        <v>326819</v>
      </c>
      <c r="AG213" s="20">
        <v>176850</v>
      </c>
      <c r="AH213" s="69">
        <v>0</v>
      </c>
      <c r="AI213" s="69" t="e">
        <f t="shared" si="147"/>
        <v>#REF!</v>
      </c>
      <c r="AJ213" s="69">
        <v>0</v>
      </c>
      <c r="AK213" s="69" t="e">
        <f t="shared" si="123"/>
        <v>#REF!</v>
      </c>
      <c r="AL213" s="69">
        <v>0</v>
      </c>
      <c r="AM213" s="69">
        <f t="shared" ca="1" si="148"/>
        <v>503669</v>
      </c>
      <c r="AN213" s="69">
        <f t="shared" ca="1" si="149"/>
        <v>6941515</v>
      </c>
      <c r="AO213" s="69">
        <f t="shared" ca="1" si="150"/>
        <v>90544.684999999998</v>
      </c>
      <c r="AP213" s="69">
        <f t="shared" ca="1" si="151"/>
        <v>6850970.3150000004</v>
      </c>
      <c r="AQ213" s="69">
        <f t="shared" ca="1" si="152"/>
        <v>6850970.3150000004</v>
      </c>
      <c r="AR213" s="70">
        <f t="shared" ca="1" si="153"/>
        <v>6850970.3150000004</v>
      </c>
      <c r="AS213" s="113"/>
      <c r="AT213" s="73" t="s">
        <v>9</v>
      </c>
      <c r="AU213" s="61" t="s">
        <v>10</v>
      </c>
      <c r="AV213" s="69">
        <f t="shared" si="154"/>
        <v>3537000</v>
      </c>
      <c r="AW213" s="69">
        <f t="shared" ca="1" si="155"/>
        <v>2766394</v>
      </c>
      <c r="AX213" s="69">
        <f t="shared" ca="1" si="156"/>
        <v>779601</v>
      </c>
      <c r="AY213" s="69">
        <v>0</v>
      </c>
      <c r="AZ213" s="69">
        <f t="shared" si="157"/>
        <v>8488.7999999999993</v>
      </c>
      <c r="BA213" s="69">
        <f t="shared" si="158"/>
        <v>10611</v>
      </c>
      <c r="BB213" s="69">
        <f t="shared" si="159"/>
        <v>141480</v>
      </c>
      <c r="BC213" s="69">
        <f t="shared" ca="1" si="160"/>
        <v>7243574.7999999998</v>
      </c>
      <c r="BD213" s="74">
        <f ca="1">IF(AU213="C",VLOOKUP(BC213,TER!$J$4:$L$50,3,TRUE),IF(AU213="B",VLOOKUP(BC213,TER!$F$4:$H$50,3,TRUE),IF(AU213="A",VLOOKUP(BC213,TER!$B$4:$D$50,3,TRUE),"ERROR")))</f>
        <v>1.2500000000000001E-2</v>
      </c>
      <c r="BE213" s="69">
        <f t="shared" ca="1" si="161"/>
        <v>90544.684999999998</v>
      </c>
      <c r="BF213" s="113"/>
      <c r="BG213" s="113"/>
    </row>
    <row r="214" spans="1:59" ht="13.5" hidden="1" customHeight="1">
      <c r="A214" s="113"/>
      <c r="B214" s="224">
        <v>59</v>
      </c>
      <c r="C214" s="68" t="s">
        <v>572</v>
      </c>
      <c r="D214" s="98" t="s">
        <v>573</v>
      </c>
      <c r="E214" s="67" t="s">
        <v>57</v>
      </c>
      <c r="F214" s="68" t="s">
        <v>574</v>
      </c>
      <c r="G214" s="67" t="s">
        <v>31</v>
      </c>
      <c r="H214" s="66" t="s">
        <v>32</v>
      </c>
      <c r="I214" s="69">
        <f t="shared" si="138"/>
        <v>3537000</v>
      </c>
      <c r="J214" s="70">
        <v>220709</v>
      </c>
      <c r="K214" s="70">
        <v>141480</v>
      </c>
      <c r="L214" s="70">
        <v>2766394</v>
      </c>
      <c r="M214" s="69">
        <f t="shared" ca="1" si="139"/>
        <v>115266.41666666667</v>
      </c>
      <c r="N214" s="61">
        <f ca="1">IFERROR(__xludf.DUMMYFUNCTION("VLOOKUP(C214,IMPORTRANGE(""https://docs.google.com/spreadsheets/d/1heLiqWF_2HiP-P9QpK84CTP6DxpoT_aG9fTdG9C1JMk/edit?gid=1535728046#gid=1535728046"",""DATA_ABSEN_JUNI25""),39,0)"),24)</f>
        <v>24</v>
      </c>
      <c r="O214" s="61">
        <f ca="1">IFERROR(__xludf.DUMMYFUNCTION("VLOOKUP(C214,IMPORTRANGE(""https://docs.google.com/spreadsheets/d/1heLiqWF_2HiP-P9QpK84CTP6DxpoT_aG9fTdG9C1JMk/edit?gid=1535728046#gid=1535728046"",""DATA_ABSEN_JUNI25""),40,0)"),24)</f>
        <v>24</v>
      </c>
      <c r="P214" s="69">
        <f t="shared" ca="1" si="140"/>
        <v>2766394</v>
      </c>
      <c r="Q214" s="66"/>
      <c r="R214" s="69">
        <f t="shared" si="141"/>
        <v>6665583</v>
      </c>
      <c r="S214" s="69">
        <f t="shared" ca="1" si="142"/>
        <v>6665583</v>
      </c>
      <c r="T214" s="69">
        <f t="shared" ca="1" si="143"/>
        <v>0</v>
      </c>
      <c r="U214" s="20">
        <v>259867</v>
      </c>
      <c r="V214" s="177">
        <f ca="1">IFERROR(__xludf.DUMMYFUNCTION("VLOOKUP(C214,IMPORTRANGE(""https://docs.google.com/spreadsheets/d/1heLiqWF_2HiP-P9QpK84CTP6DxpoT_aG9fTdG9C1JMk/edit?gid=1535728046#gid=1535728046"",""DATA_ABSEN_JUNI25""),41,0)"),1)</f>
        <v>1</v>
      </c>
      <c r="W214" s="69">
        <f t="shared" ca="1" si="144"/>
        <v>259867</v>
      </c>
      <c r="X214" s="69">
        <v>0</v>
      </c>
      <c r="Y214" s="69">
        <f t="shared" ca="1" si="145"/>
        <v>6925450</v>
      </c>
      <c r="Z214" s="61">
        <f ca="1">IFERROR(__xludf.DUMMYFUNCTION("VLOOKUP(C214,IMPORTRANGE(""https://docs.google.com/spreadsheets/d/1heLiqWF_2HiP-P9QpK84CTP6DxpoT_aG9fTdG9C1JMk/edit?gid=1535728046#gid=1535728046"",""DATA_ABSEN_JUNI25""),42,0)+VLOOKUP(C214,IMPORTRANGE(""https://docs.google.com/spreadsheets/d/1heLiqWF_2Hi"&amp;"P-P9QpK84CTP6DxpoT_aG9fTdG9C1JMk/edit?gid=1535728046#gid=1535728046"",""DATA_ABSEN_JUNI25""),43,0)"),0)</f>
        <v>0</v>
      </c>
      <c r="AA214" s="61">
        <f ca="1">IFERROR(__xludf.DUMMYFUNCTION("VLOOKUP(C214,IMPORTRANGE(""https://docs.google.com/spreadsheets/d/1heLiqWF_2HiP-P9QpK84CTP6DxpoT_aG9fTdG9C1JMk/edit?gid=1535728046#gid=1535728046"",""DATA_ABSEN_JUNI25""),44,0)"),0)</f>
        <v>0</v>
      </c>
      <c r="AB214" s="61">
        <f ca="1">IFERROR(__xludf.DUMMYFUNCTION("VLOOKUP(C214,IMPORTRANGE(""https://docs.google.com/spreadsheets/d/1heLiqWF_2HiP-P9QpK84CTP6DxpoT_aG9fTdG9C1JMk/edit?gid=1535728046#gid=1535728046"",""DATA_ABSEN_JUNI25""),45,0)"),0)</f>
        <v>0</v>
      </c>
      <c r="AC214" s="61">
        <f ca="1">IFERROR(__xludf.DUMMYFUNCTION("VLOOKUP(C214,IMPORTRANGE(""https://docs.google.com/spreadsheets/d/1heLiqWF_2HiP-P9QpK84CTP6DxpoT_aG9fTdG9C1JMk/edit?gid=1535728046#gid=1535728046"",""DATA_ABSEN_JUNI25""),46,0)"),0)</f>
        <v>0</v>
      </c>
      <c r="AD214" s="125">
        <v>0</v>
      </c>
      <c r="AE214" s="69">
        <f t="shared" ca="1" si="146"/>
        <v>0</v>
      </c>
      <c r="AF214" s="20">
        <v>326819</v>
      </c>
      <c r="AG214" s="20">
        <v>176850</v>
      </c>
      <c r="AH214" s="69">
        <v>0</v>
      </c>
      <c r="AI214" s="69" t="e">
        <f t="shared" si="147"/>
        <v>#REF!</v>
      </c>
      <c r="AJ214" s="69">
        <v>0</v>
      </c>
      <c r="AK214" s="69" t="e">
        <f t="shared" si="123"/>
        <v>#REF!</v>
      </c>
      <c r="AL214" s="69">
        <v>0</v>
      </c>
      <c r="AM214" s="69">
        <f t="shared" ca="1" si="148"/>
        <v>503669</v>
      </c>
      <c r="AN214" s="69">
        <f t="shared" ca="1" si="149"/>
        <v>6421781</v>
      </c>
      <c r="AO214" s="69">
        <f t="shared" ca="1" si="150"/>
        <v>67238.407999999996</v>
      </c>
      <c r="AP214" s="69">
        <f t="shared" ca="1" si="151"/>
        <v>6354542.5920000002</v>
      </c>
      <c r="AQ214" s="69">
        <f t="shared" ca="1" si="152"/>
        <v>6354542.5920000002</v>
      </c>
      <c r="AR214" s="70">
        <f t="shared" ca="1" si="153"/>
        <v>6354542.5920000002</v>
      </c>
      <c r="AS214" s="113"/>
      <c r="AT214" s="73" t="s">
        <v>13</v>
      </c>
      <c r="AU214" s="61" t="s">
        <v>10</v>
      </c>
      <c r="AV214" s="69">
        <f t="shared" si="154"/>
        <v>3537000</v>
      </c>
      <c r="AW214" s="69">
        <f t="shared" ca="1" si="155"/>
        <v>2766394</v>
      </c>
      <c r="AX214" s="69">
        <f t="shared" ca="1" si="156"/>
        <v>259867</v>
      </c>
      <c r="AY214" s="69">
        <v>0</v>
      </c>
      <c r="AZ214" s="69">
        <f t="shared" si="157"/>
        <v>8488.7999999999993</v>
      </c>
      <c r="BA214" s="69">
        <f t="shared" si="158"/>
        <v>10611</v>
      </c>
      <c r="BB214" s="69">
        <f t="shared" si="159"/>
        <v>141480</v>
      </c>
      <c r="BC214" s="69">
        <f t="shared" ca="1" si="160"/>
        <v>6723840.7999999998</v>
      </c>
      <c r="BD214" s="74">
        <f ca="1">IF(AU214="C",VLOOKUP(BC214,TER!$J$4:$L$50,3,TRUE),IF(AU214="B",VLOOKUP(BC214,TER!$F$4:$H$50,3,TRUE),IF(AU214="A",VLOOKUP(BC214,TER!$B$4:$D$50,3,TRUE),"ERROR")))</f>
        <v>0.01</v>
      </c>
      <c r="BE214" s="69">
        <f t="shared" ca="1" si="161"/>
        <v>67238.407999999996</v>
      </c>
      <c r="BF214" s="113"/>
      <c r="BG214" s="113"/>
    </row>
    <row r="215" spans="1:59" ht="13.5" hidden="1" customHeight="1">
      <c r="A215" s="113"/>
      <c r="B215" s="224">
        <v>60</v>
      </c>
      <c r="C215" s="68" t="s">
        <v>575</v>
      </c>
      <c r="D215" s="192" t="s">
        <v>576</v>
      </c>
      <c r="E215" s="86" t="s">
        <v>57</v>
      </c>
      <c r="F215" s="68" t="s">
        <v>577</v>
      </c>
      <c r="G215" s="67" t="s">
        <v>31</v>
      </c>
      <c r="H215" s="66" t="s">
        <v>32</v>
      </c>
      <c r="I215" s="69">
        <f t="shared" si="138"/>
        <v>3537000</v>
      </c>
      <c r="J215" s="70">
        <v>220709</v>
      </c>
      <c r="K215" s="70">
        <v>141480</v>
      </c>
      <c r="L215" s="70">
        <v>2766394</v>
      </c>
      <c r="M215" s="69">
        <f t="shared" ca="1" si="139"/>
        <v>115266.41666666667</v>
      </c>
      <c r="N215" s="61">
        <f ca="1">IFERROR(__xludf.DUMMYFUNCTION("VLOOKUP(C215,IMPORTRANGE(""https://docs.google.com/spreadsheets/d/1heLiqWF_2HiP-P9QpK84CTP6DxpoT_aG9fTdG9C1JMk/edit?gid=1535728046#gid=1535728046"",""DATA_ABSEN_JUNI25""),39,0)"),24)</f>
        <v>24</v>
      </c>
      <c r="O215" s="61">
        <f ca="1">IFERROR(__xludf.DUMMYFUNCTION("VLOOKUP(C215,IMPORTRANGE(""https://docs.google.com/spreadsheets/d/1heLiqWF_2HiP-P9QpK84CTP6DxpoT_aG9fTdG9C1JMk/edit?gid=1535728046#gid=1535728046"",""DATA_ABSEN_JUNI25""),40,0)"),24)</f>
        <v>24</v>
      </c>
      <c r="P215" s="69">
        <f t="shared" ca="1" si="140"/>
        <v>2766394</v>
      </c>
      <c r="Q215" s="66"/>
      <c r="R215" s="69">
        <f t="shared" si="141"/>
        <v>6665583</v>
      </c>
      <c r="S215" s="69">
        <f t="shared" ca="1" si="142"/>
        <v>6665583</v>
      </c>
      <c r="T215" s="69">
        <f t="shared" ca="1" si="143"/>
        <v>0</v>
      </c>
      <c r="U215" s="20">
        <v>259867</v>
      </c>
      <c r="V215" s="177">
        <f ca="1">IFERROR(__xludf.DUMMYFUNCTION("VLOOKUP(C215,IMPORTRANGE(""https://docs.google.com/spreadsheets/d/1heLiqWF_2HiP-P9QpK84CTP6DxpoT_aG9fTdG9C1JMk/edit?gid=1535728046#gid=1535728046"",""DATA_ABSEN_JUNI25""),41,0)"),5)</f>
        <v>5</v>
      </c>
      <c r="W215" s="69">
        <f t="shared" ca="1" si="144"/>
        <v>1299335</v>
      </c>
      <c r="X215" s="69">
        <v>0</v>
      </c>
      <c r="Y215" s="69">
        <f t="shared" ca="1" si="145"/>
        <v>7964918</v>
      </c>
      <c r="Z215" s="61">
        <f ca="1">IFERROR(__xludf.DUMMYFUNCTION("VLOOKUP(C215,IMPORTRANGE(""https://docs.google.com/spreadsheets/d/1heLiqWF_2HiP-P9QpK84CTP6DxpoT_aG9fTdG9C1JMk/edit?gid=1535728046#gid=1535728046"",""DATA_ABSEN_JUNI25""),42,0)+VLOOKUP(C215,IMPORTRANGE(""https://docs.google.com/spreadsheets/d/1heLiqWF_2Hi"&amp;"P-P9QpK84CTP6DxpoT_aG9fTdG9C1JMk/edit?gid=1535728046#gid=1535728046"",""DATA_ABSEN_JUNI25""),43,0)"),0)</f>
        <v>0</v>
      </c>
      <c r="AA215" s="61">
        <f ca="1">IFERROR(__xludf.DUMMYFUNCTION("VLOOKUP(C215,IMPORTRANGE(""https://docs.google.com/spreadsheets/d/1heLiqWF_2HiP-P9QpK84CTP6DxpoT_aG9fTdG9C1JMk/edit?gid=1535728046#gid=1535728046"",""DATA_ABSEN_JUNI25""),44,0)"),0)</f>
        <v>0</v>
      </c>
      <c r="AB215" s="61">
        <f ca="1">IFERROR(__xludf.DUMMYFUNCTION("VLOOKUP(C215,IMPORTRANGE(""https://docs.google.com/spreadsheets/d/1heLiqWF_2HiP-P9QpK84CTP6DxpoT_aG9fTdG9C1JMk/edit?gid=1535728046#gid=1535728046"",""DATA_ABSEN_JUNI25""),45,0)"),0)</f>
        <v>0</v>
      </c>
      <c r="AC215" s="61">
        <f ca="1">IFERROR(__xludf.DUMMYFUNCTION("VLOOKUP(C215,IMPORTRANGE(""https://docs.google.com/spreadsheets/d/1heLiqWF_2HiP-P9QpK84CTP6DxpoT_aG9fTdG9C1JMk/edit?gid=1535728046#gid=1535728046"",""DATA_ABSEN_JUNI25""),46,0)"),0)</f>
        <v>0</v>
      </c>
      <c r="AD215" s="125">
        <v>0</v>
      </c>
      <c r="AE215" s="69">
        <f t="shared" ca="1" si="146"/>
        <v>0</v>
      </c>
      <c r="AF215" s="20">
        <v>326819</v>
      </c>
      <c r="AG215" s="20">
        <v>176850</v>
      </c>
      <c r="AH215" s="69">
        <v>0</v>
      </c>
      <c r="AI215" s="69" t="e">
        <f t="shared" si="147"/>
        <v>#REF!</v>
      </c>
      <c r="AJ215" s="69">
        <v>0</v>
      </c>
      <c r="AK215" s="69" t="e">
        <f t="shared" si="123"/>
        <v>#REF!</v>
      </c>
      <c r="AL215" s="69">
        <v>0</v>
      </c>
      <c r="AM215" s="69">
        <f t="shared" ca="1" si="148"/>
        <v>503669</v>
      </c>
      <c r="AN215" s="69">
        <f t="shared" ca="1" si="149"/>
        <v>7461249</v>
      </c>
      <c r="AO215" s="69">
        <f t="shared" ca="1" si="150"/>
        <v>116449.632</v>
      </c>
      <c r="AP215" s="69">
        <f t="shared" ca="1" si="151"/>
        <v>7344799.3679999998</v>
      </c>
      <c r="AQ215" s="69">
        <f t="shared" ca="1" si="152"/>
        <v>7344799.3679999998</v>
      </c>
      <c r="AR215" s="70">
        <f t="shared" ca="1" si="153"/>
        <v>7344799.3679999998</v>
      </c>
      <c r="AS215" s="113"/>
      <c r="AT215" s="73" t="s">
        <v>9</v>
      </c>
      <c r="AU215" s="61" t="s">
        <v>10</v>
      </c>
      <c r="AV215" s="69">
        <f t="shared" si="154"/>
        <v>3537000</v>
      </c>
      <c r="AW215" s="69">
        <f t="shared" ca="1" si="155"/>
        <v>2766394</v>
      </c>
      <c r="AX215" s="69">
        <f t="shared" ca="1" si="156"/>
        <v>1299335</v>
      </c>
      <c r="AY215" s="69">
        <v>0</v>
      </c>
      <c r="AZ215" s="69">
        <f t="shared" si="157"/>
        <v>8488.7999999999993</v>
      </c>
      <c r="BA215" s="69">
        <f t="shared" si="158"/>
        <v>10611</v>
      </c>
      <c r="BB215" s="69">
        <f t="shared" si="159"/>
        <v>141480</v>
      </c>
      <c r="BC215" s="69">
        <f t="shared" ca="1" si="160"/>
        <v>7763308.7999999998</v>
      </c>
      <c r="BD215" s="74">
        <f ca="1">IF(AU215="C",VLOOKUP(BC215,TER!$J$4:$L$50,3,TRUE),IF(AU215="B",VLOOKUP(BC215,TER!$F$4:$H$50,3,TRUE),IF(AU215="A",VLOOKUP(BC215,TER!$B$4:$D$50,3,TRUE),"ERROR")))</f>
        <v>1.4999999999999999E-2</v>
      </c>
      <c r="BE215" s="69">
        <f t="shared" ca="1" si="161"/>
        <v>116449.632</v>
      </c>
      <c r="BF215" s="113"/>
      <c r="BG215" s="113"/>
    </row>
    <row r="216" spans="1:59" ht="13.5" hidden="1" customHeight="1">
      <c r="A216" s="113"/>
      <c r="B216" s="224">
        <v>61</v>
      </c>
      <c r="C216" s="193" t="s">
        <v>578</v>
      </c>
      <c r="D216" s="194" t="s">
        <v>579</v>
      </c>
      <c r="E216" s="86" t="s">
        <v>57</v>
      </c>
      <c r="F216" s="68" t="s">
        <v>1261</v>
      </c>
      <c r="G216" s="67" t="s">
        <v>31</v>
      </c>
      <c r="H216" s="66" t="s">
        <v>32</v>
      </c>
      <c r="I216" s="69">
        <f t="shared" si="138"/>
        <v>3537000</v>
      </c>
      <c r="J216" s="70">
        <v>220709</v>
      </c>
      <c r="K216" s="70">
        <v>141480</v>
      </c>
      <c r="L216" s="70">
        <v>2766394</v>
      </c>
      <c r="M216" s="69">
        <f t="shared" ca="1" si="139"/>
        <v>115266.41666666667</v>
      </c>
      <c r="N216" s="61">
        <f ca="1">IFERROR(__xludf.DUMMYFUNCTION("VLOOKUP(C216,IMPORTRANGE(""https://docs.google.com/spreadsheets/d/1heLiqWF_2HiP-P9QpK84CTP6DxpoT_aG9fTdG9C1JMk/edit?gid=1535728046#gid=1535728046"",""DATA_ABSEN_JUNI25""),39,0)"),23)</f>
        <v>23</v>
      </c>
      <c r="O216" s="61">
        <f ca="1">IFERROR(__xludf.DUMMYFUNCTION("VLOOKUP(C216,IMPORTRANGE(""https://docs.google.com/spreadsheets/d/1heLiqWF_2HiP-P9QpK84CTP6DxpoT_aG9fTdG9C1JMk/edit?gid=1535728046#gid=1535728046"",""DATA_ABSEN_JUNI25""),40,0)"),24)</f>
        <v>24</v>
      </c>
      <c r="P216" s="69">
        <f t="shared" ca="1" si="140"/>
        <v>2651127.5833333335</v>
      </c>
      <c r="Q216" s="66"/>
      <c r="R216" s="69">
        <f t="shared" si="141"/>
        <v>6665583</v>
      </c>
      <c r="S216" s="69">
        <f t="shared" ca="1" si="142"/>
        <v>6550316.583333334</v>
      </c>
      <c r="T216" s="69">
        <f t="shared" ca="1" si="143"/>
        <v>0</v>
      </c>
      <c r="U216" s="20">
        <v>259867</v>
      </c>
      <c r="V216" s="177">
        <f ca="1">IFERROR(__xludf.DUMMYFUNCTION("VLOOKUP(C216,IMPORTRANGE(""https://docs.google.com/spreadsheets/d/1heLiqWF_2HiP-P9QpK84CTP6DxpoT_aG9fTdG9C1JMk/edit?gid=1535728046#gid=1535728046"",""DATA_ABSEN_JUNI25""),41,0)"),1)</f>
        <v>1</v>
      </c>
      <c r="W216" s="69">
        <f t="shared" ca="1" si="144"/>
        <v>259867</v>
      </c>
      <c r="X216" s="69">
        <v>0</v>
      </c>
      <c r="Y216" s="69">
        <f t="shared" ca="1" si="145"/>
        <v>6810183.583333334</v>
      </c>
      <c r="Z216" s="61">
        <f ca="1">IFERROR(__xludf.DUMMYFUNCTION("VLOOKUP(C216,IMPORTRANGE(""https://docs.google.com/spreadsheets/d/1heLiqWF_2HiP-P9QpK84CTP6DxpoT_aG9fTdG9C1JMk/edit?gid=1535728046#gid=1535728046"",""DATA_ABSEN_JUNI25""),42,0)+VLOOKUP(C216,IMPORTRANGE(""https://docs.google.com/spreadsheets/d/1heLiqWF_2Hi"&amp;"P-P9QpK84CTP6DxpoT_aG9fTdG9C1JMk/edit?gid=1535728046#gid=1535728046"",""DATA_ABSEN_JUNI25""),43,0)"),0)</f>
        <v>0</v>
      </c>
      <c r="AA216" s="61">
        <f ca="1">IFERROR(__xludf.DUMMYFUNCTION("VLOOKUP(C216,IMPORTRANGE(""https://docs.google.com/spreadsheets/d/1heLiqWF_2HiP-P9QpK84CTP6DxpoT_aG9fTdG9C1JMk/edit?gid=1535728046#gid=1535728046"",""DATA_ABSEN_JUNI25""),44,0)"),1)</f>
        <v>1</v>
      </c>
      <c r="AB216" s="61">
        <f ca="1">IFERROR(__xludf.DUMMYFUNCTION("VLOOKUP(C216,IMPORTRANGE(""https://docs.google.com/spreadsheets/d/1heLiqWF_2HiP-P9QpK84CTP6DxpoT_aG9fTdG9C1JMk/edit?gid=1535728046#gid=1535728046"",""DATA_ABSEN_JUNI25""),45,0)"),0)</f>
        <v>0</v>
      </c>
      <c r="AC216" s="61">
        <f ca="1">IFERROR(__xludf.DUMMYFUNCTION("VLOOKUP(C216,IMPORTRANGE(""https://docs.google.com/spreadsheets/d/1heLiqWF_2HiP-P9QpK84CTP6DxpoT_aG9fTdG9C1JMk/edit?gid=1535728046#gid=1535728046"",""DATA_ABSEN_JUNI25""),46,0)"),0)</f>
        <v>0</v>
      </c>
      <c r="AD216" s="125">
        <v>0</v>
      </c>
      <c r="AE216" s="69">
        <f t="shared" ca="1" si="146"/>
        <v>259867</v>
      </c>
      <c r="AF216" s="20">
        <v>326819</v>
      </c>
      <c r="AG216" s="20">
        <v>176850</v>
      </c>
      <c r="AH216" s="69">
        <v>0</v>
      </c>
      <c r="AI216" s="69" t="e">
        <f t="shared" si="147"/>
        <v>#REF!</v>
      </c>
      <c r="AJ216" s="69">
        <v>0</v>
      </c>
      <c r="AK216" s="69" t="e">
        <f t="shared" si="123"/>
        <v>#REF!</v>
      </c>
      <c r="AL216" s="69">
        <v>0</v>
      </c>
      <c r="AM216" s="69">
        <f t="shared" ca="1" si="148"/>
        <v>763536</v>
      </c>
      <c r="AN216" s="69">
        <f t="shared" ca="1" si="149"/>
        <v>6046647.583333334</v>
      </c>
      <c r="AO216" s="69">
        <f t="shared" ca="1" si="150"/>
        <v>66085.743833333341</v>
      </c>
      <c r="AP216" s="69">
        <f t="shared" ca="1" si="151"/>
        <v>5980561.8395000007</v>
      </c>
      <c r="AQ216" s="69">
        <f t="shared" ca="1" si="152"/>
        <v>5980561.8395000007</v>
      </c>
      <c r="AR216" s="70">
        <f t="shared" ca="1" si="153"/>
        <v>5980561.8395000007</v>
      </c>
      <c r="AS216" s="113"/>
      <c r="AT216" s="73" t="s">
        <v>9</v>
      </c>
      <c r="AU216" s="61" t="s">
        <v>10</v>
      </c>
      <c r="AV216" s="69">
        <f t="shared" si="154"/>
        <v>3537000</v>
      </c>
      <c r="AW216" s="69">
        <f t="shared" ca="1" si="155"/>
        <v>2651127.5833333335</v>
      </c>
      <c r="AX216" s="69">
        <f t="shared" ca="1" si="156"/>
        <v>259867</v>
      </c>
      <c r="AY216" s="69">
        <v>0</v>
      </c>
      <c r="AZ216" s="69">
        <f t="shared" si="157"/>
        <v>8488.7999999999993</v>
      </c>
      <c r="BA216" s="69">
        <f t="shared" si="158"/>
        <v>10611</v>
      </c>
      <c r="BB216" s="69">
        <f t="shared" si="159"/>
        <v>141480</v>
      </c>
      <c r="BC216" s="69">
        <f t="shared" ca="1" si="160"/>
        <v>6608574.3833333338</v>
      </c>
      <c r="BD216" s="74">
        <f ca="1">IF(AU216="C",VLOOKUP(BC216,TER!$J$4:$L$50,3,TRUE),IF(AU216="B",VLOOKUP(BC216,TER!$F$4:$H$50,3,TRUE),IF(AU216="A",VLOOKUP(BC216,TER!$B$4:$D$50,3,TRUE),"ERROR")))</f>
        <v>0.01</v>
      </c>
      <c r="BE216" s="69">
        <f t="shared" ca="1" si="161"/>
        <v>66085.743833333341</v>
      </c>
      <c r="BF216" s="113"/>
      <c r="BG216" s="113"/>
    </row>
    <row r="217" spans="1:59" ht="13.5" hidden="1" customHeight="1">
      <c r="A217" s="113"/>
      <c r="B217" s="224">
        <v>62</v>
      </c>
      <c r="C217" s="178" t="s">
        <v>580</v>
      </c>
      <c r="D217" s="195" t="s">
        <v>581</v>
      </c>
      <c r="E217" s="86" t="s">
        <v>57</v>
      </c>
      <c r="F217" s="68" t="s">
        <v>582</v>
      </c>
      <c r="G217" s="180" t="s">
        <v>94</v>
      </c>
      <c r="H217" s="179" t="s">
        <v>32</v>
      </c>
      <c r="I217" s="69">
        <f t="shared" si="138"/>
        <v>3537000</v>
      </c>
      <c r="J217" s="70">
        <v>220709</v>
      </c>
      <c r="K217" s="70">
        <v>141480</v>
      </c>
      <c r="L217" s="181">
        <v>2934427</v>
      </c>
      <c r="M217" s="69">
        <f t="shared" ca="1" si="139"/>
        <v>139734.61904761905</v>
      </c>
      <c r="N217" s="61">
        <f ca="1">IFERROR(__xludf.DUMMYFUNCTION("VLOOKUP(C217,IMPORTRANGE(""https://docs.google.com/spreadsheets/d/1heLiqWF_2HiP-P9QpK84CTP6DxpoT_aG9fTdG9C1JMk/edit?gid=1535728046#gid=1535728046"",""DATA_ABSEN_JUNI25""),39,0)"),20)</f>
        <v>20</v>
      </c>
      <c r="O217" s="61">
        <f ca="1">IFERROR(__xludf.DUMMYFUNCTION("VLOOKUP(C217,IMPORTRANGE(""https://docs.google.com/spreadsheets/d/1heLiqWF_2HiP-P9QpK84CTP6DxpoT_aG9fTdG9C1JMk/edit?gid=1535728046#gid=1535728046"",""DATA_ABSEN_JUNI25""),40,0)"),21)</f>
        <v>21</v>
      </c>
      <c r="P217" s="69">
        <f t="shared" ca="1" si="140"/>
        <v>2794692.3809523811</v>
      </c>
      <c r="Q217" s="179"/>
      <c r="R217" s="69">
        <f t="shared" si="141"/>
        <v>6833616</v>
      </c>
      <c r="S217" s="69">
        <f t="shared" ca="1" si="142"/>
        <v>6693881.3809523806</v>
      </c>
      <c r="T217" s="69">
        <f t="shared" ca="1" si="143"/>
        <v>0</v>
      </c>
      <c r="U217" s="20">
        <v>259867</v>
      </c>
      <c r="V217" s="177">
        <f ca="1">IFERROR(__xludf.DUMMYFUNCTION("VLOOKUP(C217,IMPORTRANGE(""https://docs.google.com/spreadsheets/d/1heLiqWF_2HiP-P9QpK84CTP6DxpoT_aG9fTdG9C1JMk/edit?gid=1535728046#gid=1535728046"",""DATA_ABSEN_JUNI25""),41,0)"),0)</f>
        <v>0</v>
      </c>
      <c r="W217" s="69">
        <f t="shared" ca="1" si="144"/>
        <v>0</v>
      </c>
      <c r="X217" s="183">
        <v>0</v>
      </c>
      <c r="Y217" s="69">
        <f t="shared" ca="1" si="145"/>
        <v>6693881.3809523806</v>
      </c>
      <c r="Z217" s="61">
        <f ca="1">IFERROR(__xludf.DUMMYFUNCTION("VLOOKUP(C217,IMPORTRANGE(""https://docs.google.com/spreadsheets/d/1heLiqWF_2HiP-P9QpK84CTP6DxpoT_aG9fTdG9C1JMk/edit?gid=1535728046#gid=1535728046"",""DATA_ABSEN_JUNI25""),42,0)+VLOOKUP(C217,IMPORTRANGE(""https://docs.google.com/spreadsheets/d/1heLiqWF_2Hi"&amp;"P-P9QpK84CTP6DxpoT_aG9fTdG9C1JMk/edit?gid=1535728046#gid=1535728046"",""DATA_ABSEN_JUNI25""),43,0)"),0)</f>
        <v>0</v>
      </c>
      <c r="AA217" s="61">
        <f ca="1">IFERROR(__xludf.DUMMYFUNCTION("VLOOKUP(C217,IMPORTRANGE(""https://docs.google.com/spreadsheets/d/1heLiqWF_2HiP-P9QpK84CTP6DxpoT_aG9fTdG9C1JMk/edit?gid=1535728046#gid=1535728046"",""DATA_ABSEN_JUNI25""),44,0)"),0)</f>
        <v>0</v>
      </c>
      <c r="AB217" s="61">
        <f ca="1">IFERROR(__xludf.DUMMYFUNCTION("VLOOKUP(C217,IMPORTRANGE(""https://docs.google.com/spreadsheets/d/1heLiqWF_2HiP-P9QpK84CTP6DxpoT_aG9fTdG9C1JMk/edit?gid=1535728046#gid=1535728046"",""DATA_ABSEN_JUNI25""),45,0)"),0)</f>
        <v>0</v>
      </c>
      <c r="AC217" s="61">
        <f ca="1">IFERROR(__xludf.DUMMYFUNCTION("VLOOKUP(C217,IMPORTRANGE(""https://docs.google.com/spreadsheets/d/1heLiqWF_2HiP-P9QpK84CTP6DxpoT_aG9fTdG9C1JMk/edit?gid=1535728046#gid=1535728046"",""DATA_ABSEN_JUNI25""),46,0)"),0)</f>
        <v>0</v>
      </c>
      <c r="AD217" s="125">
        <v>0</v>
      </c>
      <c r="AE217" s="69">
        <f t="shared" ca="1" si="146"/>
        <v>0</v>
      </c>
      <c r="AF217" s="20">
        <v>326819</v>
      </c>
      <c r="AG217" s="20">
        <v>176850</v>
      </c>
      <c r="AH217" s="69">
        <v>0</v>
      </c>
      <c r="AI217" s="69" t="e">
        <f t="shared" si="147"/>
        <v>#REF!</v>
      </c>
      <c r="AJ217" s="69">
        <v>0</v>
      </c>
      <c r="AK217" s="69" t="e">
        <f t="shared" si="123"/>
        <v>#REF!</v>
      </c>
      <c r="AL217" s="183">
        <v>0</v>
      </c>
      <c r="AM217" s="69">
        <f t="shared" ca="1" si="148"/>
        <v>503669</v>
      </c>
      <c r="AN217" s="69">
        <f t="shared" ca="1" si="149"/>
        <v>6190212.3809523806</v>
      </c>
      <c r="AO217" s="69">
        <f t="shared" ca="1" si="150"/>
        <v>0</v>
      </c>
      <c r="AP217" s="69">
        <f t="shared" ca="1" si="151"/>
        <v>6190212.3809523806</v>
      </c>
      <c r="AQ217" s="69">
        <f t="shared" ca="1" si="152"/>
        <v>6190212.3809523806</v>
      </c>
      <c r="AR217" s="70">
        <f t="shared" ca="1" si="153"/>
        <v>6190212.3809523806</v>
      </c>
      <c r="AS217" s="184"/>
      <c r="AT217" s="185" t="s">
        <v>8</v>
      </c>
      <c r="AU217" s="186" t="s">
        <v>19</v>
      </c>
      <c r="AV217" s="69">
        <f t="shared" si="154"/>
        <v>3537000</v>
      </c>
      <c r="AW217" s="69">
        <f t="shared" ca="1" si="155"/>
        <v>2794692.3809523811</v>
      </c>
      <c r="AX217" s="69">
        <f t="shared" ca="1" si="156"/>
        <v>0</v>
      </c>
      <c r="AY217" s="183">
        <v>0</v>
      </c>
      <c r="AZ217" s="69">
        <f t="shared" si="157"/>
        <v>8488.7999999999993</v>
      </c>
      <c r="BA217" s="69">
        <f t="shared" si="158"/>
        <v>10611</v>
      </c>
      <c r="BB217" s="69">
        <f t="shared" si="159"/>
        <v>141480</v>
      </c>
      <c r="BC217" s="69">
        <f t="shared" ca="1" si="160"/>
        <v>6492272.1809523804</v>
      </c>
      <c r="BD217" s="74">
        <f ca="1">IF(AU217="C",VLOOKUP(BC217,TER!$J$4:$L$50,3,TRUE),IF(AU217="B",VLOOKUP(BC217,TER!$F$4:$H$50,3,TRUE),IF(AU217="A",VLOOKUP(BC217,TER!$B$4:$D$50,3,TRUE),"ERROR")))</f>
        <v>0</v>
      </c>
      <c r="BE217" s="69">
        <f t="shared" ca="1" si="161"/>
        <v>0</v>
      </c>
      <c r="BF217" s="113"/>
      <c r="BG217" s="113"/>
    </row>
    <row r="218" spans="1:59" ht="13.5" hidden="1" customHeight="1">
      <c r="A218" s="113"/>
      <c r="B218" s="224">
        <v>63</v>
      </c>
      <c r="C218" s="77"/>
      <c r="D218" s="78" t="s">
        <v>1079</v>
      </c>
      <c r="E218" s="76"/>
      <c r="F218" s="77"/>
      <c r="G218" s="76"/>
      <c r="H218" s="75"/>
      <c r="I218" s="79"/>
      <c r="J218" s="80"/>
      <c r="K218" s="80"/>
      <c r="L218" s="80"/>
      <c r="M218" s="79"/>
      <c r="N218" s="81"/>
      <c r="O218" s="81"/>
      <c r="P218" s="79"/>
      <c r="Q218" s="75"/>
      <c r="R218" s="79"/>
      <c r="S218" s="79"/>
      <c r="T218" s="79"/>
      <c r="U218" s="54"/>
      <c r="V218" s="81"/>
      <c r="W218" s="79"/>
      <c r="X218" s="79"/>
      <c r="Y218" s="79"/>
      <c r="Z218" s="81"/>
      <c r="AA218" s="81"/>
      <c r="AB218" s="81"/>
      <c r="AC218" s="81"/>
      <c r="AD218" s="81"/>
      <c r="AE218" s="79"/>
      <c r="AF218" s="54"/>
      <c r="AG218" s="54"/>
      <c r="AH218" s="79"/>
      <c r="AI218" s="70">
        <v>0</v>
      </c>
      <c r="AJ218" s="69">
        <v>0</v>
      </c>
      <c r="AK218" s="69">
        <f t="shared" si="123"/>
        <v>0</v>
      </c>
      <c r="AL218" s="79"/>
      <c r="AM218" s="79"/>
      <c r="AN218" s="79"/>
      <c r="AO218" s="79"/>
      <c r="AP218" s="79"/>
      <c r="AQ218" s="79"/>
      <c r="AR218" s="80"/>
      <c r="AS218" s="189"/>
      <c r="AT218" s="83"/>
      <c r="AU218" s="82"/>
      <c r="AV218" s="79"/>
      <c r="AW218" s="79"/>
      <c r="AX218" s="79"/>
      <c r="AY218" s="79"/>
      <c r="AZ218" s="79"/>
      <c r="BA218" s="79"/>
      <c r="BB218" s="79"/>
      <c r="BC218" s="79"/>
      <c r="BD218" s="76"/>
      <c r="BE218" s="79"/>
      <c r="BF218" s="113"/>
      <c r="BG218" s="113"/>
    </row>
    <row r="219" spans="1:59" ht="13.5" hidden="1" customHeight="1">
      <c r="A219" s="113"/>
      <c r="B219" s="224">
        <v>64</v>
      </c>
      <c r="C219" s="68" t="s">
        <v>583</v>
      </c>
      <c r="D219" s="196" t="s">
        <v>584</v>
      </c>
      <c r="E219" s="86" t="s">
        <v>57</v>
      </c>
      <c r="F219" s="68" t="s">
        <v>1262</v>
      </c>
      <c r="G219" s="67" t="s">
        <v>31</v>
      </c>
      <c r="H219" s="66" t="s">
        <v>32</v>
      </c>
      <c r="I219" s="69">
        <f t="shared" ref="I219:I226" si="162">IF(H219="FULL - EXISTING",3537000,3537000/O219*N219)</f>
        <v>3537000</v>
      </c>
      <c r="J219" s="70">
        <v>220709</v>
      </c>
      <c r="K219" s="70">
        <v>141480</v>
      </c>
      <c r="L219" s="70">
        <v>2766394</v>
      </c>
      <c r="M219" s="69">
        <f t="shared" ref="M219:M226" ca="1" si="163">L219/O219</f>
        <v>115266.41666666667</v>
      </c>
      <c r="N219" s="61">
        <f ca="1">IFERROR(__xludf.DUMMYFUNCTION("VLOOKUP(C219,IMPORTRANGE(""https://docs.google.com/spreadsheets/d/1heLiqWF_2HiP-P9QpK84CTP6DxpoT_aG9fTdG9C1JMk/edit?gid=1535728046#gid=1535728046"",""DATA_ABSEN_JUNI25""),39,0)"),23)</f>
        <v>23</v>
      </c>
      <c r="O219" s="61">
        <f ca="1">IFERROR(__xludf.DUMMYFUNCTION("VLOOKUP(C219,IMPORTRANGE(""https://docs.google.com/spreadsheets/d/1heLiqWF_2HiP-P9QpK84CTP6DxpoT_aG9fTdG9C1JMk/edit?gid=1535728046#gid=1535728046"",""DATA_ABSEN_JUNI25""),40,0)"),24)</f>
        <v>24</v>
      </c>
      <c r="P219" s="69">
        <f t="shared" ref="P219:P226" ca="1" si="164">M219*N219</f>
        <v>2651127.5833333335</v>
      </c>
      <c r="Q219" s="66"/>
      <c r="R219" s="69">
        <f t="shared" ref="R219:R226" si="165">I219+J219+K219+L219</f>
        <v>6665583</v>
      </c>
      <c r="S219" s="69">
        <f t="shared" ref="S219:S226" ca="1" si="166">I219+J219+K219+P219</f>
        <v>6550316.583333334</v>
      </c>
      <c r="T219" s="69">
        <f t="shared" ref="T219:T226" ca="1" si="167">IF(R219-S219&lt;0,R219-S219,0)</f>
        <v>0</v>
      </c>
      <c r="U219" s="20">
        <v>259867</v>
      </c>
      <c r="V219" s="177">
        <f ca="1">IFERROR(__xludf.DUMMYFUNCTION("VLOOKUP(C219,IMPORTRANGE(""https://docs.google.com/spreadsheets/d/1heLiqWF_2HiP-P9QpK84CTP6DxpoT_aG9fTdG9C1JMk/edit?gid=1535728046#gid=1535728046"",""DATA_ABSEN_JUNI25""),41,0)"),2)</f>
        <v>2</v>
      </c>
      <c r="W219" s="69">
        <f t="shared" ref="W219:W226" ca="1" si="168">U219*V219</f>
        <v>519734</v>
      </c>
      <c r="X219" s="69">
        <v>0</v>
      </c>
      <c r="Y219" s="69">
        <f t="shared" ref="Y219:Y226" ca="1" si="169">I219+J219+K219+P219+W219+X219</f>
        <v>7070050.583333334</v>
      </c>
      <c r="Z219" s="61">
        <f ca="1">IFERROR(__xludf.DUMMYFUNCTION("VLOOKUP(C219,IMPORTRANGE(""https://docs.google.com/spreadsheets/d/1heLiqWF_2HiP-P9QpK84CTP6DxpoT_aG9fTdG9C1JMk/edit?gid=1535728046#gid=1535728046"",""DATA_ABSEN_JUNI25""),42,0)+VLOOKUP(C219,IMPORTRANGE(""https://docs.google.com/spreadsheets/d/1heLiqWF_2Hi"&amp;"P-P9QpK84CTP6DxpoT_aG9fTdG9C1JMk/edit?gid=1535728046#gid=1535728046"",""DATA_ABSEN_JUNI25""),43,0)"),1)</f>
        <v>1</v>
      </c>
      <c r="AA219" s="61">
        <f ca="1">IFERROR(__xludf.DUMMYFUNCTION("VLOOKUP(C219,IMPORTRANGE(""https://docs.google.com/spreadsheets/d/1heLiqWF_2HiP-P9QpK84CTP6DxpoT_aG9fTdG9C1JMk/edit?gid=1535728046#gid=1535728046"",""DATA_ABSEN_JUNI25""),44,0)"),0)</f>
        <v>0</v>
      </c>
      <c r="AB219" s="61">
        <f ca="1">IFERROR(__xludf.DUMMYFUNCTION("VLOOKUP(C219,IMPORTRANGE(""https://docs.google.com/spreadsheets/d/1heLiqWF_2HiP-P9QpK84CTP6DxpoT_aG9fTdG9C1JMk/edit?gid=1535728046#gid=1535728046"",""DATA_ABSEN_JUNI25""),45,0)"),0)</f>
        <v>0</v>
      </c>
      <c r="AC219" s="61">
        <f ca="1">IFERROR(__xludf.DUMMYFUNCTION("VLOOKUP(C219,IMPORTRANGE(""https://docs.google.com/spreadsheets/d/1heLiqWF_2HiP-P9QpK84CTP6DxpoT_aG9fTdG9C1JMk/edit?gid=1535728046#gid=1535728046"",""DATA_ABSEN_JUNI25""),46,0)"),0)</f>
        <v>0</v>
      </c>
      <c r="AD219" s="125">
        <v>0</v>
      </c>
      <c r="AE219" s="69">
        <f t="shared" ref="AE219:AE226" ca="1" si="170">U219*(Z219+AA219+AD219+(AC219*2))</f>
        <v>259867</v>
      </c>
      <c r="AF219" s="20">
        <v>326819</v>
      </c>
      <c r="AG219" s="20">
        <v>176850</v>
      </c>
      <c r="AH219" s="69">
        <v>0</v>
      </c>
      <c r="AI219" s="69" t="e">
        <f t="shared" ref="AI219:AI226" si="171">VLOOKUP(C219,PINJAMAN_KAI_JULI_25,35,0)</f>
        <v>#REF!</v>
      </c>
      <c r="AJ219" s="69">
        <v>0</v>
      </c>
      <c r="AK219" s="69" t="e">
        <f t="shared" si="123"/>
        <v>#REF!</v>
      </c>
      <c r="AL219" s="69">
        <v>0</v>
      </c>
      <c r="AM219" s="69">
        <f t="shared" ref="AM219:AM226" ca="1" si="172">AE219+AF219+AG219+AH219+AJ219+AL219</f>
        <v>763536</v>
      </c>
      <c r="AN219" s="69">
        <f t="shared" ref="AN219:AN226" ca="1" si="173">Y219-AM219</f>
        <v>6306514.583333334</v>
      </c>
      <c r="AO219" s="69">
        <f t="shared" ref="AO219:AO226" ca="1" si="174">BE219</f>
        <v>85855.517291666678</v>
      </c>
      <c r="AP219" s="69">
        <f t="shared" ref="AP219:AP226" ca="1" si="175">AN219-AO219</f>
        <v>6220659.066041667</v>
      </c>
      <c r="AQ219" s="69">
        <f t="shared" ref="AQ219:AQ226" ca="1" si="176">AP219-X219</f>
        <v>6220659.066041667</v>
      </c>
      <c r="AR219" s="70">
        <f t="shared" ref="AR219:AR226" ca="1" si="177">AP219-X219</f>
        <v>6220659.066041667</v>
      </c>
      <c r="AS219" s="113"/>
      <c r="AT219" s="73" t="s">
        <v>9</v>
      </c>
      <c r="AU219" s="61" t="s">
        <v>10</v>
      </c>
      <c r="AV219" s="69">
        <f t="shared" ref="AV219:AV226" si="178">I219</f>
        <v>3537000</v>
      </c>
      <c r="AW219" s="69">
        <f t="shared" ref="AW219:AW226" ca="1" si="179">P219</f>
        <v>2651127.5833333335</v>
      </c>
      <c r="AX219" s="69">
        <f t="shared" ref="AX219:AX226" ca="1" si="180">W219</f>
        <v>519734</v>
      </c>
      <c r="AY219" s="69">
        <v>0</v>
      </c>
      <c r="AZ219" s="69">
        <f t="shared" ref="AZ219:AZ226" si="181">IF(J219=0,0,AV219*0.24%)</f>
        <v>8488.7999999999993</v>
      </c>
      <c r="BA219" s="69">
        <f t="shared" ref="BA219:BA226" si="182">IF(J219=0,0,AV219*0.3%)</f>
        <v>10611</v>
      </c>
      <c r="BB219" s="69">
        <f t="shared" ref="BB219:BB226" si="183">IF(K219=0,0,AV219*4%)</f>
        <v>141480</v>
      </c>
      <c r="BC219" s="69">
        <f t="shared" ref="BC219:BC226" ca="1" si="184">SUM(AV219:BB219)</f>
        <v>6868441.3833333338</v>
      </c>
      <c r="BD219" s="74">
        <f ca="1">IF(AU219="C",VLOOKUP(BC219,TER!$J$4:$L$50,3,TRUE),IF(AU219="B",VLOOKUP(BC219,TER!$F$4:$H$50,3,TRUE),IF(AU219="A",VLOOKUP(BC219,TER!$B$4:$D$50,3,TRUE),"ERROR")))</f>
        <v>1.2500000000000001E-2</v>
      </c>
      <c r="BE219" s="69">
        <f t="shared" ref="BE219:BE226" ca="1" si="185">BC219*BD219</f>
        <v>85855.517291666678</v>
      </c>
      <c r="BF219" s="113"/>
      <c r="BG219" s="113"/>
    </row>
    <row r="220" spans="1:59" ht="13.5" hidden="1" customHeight="1">
      <c r="A220" s="113"/>
      <c r="B220" s="224">
        <v>65</v>
      </c>
      <c r="C220" s="180" t="s">
        <v>585</v>
      </c>
      <c r="D220" s="195" t="s">
        <v>586</v>
      </c>
      <c r="E220" s="86" t="s">
        <v>57</v>
      </c>
      <c r="F220" s="68" t="s">
        <v>587</v>
      </c>
      <c r="G220" s="180" t="s">
        <v>512</v>
      </c>
      <c r="H220" s="179" t="s">
        <v>32</v>
      </c>
      <c r="I220" s="69">
        <f t="shared" si="162"/>
        <v>3537000</v>
      </c>
      <c r="J220" s="70">
        <v>220709</v>
      </c>
      <c r="K220" s="70">
        <v>141480</v>
      </c>
      <c r="L220" s="181">
        <v>1137104</v>
      </c>
      <c r="M220" s="69">
        <f t="shared" ca="1" si="163"/>
        <v>56855.199999999997</v>
      </c>
      <c r="N220" s="61">
        <f ca="1">IFERROR(__xludf.DUMMYFUNCTION("VLOOKUP(C220,IMPORTRANGE(""https://docs.google.com/spreadsheets/d/1heLiqWF_2HiP-P9QpK84CTP6DxpoT_aG9fTdG9C1JMk/edit?gid=1535728046#gid=1535728046"",""DATA_ABSEN_JUNI25""),39,0)"),20)</f>
        <v>20</v>
      </c>
      <c r="O220" s="61">
        <f ca="1">IFERROR(__xludf.DUMMYFUNCTION("VLOOKUP(C220,IMPORTRANGE(""https://docs.google.com/spreadsheets/d/1heLiqWF_2HiP-P9QpK84CTP6DxpoT_aG9fTdG9C1JMk/edit?gid=1535728046#gid=1535728046"",""DATA_ABSEN_JUNI25""),40,0)"),20)</f>
        <v>20</v>
      </c>
      <c r="P220" s="69">
        <f t="shared" ca="1" si="164"/>
        <v>1137104</v>
      </c>
      <c r="Q220" s="179"/>
      <c r="R220" s="69">
        <f t="shared" si="165"/>
        <v>5036293</v>
      </c>
      <c r="S220" s="69">
        <f t="shared" ca="1" si="166"/>
        <v>5036293</v>
      </c>
      <c r="T220" s="69">
        <f t="shared" ca="1" si="167"/>
        <v>0</v>
      </c>
      <c r="U220" s="20">
        <v>259867</v>
      </c>
      <c r="V220" s="177">
        <f ca="1">IFERROR(__xludf.DUMMYFUNCTION("VLOOKUP(C220,IMPORTRANGE(""https://docs.google.com/spreadsheets/d/1heLiqWF_2HiP-P9QpK84CTP6DxpoT_aG9fTdG9C1JMk/edit?gid=1535728046#gid=1535728046"",""DATA_ABSEN_JUNI25""),41,0)"),0)</f>
        <v>0</v>
      </c>
      <c r="W220" s="69">
        <f t="shared" ca="1" si="168"/>
        <v>0</v>
      </c>
      <c r="X220" s="183">
        <v>0</v>
      </c>
      <c r="Y220" s="69">
        <f t="shared" ca="1" si="169"/>
        <v>5036293</v>
      </c>
      <c r="Z220" s="61">
        <f ca="1">IFERROR(__xludf.DUMMYFUNCTION("VLOOKUP(C220,IMPORTRANGE(""https://docs.google.com/spreadsheets/d/1heLiqWF_2HiP-P9QpK84CTP6DxpoT_aG9fTdG9C1JMk/edit?gid=1535728046#gid=1535728046"",""DATA_ABSEN_JUNI25""),42,0)+VLOOKUP(C220,IMPORTRANGE(""https://docs.google.com/spreadsheets/d/1heLiqWF_2Hi"&amp;"P-P9QpK84CTP6DxpoT_aG9fTdG9C1JMk/edit?gid=1535728046#gid=1535728046"",""DATA_ABSEN_JUNI25""),43,0)"),0)</f>
        <v>0</v>
      </c>
      <c r="AA220" s="61">
        <f ca="1">IFERROR(__xludf.DUMMYFUNCTION("VLOOKUP(C220,IMPORTRANGE(""https://docs.google.com/spreadsheets/d/1heLiqWF_2HiP-P9QpK84CTP6DxpoT_aG9fTdG9C1JMk/edit?gid=1535728046#gid=1535728046"",""DATA_ABSEN_JUNI25""),44,0)"),0)</f>
        <v>0</v>
      </c>
      <c r="AB220" s="61">
        <f ca="1">IFERROR(__xludf.DUMMYFUNCTION("VLOOKUP(C220,IMPORTRANGE(""https://docs.google.com/spreadsheets/d/1heLiqWF_2HiP-P9QpK84CTP6DxpoT_aG9fTdG9C1JMk/edit?gid=1535728046#gid=1535728046"",""DATA_ABSEN_JUNI25""),45,0)"),0)</f>
        <v>0</v>
      </c>
      <c r="AC220" s="61">
        <f ca="1">IFERROR(__xludf.DUMMYFUNCTION("VLOOKUP(C220,IMPORTRANGE(""https://docs.google.com/spreadsheets/d/1heLiqWF_2HiP-P9QpK84CTP6DxpoT_aG9fTdG9C1JMk/edit?gid=1535728046#gid=1535728046"",""DATA_ABSEN_JUNI25""),46,0)"),0)</f>
        <v>0</v>
      </c>
      <c r="AD220" s="125">
        <v>0</v>
      </c>
      <c r="AE220" s="69">
        <f t="shared" ca="1" si="170"/>
        <v>0</v>
      </c>
      <c r="AF220" s="20">
        <v>326819</v>
      </c>
      <c r="AG220" s="20">
        <v>176850</v>
      </c>
      <c r="AH220" s="69">
        <v>0</v>
      </c>
      <c r="AI220" s="69" t="e">
        <f t="shared" si="171"/>
        <v>#REF!</v>
      </c>
      <c r="AJ220" s="69">
        <v>0</v>
      </c>
      <c r="AK220" s="69" t="e">
        <f t="shared" si="123"/>
        <v>#REF!</v>
      </c>
      <c r="AL220" s="183">
        <v>0</v>
      </c>
      <c r="AM220" s="69">
        <f t="shared" ca="1" si="172"/>
        <v>503669</v>
      </c>
      <c r="AN220" s="69">
        <f t="shared" ca="1" si="173"/>
        <v>4532624</v>
      </c>
      <c r="AO220" s="69">
        <f t="shared" ca="1" si="174"/>
        <v>0</v>
      </c>
      <c r="AP220" s="69">
        <f t="shared" ca="1" si="175"/>
        <v>4532624</v>
      </c>
      <c r="AQ220" s="69">
        <f t="shared" ca="1" si="176"/>
        <v>4532624</v>
      </c>
      <c r="AR220" s="70">
        <f t="shared" ca="1" si="177"/>
        <v>4532624</v>
      </c>
      <c r="AS220" s="184"/>
      <c r="AT220" s="185" t="s">
        <v>9</v>
      </c>
      <c r="AU220" s="186" t="s">
        <v>10</v>
      </c>
      <c r="AV220" s="69">
        <f t="shared" si="178"/>
        <v>3537000</v>
      </c>
      <c r="AW220" s="69">
        <f t="shared" ca="1" si="179"/>
        <v>1137104</v>
      </c>
      <c r="AX220" s="69">
        <f t="shared" ca="1" si="180"/>
        <v>0</v>
      </c>
      <c r="AY220" s="183">
        <v>0</v>
      </c>
      <c r="AZ220" s="69">
        <f t="shared" si="181"/>
        <v>8488.7999999999993</v>
      </c>
      <c r="BA220" s="69">
        <f t="shared" si="182"/>
        <v>10611</v>
      </c>
      <c r="BB220" s="69">
        <f t="shared" si="183"/>
        <v>141480</v>
      </c>
      <c r="BC220" s="69">
        <f t="shared" ca="1" si="184"/>
        <v>4834683.8</v>
      </c>
      <c r="BD220" s="74">
        <f ca="1">IF(AU220="C",VLOOKUP(BC220,TER!$J$4:$L$50,3,TRUE),IF(AU220="B",VLOOKUP(BC220,TER!$F$4:$H$50,3,TRUE),IF(AU220="A",VLOOKUP(BC220,TER!$B$4:$D$50,3,TRUE),"ERROR")))</f>
        <v>0</v>
      </c>
      <c r="BE220" s="69">
        <f t="shared" ca="1" si="185"/>
        <v>0</v>
      </c>
      <c r="BF220" s="113"/>
      <c r="BG220" s="113"/>
    </row>
    <row r="221" spans="1:59" ht="13.5" hidden="1" customHeight="1">
      <c r="A221" s="113"/>
      <c r="B221" s="224">
        <v>66</v>
      </c>
      <c r="C221" s="188" t="s">
        <v>588</v>
      </c>
      <c r="D221" s="196" t="s">
        <v>589</v>
      </c>
      <c r="E221" s="86" t="s">
        <v>57</v>
      </c>
      <c r="F221" s="68" t="s">
        <v>590</v>
      </c>
      <c r="G221" s="67" t="s">
        <v>31</v>
      </c>
      <c r="H221" s="66" t="s">
        <v>32</v>
      </c>
      <c r="I221" s="69">
        <f t="shared" si="162"/>
        <v>3537000</v>
      </c>
      <c r="J221" s="70">
        <v>220709</v>
      </c>
      <c r="K221" s="70">
        <v>141480</v>
      </c>
      <c r="L221" s="70">
        <v>2766394</v>
      </c>
      <c r="M221" s="69">
        <f t="shared" ca="1" si="163"/>
        <v>115266.41666666667</v>
      </c>
      <c r="N221" s="61">
        <f ca="1">IFERROR(__xludf.DUMMYFUNCTION("VLOOKUP(C221,IMPORTRANGE(""https://docs.google.com/spreadsheets/d/1heLiqWF_2HiP-P9QpK84CTP6DxpoT_aG9fTdG9C1JMk/edit?gid=1535728046#gid=1535728046"",""DATA_ABSEN_JUNI25""),39,0)"),24)</f>
        <v>24</v>
      </c>
      <c r="O221" s="61">
        <f ca="1">IFERROR(__xludf.DUMMYFUNCTION("VLOOKUP(C221,IMPORTRANGE(""https://docs.google.com/spreadsheets/d/1heLiqWF_2HiP-P9QpK84CTP6DxpoT_aG9fTdG9C1JMk/edit?gid=1535728046#gid=1535728046"",""DATA_ABSEN_JUNI25""),40,0)"),24)</f>
        <v>24</v>
      </c>
      <c r="P221" s="69">
        <f t="shared" ca="1" si="164"/>
        <v>2766394</v>
      </c>
      <c r="Q221" s="66"/>
      <c r="R221" s="69">
        <f t="shared" si="165"/>
        <v>6665583</v>
      </c>
      <c r="S221" s="69">
        <f t="shared" ca="1" si="166"/>
        <v>6665583</v>
      </c>
      <c r="T221" s="69">
        <f t="shared" ca="1" si="167"/>
        <v>0</v>
      </c>
      <c r="U221" s="20">
        <v>259867</v>
      </c>
      <c r="V221" s="177">
        <f ca="1">IFERROR(__xludf.DUMMYFUNCTION("VLOOKUP(C221,IMPORTRANGE(""https://docs.google.com/spreadsheets/d/1heLiqWF_2HiP-P9QpK84CTP6DxpoT_aG9fTdG9C1JMk/edit?gid=1535728046#gid=1535728046"",""DATA_ABSEN_JUNI25""),41,0)"),1)</f>
        <v>1</v>
      </c>
      <c r="W221" s="69">
        <f t="shared" ca="1" si="168"/>
        <v>259867</v>
      </c>
      <c r="X221" s="69">
        <v>0</v>
      </c>
      <c r="Y221" s="69">
        <f t="shared" ca="1" si="169"/>
        <v>6925450</v>
      </c>
      <c r="Z221" s="61">
        <f ca="1">IFERROR(__xludf.DUMMYFUNCTION("VLOOKUP(C221,IMPORTRANGE(""https://docs.google.com/spreadsheets/d/1heLiqWF_2HiP-P9QpK84CTP6DxpoT_aG9fTdG9C1JMk/edit?gid=1535728046#gid=1535728046"",""DATA_ABSEN_JUNI25""),42,0)+VLOOKUP(C221,IMPORTRANGE(""https://docs.google.com/spreadsheets/d/1heLiqWF_2Hi"&amp;"P-P9QpK84CTP6DxpoT_aG9fTdG9C1JMk/edit?gid=1535728046#gid=1535728046"",""DATA_ABSEN_JUNI25""),43,0)"),0)</f>
        <v>0</v>
      </c>
      <c r="AA221" s="61">
        <f ca="1">IFERROR(__xludf.DUMMYFUNCTION("VLOOKUP(C221,IMPORTRANGE(""https://docs.google.com/spreadsheets/d/1heLiqWF_2HiP-P9QpK84CTP6DxpoT_aG9fTdG9C1JMk/edit?gid=1535728046#gid=1535728046"",""DATA_ABSEN_JUNI25""),44,0)"),0)</f>
        <v>0</v>
      </c>
      <c r="AB221" s="61">
        <f ca="1">IFERROR(__xludf.DUMMYFUNCTION("VLOOKUP(C221,IMPORTRANGE(""https://docs.google.com/spreadsheets/d/1heLiqWF_2HiP-P9QpK84CTP6DxpoT_aG9fTdG9C1JMk/edit?gid=1535728046#gid=1535728046"",""DATA_ABSEN_JUNI25""),45,0)"),0)</f>
        <v>0</v>
      </c>
      <c r="AC221" s="61">
        <f ca="1">IFERROR(__xludf.DUMMYFUNCTION("VLOOKUP(C221,IMPORTRANGE(""https://docs.google.com/spreadsheets/d/1heLiqWF_2HiP-P9QpK84CTP6DxpoT_aG9fTdG9C1JMk/edit?gid=1535728046#gid=1535728046"",""DATA_ABSEN_JUNI25""),46,0)"),0)</f>
        <v>0</v>
      </c>
      <c r="AD221" s="125">
        <v>0</v>
      </c>
      <c r="AE221" s="69">
        <f t="shared" ca="1" si="170"/>
        <v>0</v>
      </c>
      <c r="AF221" s="20">
        <v>326819</v>
      </c>
      <c r="AG221" s="20">
        <v>176850</v>
      </c>
      <c r="AH221" s="69">
        <v>0</v>
      </c>
      <c r="AI221" s="69" t="e">
        <f t="shared" si="171"/>
        <v>#REF!</v>
      </c>
      <c r="AJ221" s="69">
        <v>0</v>
      </c>
      <c r="AK221" s="69" t="e">
        <f t="shared" si="123"/>
        <v>#REF!</v>
      </c>
      <c r="AL221" s="69">
        <v>0</v>
      </c>
      <c r="AM221" s="69">
        <f t="shared" ca="1" si="172"/>
        <v>503669</v>
      </c>
      <c r="AN221" s="69">
        <f t="shared" ca="1" si="173"/>
        <v>6421781</v>
      </c>
      <c r="AO221" s="69">
        <f t="shared" ca="1" si="174"/>
        <v>67238.407999999996</v>
      </c>
      <c r="AP221" s="69">
        <f t="shared" ca="1" si="175"/>
        <v>6354542.5920000002</v>
      </c>
      <c r="AQ221" s="69">
        <f t="shared" ca="1" si="176"/>
        <v>6354542.5920000002</v>
      </c>
      <c r="AR221" s="70">
        <f t="shared" ca="1" si="177"/>
        <v>6354542.5920000002</v>
      </c>
      <c r="AS221" s="113"/>
      <c r="AT221" s="73" t="s">
        <v>13</v>
      </c>
      <c r="AU221" s="61" t="s">
        <v>10</v>
      </c>
      <c r="AV221" s="69">
        <f t="shared" si="178"/>
        <v>3537000</v>
      </c>
      <c r="AW221" s="69">
        <f t="shared" ca="1" si="179"/>
        <v>2766394</v>
      </c>
      <c r="AX221" s="69">
        <f t="shared" ca="1" si="180"/>
        <v>259867</v>
      </c>
      <c r="AY221" s="69">
        <v>0</v>
      </c>
      <c r="AZ221" s="69">
        <f t="shared" si="181"/>
        <v>8488.7999999999993</v>
      </c>
      <c r="BA221" s="69">
        <f t="shared" si="182"/>
        <v>10611</v>
      </c>
      <c r="BB221" s="69">
        <f t="shared" si="183"/>
        <v>141480</v>
      </c>
      <c r="BC221" s="69">
        <f t="shared" ca="1" si="184"/>
        <v>6723840.7999999998</v>
      </c>
      <c r="BD221" s="74">
        <f ca="1">IF(AU221="C",VLOOKUP(BC221,TER!$J$4:$L$50,3,TRUE),IF(AU221="B",VLOOKUP(BC221,TER!$F$4:$H$50,3,TRUE),IF(AU221="A",VLOOKUP(BC221,TER!$B$4:$D$50,3,TRUE),"ERROR")))</f>
        <v>0.01</v>
      </c>
      <c r="BE221" s="69">
        <f t="shared" ca="1" si="185"/>
        <v>67238.407999999996</v>
      </c>
      <c r="BF221" s="113"/>
      <c r="BG221" s="113"/>
    </row>
    <row r="222" spans="1:59" ht="13.5" hidden="1" customHeight="1">
      <c r="A222" s="113"/>
      <c r="B222" s="224">
        <v>67</v>
      </c>
      <c r="C222" s="124" t="s">
        <v>591</v>
      </c>
      <c r="D222" s="197" t="s">
        <v>592</v>
      </c>
      <c r="E222" s="86" t="s">
        <v>57</v>
      </c>
      <c r="F222" s="68" t="s">
        <v>593</v>
      </c>
      <c r="G222" s="67" t="s">
        <v>31</v>
      </c>
      <c r="H222" s="66" t="s">
        <v>32</v>
      </c>
      <c r="I222" s="69">
        <f t="shared" si="162"/>
        <v>3537000</v>
      </c>
      <c r="J222" s="70">
        <v>220709</v>
      </c>
      <c r="K222" s="70">
        <v>141480</v>
      </c>
      <c r="L222" s="70">
        <v>2766394</v>
      </c>
      <c r="M222" s="69">
        <f t="shared" ca="1" si="163"/>
        <v>115266.41666666667</v>
      </c>
      <c r="N222" s="61">
        <f ca="1">IFERROR(__xludf.DUMMYFUNCTION("VLOOKUP(C222,IMPORTRANGE(""https://docs.google.com/spreadsheets/d/1heLiqWF_2HiP-P9QpK84CTP6DxpoT_aG9fTdG9C1JMk/edit?gid=1535728046#gid=1535728046"",""DATA_ABSEN_JUNI25""),39,0)"),24)</f>
        <v>24</v>
      </c>
      <c r="O222" s="61">
        <f ca="1">IFERROR(__xludf.DUMMYFUNCTION("VLOOKUP(C222,IMPORTRANGE(""https://docs.google.com/spreadsheets/d/1heLiqWF_2HiP-P9QpK84CTP6DxpoT_aG9fTdG9C1JMk/edit?gid=1535728046#gid=1535728046"",""DATA_ABSEN_JUNI25""),40,0)"),24)</f>
        <v>24</v>
      </c>
      <c r="P222" s="69">
        <f t="shared" ca="1" si="164"/>
        <v>2766394</v>
      </c>
      <c r="Q222" s="66"/>
      <c r="R222" s="69">
        <f t="shared" si="165"/>
        <v>6665583</v>
      </c>
      <c r="S222" s="69">
        <f t="shared" ca="1" si="166"/>
        <v>6665583</v>
      </c>
      <c r="T222" s="69">
        <f t="shared" ca="1" si="167"/>
        <v>0</v>
      </c>
      <c r="U222" s="20">
        <v>259867</v>
      </c>
      <c r="V222" s="177">
        <f ca="1">IFERROR(__xludf.DUMMYFUNCTION("VLOOKUP(C222,IMPORTRANGE(""https://docs.google.com/spreadsheets/d/1heLiqWF_2HiP-P9QpK84CTP6DxpoT_aG9fTdG9C1JMk/edit?gid=1535728046#gid=1535728046"",""DATA_ABSEN_JUNI25""),41,0)"),0)</f>
        <v>0</v>
      </c>
      <c r="W222" s="69">
        <f t="shared" ca="1" si="168"/>
        <v>0</v>
      </c>
      <c r="X222" s="69">
        <v>0</v>
      </c>
      <c r="Y222" s="69">
        <f t="shared" ca="1" si="169"/>
        <v>6665583</v>
      </c>
      <c r="Z222" s="61">
        <f ca="1">IFERROR(__xludf.DUMMYFUNCTION("VLOOKUP(C222,IMPORTRANGE(""https://docs.google.com/spreadsheets/d/1heLiqWF_2HiP-P9QpK84CTP6DxpoT_aG9fTdG9C1JMk/edit?gid=1535728046#gid=1535728046"",""DATA_ABSEN_JUNI25""),42,0)+VLOOKUP(C222,IMPORTRANGE(""https://docs.google.com/spreadsheets/d/1heLiqWF_2Hi"&amp;"P-P9QpK84CTP6DxpoT_aG9fTdG9C1JMk/edit?gid=1535728046#gid=1535728046"",""DATA_ABSEN_JUNI25""),43,0)"),0)</f>
        <v>0</v>
      </c>
      <c r="AA222" s="61">
        <f ca="1">IFERROR(__xludf.DUMMYFUNCTION("VLOOKUP(C222,IMPORTRANGE(""https://docs.google.com/spreadsheets/d/1heLiqWF_2HiP-P9QpK84CTP6DxpoT_aG9fTdG9C1JMk/edit?gid=1535728046#gid=1535728046"",""DATA_ABSEN_JUNI25""),44,0)"),0)</f>
        <v>0</v>
      </c>
      <c r="AB222" s="61">
        <f ca="1">IFERROR(__xludf.DUMMYFUNCTION("VLOOKUP(C222,IMPORTRANGE(""https://docs.google.com/spreadsheets/d/1heLiqWF_2HiP-P9QpK84CTP6DxpoT_aG9fTdG9C1JMk/edit?gid=1535728046#gid=1535728046"",""DATA_ABSEN_JUNI25""),45,0)"),0)</f>
        <v>0</v>
      </c>
      <c r="AC222" s="61">
        <f ca="1">IFERROR(__xludf.DUMMYFUNCTION("VLOOKUP(C222,IMPORTRANGE(""https://docs.google.com/spreadsheets/d/1heLiqWF_2HiP-P9QpK84CTP6DxpoT_aG9fTdG9C1JMk/edit?gid=1535728046#gid=1535728046"",""DATA_ABSEN_JUNI25""),46,0)"),0)</f>
        <v>0</v>
      </c>
      <c r="AD222" s="125">
        <v>0</v>
      </c>
      <c r="AE222" s="69">
        <f t="shared" ca="1" si="170"/>
        <v>0</v>
      </c>
      <c r="AF222" s="20">
        <v>326819</v>
      </c>
      <c r="AG222" s="20">
        <v>176850</v>
      </c>
      <c r="AH222" s="69">
        <v>0</v>
      </c>
      <c r="AI222" s="69" t="e">
        <f t="shared" si="171"/>
        <v>#REF!</v>
      </c>
      <c r="AJ222" s="69">
        <v>0</v>
      </c>
      <c r="AK222" s="69" t="e">
        <f t="shared" si="123"/>
        <v>#REF!</v>
      </c>
      <c r="AL222" s="69">
        <v>0</v>
      </c>
      <c r="AM222" s="69">
        <f t="shared" ca="1" si="172"/>
        <v>503669</v>
      </c>
      <c r="AN222" s="69">
        <f t="shared" ca="1" si="173"/>
        <v>6161914</v>
      </c>
      <c r="AO222" s="69">
        <f t="shared" ca="1" si="174"/>
        <v>64639.737999999998</v>
      </c>
      <c r="AP222" s="69">
        <f t="shared" ca="1" si="175"/>
        <v>6097274.2620000001</v>
      </c>
      <c r="AQ222" s="69">
        <f t="shared" ca="1" si="176"/>
        <v>6097274.2620000001</v>
      </c>
      <c r="AR222" s="70">
        <f t="shared" ca="1" si="177"/>
        <v>6097274.2620000001</v>
      </c>
      <c r="AS222" s="113"/>
      <c r="AT222" s="73" t="s">
        <v>9</v>
      </c>
      <c r="AU222" s="61" t="s">
        <v>10</v>
      </c>
      <c r="AV222" s="69">
        <f t="shared" si="178"/>
        <v>3537000</v>
      </c>
      <c r="AW222" s="69">
        <f t="shared" ca="1" si="179"/>
        <v>2766394</v>
      </c>
      <c r="AX222" s="69">
        <f t="shared" ca="1" si="180"/>
        <v>0</v>
      </c>
      <c r="AY222" s="69">
        <v>0</v>
      </c>
      <c r="AZ222" s="69">
        <f t="shared" si="181"/>
        <v>8488.7999999999993</v>
      </c>
      <c r="BA222" s="69">
        <f t="shared" si="182"/>
        <v>10611</v>
      </c>
      <c r="BB222" s="69">
        <f t="shared" si="183"/>
        <v>141480</v>
      </c>
      <c r="BC222" s="69">
        <f t="shared" ca="1" si="184"/>
        <v>6463973.7999999998</v>
      </c>
      <c r="BD222" s="74">
        <f ca="1">IF(AU222="C",VLOOKUP(BC222,TER!$J$4:$L$50,3,TRUE),IF(AU222="B",VLOOKUP(BC222,TER!$F$4:$H$50,3,TRUE),IF(AU222="A",VLOOKUP(BC222,TER!$B$4:$D$50,3,TRUE),"ERROR")))</f>
        <v>0.01</v>
      </c>
      <c r="BE222" s="69">
        <f t="shared" ca="1" si="185"/>
        <v>64639.737999999998</v>
      </c>
      <c r="BF222" s="113"/>
      <c r="BG222" s="113"/>
    </row>
    <row r="223" spans="1:59" ht="13.5" hidden="1" customHeight="1">
      <c r="A223" s="113"/>
      <c r="B223" s="224">
        <v>68</v>
      </c>
      <c r="C223" s="124" t="s">
        <v>80</v>
      </c>
      <c r="D223" s="197" t="s">
        <v>81</v>
      </c>
      <c r="E223" s="86" t="s">
        <v>57</v>
      </c>
      <c r="F223" s="68" t="s">
        <v>82</v>
      </c>
      <c r="G223" s="67" t="s">
        <v>31</v>
      </c>
      <c r="H223" s="66" t="s">
        <v>32</v>
      </c>
      <c r="I223" s="69">
        <f t="shared" si="162"/>
        <v>3537000</v>
      </c>
      <c r="J223" s="70">
        <v>220709</v>
      </c>
      <c r="K223" s="70">
        <v>141480</v>
      </c>
      <c r="L223" s="70">
        <v>2766394</v>
      </c>
      <c r="M223" s="69">
        <f t="shared" ca="1" si="163"/>
        <v>115266.41666666667</v>
      </c>
      <c r="N223" s="61">
        <f ca="1">IFERROR(__xludf.DUMMYFUNCTION("VLOOKUP(C223,IMPORTRANGE(""https://docs.google.com/spreadsheets/d/1heLiqWF_2HiP-P9QpK84CTP6DxpoT_aG9fTdG9C1JMk/edit?gid=1535728046#gid=1535728046"",""DATA_ABSEN_JUNI25""),39,0)"),24)</f>
        <v>24</v>
      </c>
      <c r="O223" s="61">
        <f ca="1">IFERROR(__xludf.DUMMYFUNCTION("VLOOKUP(C223,IMPORTRANGE(""https://docs.google.com/spreadsheets/d/1heLiqWF_2HiP-P9QpK84CTP6DxpoT_aG9fTdG9C1JMk/edit?gid=1535728046#gid=1535728046"",""DATA_ABSEN_JUNI25""),40,0)"),24)</f>
        <v>24</v>
      </c>
      <c r="P223" s="69">
        <f t="shared" ca="1" si="164"/>
        <v>2766394</v>
      </c>
      <c r="Q223" s="66"/>
      <c r="R223" s="69">
        <f t="shared" si="165"/>
        <v>6665583</v>
      </c>
      <c r="S223" s="69">
        <f t="shared" ca="1" si="166"/>
        <v>6665583</v>
      </c>
      <c r="T223" s="69">
        <f t="shared" ca="1" si="167"/>
        <v>0</v>
      </c>
      <c r="U223" s="20">
        <v>259867</v>
      </c>
      <c r="V223" s="177">
        <f ca="1">IFERROR(__xludf.DUMMYFUNCTION("VLOOKUP(C223,IMPORTRANGE(""https://docs.google.com/spreadsheets/d/1heLiqWF_2HiP-P9QpK84CTP6DxpoT_aG9fTdG9C1JMk/edit?gid=1535728046#gid=1535728046"",""DATA_ABSEN_JUNI25""),41,0)"),2)</f>
        <v>2</v>
      </c>
      <c r="W223" s="69">
        <f t="shared" ca="1" si="168"/>
        <v>519734</v>
      </c>
      <c r="X223" s="69">
        <v>0</v>
      </c>
      <c r="Y223" s="69">
        <f t="shared" ca="1" si="169"/>
        <v>7185317</v>
      </c>
      <c r="Z223" s="61">
        <f ca="1">IFERROR(__xludf.DUMMYFUNCTION("VLOOKUP(C223,IMPORTRANGE(""https://docs.google.com/spreadsheets/d/1heLiqWF_2HiP-P9QpK84CTP6DxpoT_aG9fTdG9C1JMk/edit?gid=1535728046#gid=1535728046"",""DATA_ABSEN_JUNI25""),42,0)+VLOOKUP(C223,IMPORTRANGE(""https://docs.google.com/spreadsheets/d/1heLiqWF_2Hi"&amp;"P-P9QpK84CTP6DxpoT_aG9fTdG9C1JMk/edit?gid=1535728046#gid=1535728046"",""DATA_ABSEN_JUNI25""),43,0)"),0)</f>
        <v>0</v>
      </c>
      <c r="AA223" s="61">
        <f ca="1">IFERROR(__xludf.DUMMYFUNCTION("VLOOKUP(C223,IMPORTRANGE(""https://docs.google.com/spreadsheets/d/1heLiqWF_2HiP-P9QpK84CTP6DxpoT_aG9fTdG9C1JMk/edit?gid=1535728046#gid=1535728046"",""DATA_ABSEN_JUNI25""),44,0)"),0)</f>
        <v>0</v>
      </c>
      <c r="AB223" s="61">
        <f ca="1">IFERROR(__xludf.DUMMYFUNCTION("VLOOKUP(C223,IMPORTRANGE(""https://docs.google.com/spreadsheets/d/1heLiqWF_2HiP-P9QpK84CTP6DxpoT_aG9fTdG9C1JMk/edit?gid=1535728046#gid=1535728046"",""DATA_ABSEN_JUNI25""),45,0)"),0)</f>
        <v>0</v>
      </c>
      <c r="AC223" s="61">
        <f ca="1">IFERROR(__xludf.DUMMYFUNCTION("VLOOKUP(C223,IMPORTRANGE(""https://docs.google.com/spreadsheets/d/1heLiqWF_2HiP-P9QpK84CTP6DxpoT_aG9fTdG9C1JMk/edit?gid=1535728046#gid=1535728046"",""DATA_ABSEN_JUNI25""),46,0)"),0)</f>
        <v>0</v>
      </c>
      <c r="AD223" s="125">
        <v>0</v>
      </c>
      <c r="AE223" s="69">
        <f t="shared" ca="1" si="170"/>
        <v>0</v>
      </c>
      <c r="AF223" s="20">
        <v>326819</v>
      </c>
      <c r="AG223" s="20">
        <v>176850</v>
      </c>
      <c r="AH223" s="69">
        <v>0</v>
      </c>
      <c r="AI223" s="69" t="e">
        <f t="shared" si="171"/>
        <v>#REF!</v>
      </c>
      <c r="AJ223" s="69">
        <v>0</v>
      </c>
      <c r="AK223" s="69" t="e">
        <f t="shared" si="123"/>
        <v>#REF!</v>
      </c>
      <c r="AL223" s="69">
        <v>0</v>
      </c>
      <c r="AM223" s="69">
        <f t="shared" ca="1" si="172"/>
        <v>503669</v>
      </c>
      <c r="AN223" s="69">
        <f t="shared" ca="1" si="173"/>
        <v>6681648</v>
      </c>
      <c r="AO223" s="69">
        <f t="shared" ca="1" si="174"/>
        <v>87296.347500000003</v>
      </c>
      <c r="AP223" s="69">
        <f t="shared" ca="1" si="175"/>
        <v>6594351.6524999999</v>
      </c>
      <c r="AQ223" s="69">
        <f t="shared" ca="1" si="176"/>
        <v>6594351.6524999999</v>
      </c>
      <c r="AR223" s="70">
        <f t="shared" ca="1" si="177"/>
        <v>6594351.6524999999</v>
      </c>
      <c r="AS223" s="113"/>
      <c r="AT223" s="73" t="s">
        <v>9</v>
      </c>
      <c r="AU223" s="61" t="s">
        <v>10</v>
      </c>
      <c r="AV223" s="69">
        <f t="shared" si="178"/>
        <v>3537000</v>
      </c>
      <c r="AW223" s="69">
        <f t="shared" ca="1" si="179"/>
        <v>2766394</v>
      </c>
      <c r="AX223" s="69">
        <f t="shared" ca="1" si="180"/>
        <v>519734</v>
      </c>
      <c r="AY223" s="69">
        <v>0</v>
      </c>
      <c r="AZ223" s="69">
        <f t="shared" si="181"/>
        <v>8488.7999999999993</v>
      </c>
      <c r="BA223" s="69">
        <f t="shared" si="182"/>
        <v>10611</v>
      </c>
      <c r="BB223" s="69">
        <f t="shared" si="183"/>
        <v>141480</v>
      </c>
      <c r="BC223" s="69">
        <f t="shared" ca="1" si="184"/>
        <v>6983707.7999999998</v>
      </c>
      <c r="BD223" s="74">
        <f ca="1">IF(AU223="C",VLOOKUP(BC223,TER!$J$4:$L$50,3,TRUE),IF(AU223="B",VLOOKUP(BC223,TER!$F$4:$H$50,3,TRUE),IF(AU223="A",VLOOKUP(BC223,TER!$B$4:$D$50,3,TRUE),"ERROR")))</f>
        <v>1.2500000000000001E-2</v>
      </c>
      <c r="BE223" s="69">
        <f t="shared" ca="1" si="185"/>
        <v>87296.347500000003</v>
      </c>
      <c r="BF223" s="113"/>
      <c r="BG223" s="113"/>
    </row>
    <row r="224" spans="1:59" ht="13.5" hidden="1" customHeight="1">
      <c r="A224" s="113"/>
      <c r="B224" s="224">
        <v>69</v>
      </c>
      <c r="C224" s="124" t="s">
        <v>594</v>
      </c>
      <c r="D224" s="197" t="s">
        <v>595</v>
      </c>
      <c r="E224" s="86" t="s">
        <v>57</v>
      </c>
      <c r="F224" s="68" t="s">
        <v>1263</v>
      </c>
      <c r="G224" s="67" t="s">
        <v>31</v>
      </c>
      <c r="H224" s="66" t="s">
        <v>32</v>
      </c>
      <c r="I224" s="69">
        <f t="shared" si="162"/>
        <v>3537000</v>
      </c>
      <c r="J224" s="70">
        <v>220709</v>
      </c>
      <c r="K224" s="70">
        <v>141480</v>
      </c>
      <c r="L224" s="70">
        <v>2766394</v>
      </c>
      <c r="M224" s="69">
        <f t="shared" ca="1" si="163"/>
        <v>115266.41666666667</v>
      </c>
      <c r="N224" s="61">
        <f ca="1">IFERROR(__xludf.DUMMYFUNCTION("VLOOKUP(C224,IMPORTRANGE(""https://docs.google.com/spreadsheets/d/1heLiqWF_2HiP-P9QpK84CTP6DxpoT_aG9fTdG9C1JMk/edit?gid=1535728046#gid=1535728046"",""DATA_ABSEN_JUNI25""),39,0)"),24)</f>
        <v>24</v>
      </c>
      <c r="O224" s="61">
        <f ca="1">IFERROR(__xludf.DUMMYFUNCTION("VLOOKUP(C224,IMPORTRANGE(""https://docs.google.com/spreadsheets/d/1heLiqWF_2HiP-P9QpK84CTP6DxpoT_aG9fTdG9C1JMk/edit?gid=1535728046#gid=1535728046"",""DATA_ABSEN_JUNI25""),40,0)"),24)</f>
        <v>24</v>
      </c>
      <c r="P224" s="69">
        <f t="shared" ca="1" si="164"/>
        <v>2766394</v>
      </c>
      <c r="Q224" s="71"/>
      <c r="R224" s="69">
        <f t="shared" si="165"/>
        <v>6665583</v>
      </c>
      <c r="S224" s="69">
        <f t="shared" ca="1" si="166"/>
        <v>6665583</v>
      </c>
      <c r="T224" s="69">
        <f t="shared" ca="1" si="167"/>
        <v>0</v>
      </c>
      <c r="U224" s="20">
        <v>259867</v>
      </c>
      <c r="V224" s="177">
        <f ca="1">IFERROR(__xludf.DUMMYFUNCTION("VLOOKUP(C224,IMPORTRANGE(""https://docs.google.com/spreadsheets/d/1heLiqWF_2HiP-P9QpK84CTP6DxpoT_aG9fTdG9C1JMk/edit?gid=1535728046#gid=1535728046"",""DATA_ABSEN_JUNI25""),41,0)"),2)</f>
        <v>2</v>
      </c>
      <c r="W224" s="69">
        <f t="shared" ca="1" si="168"/>
        <v>519734</v>
      </c>
      <c r="X224" s="69">
        <v>0</v>
      </c>
      <c r="Y224" s="69">
        <f t="shared" ca="1" si="169"/>
        <v>7185317</v>
      </c>
      <c r="Z224" s="61">
        <f ca="1">IFERROR(__xludf.DUMMYFUNCTION("VLOOKUP(C224,IMPORTRANGE(""https://docs.google.com/spreadsheets/d/1heLiqWF_2HiP-P9QpK84CTP6DxpoT_aG9fTdG9C1JMk/edit?gid=1535728046#gid=1535728046"",""DATA_ABSEN_JUNI25""),42,0)+VLOOKUP(C224,IMPORTRANGE(""https://docs.google.com/spreadsheets/d/1heLiqWF_2Hi"&amp;"P-P9QpK84CTP6DxpoT_aG9fTdG9C1JMk/edit?gid=1535728046#gid=1535728046"",""DATA_ABSEN_JUNI25""),43,0)"),0)</f>
        <v>0</v>
      </c>
      <c r="AA224" s="61">
        <f ca="1">IFERROR(__xludf.DUMMYFUNCTION("VLOOKUP(C224,IMPORTRANGE(""https://docs.google.com/spreadsheets/d/1heLiqWF_2HiP-P9QpK84CTP6DxpoT_aG9fTdG9C1JMk/edit?gid=1535728046#gid=1535728046"",""DATA_ABSEN_JUNI25""),44,0)"),0)</f>
        <v>0</v>
      </c>
      <c r="AB224" s="61">
        <f ca="1">IFERROR(__xludf.DUMMYFUNCTION("VLOOKUP(C224,IMPORTRANGE(""https://docs.google.com/spreadsheets/d/1heLiqWF_2HiP-P9QpK84CTP6DxpoT_aG9fTdG9C1JMk/edit?gid=1535728046#gid=1535728046"",""DATA_ABSEN_JUNI25""),45,0)"),0)</f>
        <v>0</v>
      </c>
      <c r="AC224" s="61">
        <f ca="1">IFERROR(__xludf.DUMMYFUNCTION("VLOOKUP(C224,IMPORTRANGE(""https://docs.google.com/spreadsheets/d/1heLiqWF_2HiP-P9QpK84CTP6DxpoT_aG9fTdG9C1JMk/edit?gid=1535728046#gid=1535728046"",""DATA_ABSEN_JUNI25""),46,0)"),0)</f>
        <v>0</v>
      </c>
      <c r="AD224" s="125">
        <v>0</v>
      </c>
      <c r="AE224" s="69">
        <f t="shared" ca="1" si="170"/>
        <v>0</v>
      </c>
      <c r="AF224" s="20">
        <v>326819</v>
      </c>
      <c r="AG224" s="20">
        <v>176850</v>
      </c>
      <c r="AH224" s="69">
        <v>0</v>
      </c>
      <c r="AI224" s="69" t="e">
        <f t="shared" si="171"/>
        <v>#REF!</v>
      </c>
      <c r="AJ224" s="69">
        <v>0</v>
      </c>
      <c r="AK224" s="69" t="e">
        <f t="shared" si="123"/>
        <v>#REF!</v>
      </c>
      <c r="AL224" s="69">
        <v>0</v>
      </c>
      <c r="AM224" s="69">
        <f t="shared" ca="1" si="172"/>
        <v>503669</v>
      </c>
      <c r="AN224" s="69">
        <f t="shared" ca="1" si="173"/>
        <v>6681648</v>
      </c>
      <c r="AO224" s="69">
        <f t="shared" ca="1" si="174"/>
        <v>87296.347500000003</v>
      </c>
      <c r="AP224" s="69">
        <f t="shared" ca="1" si="175"/>
        <v>6594351.6524999999</v>
      </c>
      <c r="AQ224" s="69">
        <f t="shared" ca="1" si="176"/>
        <v>6594351.6524999999</v>
      </c>
      <c r="AR224" s="70">
        <f t="shared" ca="1" si="177"/>
        <v>6594351.6524999999</v>
      </c>
      <c r="AS224" s="113"/>
      <c r="AT224" s="73" t="s">
        <v>9</v>
      </c>
      <c r="AU224" s="61" t="s">
        <v>10</v>
      </c>
      <c r="AV224" s="69">
        <f t="shared" si="178"/>
        <v>3537000</v>
      </c>
      <c r="AW224" s="69">
        <f t="shared" ca="1" si="179"/>
        <v>2766394</v>
      </c>
      <c r="AX224" s="69">
        <f t="shared" ca="1" si="180"/>
        <v>519734</v>
      </c>
      <c r="AY224" s="69">
        <v>0</v>
      </c>
      <c r="AZ224" s="69">
        <f t="shared" si="181"/>
        <v>8488.7999999999993</v>
      </c>
      <c r="BA224" s="69">
        <f t="shared" si="182"/>
        <v>10611</v>
      </c>
      <c r="BB224" s="69">
        <f t="shared" si="183"/>
        <v>141480</v>
      </c>
      <c r="BC224" s="69">
        <f t="shared" ca="1" si="184"/>
        <v>6983707.7999999998</v>
      </c>
      <c r="BD224" s="74">
        <f ca="1">IF(AU224="C",VLOOKUP(BC224,TER!$J$4:$L$50,3,TRUE),IF(AU224="B",VLOOKUP(BC224,TER!$F$4:$H$50,3,TRUE),IF(AU224="A",VLOOKUP(BC224,TER!$B$4:$D$50,3,TRUE),"ERROR")))</f>
        <v>1.2500000000000001E-2</v>
      </c>
      <c r="BE224" s="69">
        <f t="shared" ca="1" si="185"/>
        <v>87296.347500000003</v>
      </c>
      <c r="BF224" s="113"/>
      <c r="BG224" s="113"/>
    </row>
    <row r="225" spans="1:59" ht="13.5" hidden="1" customHeight="1">
      <c r="A225" s="113"/>
      <c r="B225" s="224">
        <v>70</v>
      </c>
      <c r="C225" s="124" t="s">
        <v>596</v>
      </c>
      <c r="D225" s="198" t="s">
        <v>597</v>
      </c>
      <c r="E225" s="86" t="s">
        <v>57</v>
      </c>
      <c r="F225" s="68" t="s">
        <v>598</v>
      </c>
      <c r="G225" s="67" t="s">
        <v>31</v>
      </c>
      <c r="H225" s="66" t="s">
        <v>32</v>
      </c>
      <c r="I225" s="69">
        <f t="shared" si="162"/>
        <v>3537000</v>
      </c>
      <c r="J225" s="70">
        <v>220709</v>
      </c>
      <c r="K225" s="199"/>
      <c r="L225" s="70">
        <v>2766394</v>
      </c>
      <c r="M225" s="69">
        <f t="shared" ca="1" si="163"/>
        <v>115266.41666666667</v>
      </c>
      <c r="N225" s="61">
        <f ca="1">IFERROR(__xludf.DUMMYFUNCTION("VLOOKUP(C225,IMPORTRANGE(""https://docs.google.com/spreadsheets/d/1heLiqWF_2HiP-P9QpK84CTP6DxpoT_aG9fTdG9C1JMk/edit?gid=1535728046#gid=1535728046"",""DATA_ABSEN_JUNI25""),39,0)"),24)</f>
        <v>24</v>
      </c>
      <c r="O225" s="61">
        <f ca="1">IFERROR(__xludf.DUMMYFUNCTION("VLOOKUP(C225,IMPORTRANGE(""https://docs.google.com/spreadsheets/d/1heLiqWF_2HiP-P9QpK84CTP6DxpoT_aG9fTdG9C1JMk/edit?gid=1535728046#gid=1535728046"",""DATA_ABSEN_JUNI25""),40,0)"),24)</f>
        <v>24</v>
      </c>
      <c r="P225" s="69">
        <f t="shared" ca="1" si="164"/>
        <v>2766394</v>
      </c>
      <c r="Q225" s="71"/>
      <c r="R225" s="69">
        <f t="shared" si="165"/>
        <v>6524103</v>
      </c>
      <c r="S225" s="69">
        <f t="shared" ca="1" si="166"/>
        <v>6524103</v>
      </c>
      <c r="T225" s="69">
        <f t="shared" ca="1" si="167"/>
        <v>0</v>
      </c>
      <c r="U225" s="20">
        <v>259867</v>
      </c>
      <c r="V225" s="177">
        <f ca="1">IFERROR(__xludf.DUMMYFUNCTION("VLOOKUP(C225,IMPORTRANGE(""https://docs.google.com/spreadsheets/d/1heLiqWF_2HiP-P9QpK84CTP6DxpoT_aG9fTdG9C1JMk/edit?gid=1535728046#gid=1535728046"",""DATA_ABSEN_JUNI25""),41,0)"),3)</f>
        <v>3</v>
      </c>
      <c r="W225" s="69">
        <f t="shared" ca="1" si="168"/>
        <v>779601</v>
      </c>
      <c r="X225" s="69">
        <v>0</v>
      </c>
      <c r="Y225" s="69">
        <f t="shared" ca="1" si="169"/>
        <v>7303704</v>
      </c>
      <c r="Z225" s="61">
        <f ca="1">IFERROR(__xludf.DUMMYFUNCTION("VLOOKUP(C225,IMPORTRANGE(""https://docs.google.com/spreadsheets/d/1heLiqWF_2HiP-P9QpK84CTP6DxpoT_aG9fTdG9C1JMk/edit?gid=1535728046#gid=1535728046"",""DATA_ABSEN_JUNI25""),42,0)+VLOOKUP(C225,IMPORTRANGE(""https://docs.google.com/spreadsheets/d/1heLiqWF_2Hi"&amp;"P-P9QpK84CTP6DxpoT_aG9fTdG9C1JMk/edit?gid=1535728046#gid=1535728046"",""DATA_ABSEN_JUNI25""),43,0)"),0)</f>
        <v>0</v>
      </c>
      <c r="AA225" s="61">
        <f ca="1">IFERROR(__xludf.DUMMYFUNCTION("VLOOKUP(C225,IMPORTRANGE(""https://docs.google.com/spreadsheets/d/1heLiqWF_2HiP-P9QpK84CTP6DxpoT_aG9fTdG9C1JMk/edit?gid=1535728046#gid=1535728046"",""DATA_ABSEN_JUNI25""),44,0)"),0)</f>
        <v>0</v>
      </c>
      <c r="AB225" s="61">
        <f ca="1">IFERROR(__xludf.DUMMYFUNCTION("VLOOKUP(C225,IMPORTRANGE(""https://docs.google.com/spreadsheets/d/1heLiqWF_2HiP-P9QpK84CTP6DxpoT_aG9fTdG9C1JMk/edit?gid=1535728046#gid=1535728046"",""DATA_ABSEN_JUNI25""),45,0)"),0)</f>
        <v>0</v>
      </c>
      <c r="AC225" s="61">
        <f ca="1">IFERROR(__xludf.DUMMYFUNCTION("VLOOKUP(C225,IMPORTRANGE(""https://docs.google.com/spreadsheets/d/1heLiqWF_2HiP-P9QpK84CTP6DxpoT_aG9fTdG9C1JMk/edit?gid=1535728046#gid=1535728046"",""DATA_ABSEN_JUNI25""),46,0)"),0)</f>
        <v>0</v>
      </c>
      <c r="AD225" s="125">
        <v>0</v>
      </c>
      <c r="AE225" s="69">
        <f t="shared" ca="1" si="170"/>
        <v>0</v>
      </c>
      <c r="AF225" s="20">
        <v>326819</v>
      </c>
      <c r="AG225" s="20">
        <v>0</v>
      </c>
      <c r="AH225" s="69">
        <v>0</v>
      </c>
      <c r="AI225" s="69" t="e">
        <f t="shared" si="171"/>
        <v>#REF!</v>
      </c>
      <c r="AJ225" s="69">
        <v>0</v>
      </c>
      <c r="AK225" s="69" t="e">
        <f t="shared" si="123"/>
        <v>#REF!</v>
      </c>
      <c r="AL225" s="69">
        <v>0</v>
      </c>
      <c r="AM225" s="69">
        <f t="shared" ca="1" si="172"/>
        <v>326819</v>
      </c>
      <c r="AN225" s="69">
        <f t="shared" ca="1" si="173"/>
        <v>6976885</v>
      </c>
      <c r="AO225" s="69">
        <f t="shared" ca="1" si="174"/>
        <v>88776.184999999998</v>
      </c>
      <c r="AP225" s="69">
        <f t="shared" ca="1" si="175"/>
        <v>6888108.8150000004</v>
      </c>
      <c r="AQ225" s="69">
        <f t="shared" ca="1" si="176"/>
        <v>6888108.8150000004</v>
      </c>
      <c r="AR225" s="70">
        <f t="shared" ca="1" si="177"/>
        <v>6888108.8150000004</v>
      </c>
      <c r="AS225" s="113"/>
      <c r="AT225" s="73" t="s">
        <v>9</v>
      </c>
      <c r="AU225" s="61" t="s">
        <v>10</v>
      </c>
      <c r="AV225" s="69">
        <f t="shared" si="178"/>
        <v>3537000</v>
      </c>
      <c r="AW225" s="69">
        <f t="shared" ca="1" si="179"/>
        <v>2766394</v>
      </c>
      <c r="AX225" s="69">
        <f t="shared" ca="1" si="180"/>
        <v>779601</v>
      </c>
      <c r="AY225" s="69">
        <v>0</v>
      </c>
      <c r="AZ225" s="69">
        <f t="shared" si="181"/>
        <v>8488.7999999999993</v>
      </c>
      <c r="BA225" s="69">
        <f t="shared" si="182"/>
        <v>10611</v>
      </c>
      <c r="BB225" s="69">
        <f t="shared" si="183"/>
        <v>0</v>
      </c>
      <c r="BC225" s="69">
        <f t="shared" ca="1" si="184"/>
        <v>7102094.7999999998</v>
      </c>
      <c r="BD225" s="74">
        <f ca="1">IF(AU225="C",VLOOKUP(BC225,TER!$J$4:$L$50,3,TRUE),IF(AU225="B",VLOOKUP(BC225,TER!$F$4:$H$50,3,TRUE),IF(AU225="A",VLOOKUP(BC225,TER!$B$4:$D$50,3,TRUE),"ERROR")))</f>
        <v>1.2500000000000001E-2</v>
      </c>
      <c r="BE225" s="69">
        <f t="shared" ca="1" si="185"/>
        <v>88776.184999999998</v>
      </c>
      <c r="BF225" s="113"/>
      <c r="BG225" s="113"/>
    </row>
    <row r="226" spans="1:59" ht="13.5" hidden="1" customHeight="1">
      <c r="A226" s="113"/>
      <c r="B226" s="224">
        <v>71</v>
      </c>
      <c r="C226" s="68" t="s">
        <v>599</v>
      </c>
      <c r="D226" s="198" t="s">
        <v>600</v>
      </c>
      <c r="E226" s="86" t="s">
        <v>57</v>
      </c>
      <c r="F226" s="68" t="s">
        <v>601</v>
      </c>
      <c r="G226" s="67" t="s">
        <v>31</v>
      </c>
      <c r="H226" s="66" t="s">
        <v>32</v>
      </c>
      <c r="I226" s="69">
        <f t="shared" si="162"/>
        <v>3537000</v>
      </c>
      <c r="J226" s="70">
        <v>220709</v>
      </c>
      <c r="K226" s="199"/>
      <c r="L226" s="70">
        <v>2766394</v>
      </c>
      <c r="M226" s="69">
        <f t="shared" ca="1" si="163"/>
        <v>115266.41666666667</v>
      </c>
      <c r="N226" s="61">
        <f ca="1">IFERROR(__xludf.DUMMYFUNCTION("VLOOKUP(C226,IMPORTRANGE(""https://docs.google.com/spreadsheets/d/1heLiqWF_2HiP-P9QpK84CTP6DxpoT_aG9fTdG9C1JMk/edit?gid=1535728046#gid=1535728046"",""DATA_ABSEN_JUNI25""),39,0)"),24)</f>
        <v>24</v>
      </c>
      <c r="O226" s="61">
        <f ca="1">IFERROR(__xludf.DUMMYFUNCTION("VLOOKUP(C226,IMPORTRANGE(""https://docs.google.com/spreadsheets/d/1heLiqWF_2HiP-P9QpK84CTP6DxpoT_aG9fTdG9C1JMk/edit?gid=1535728046#gid=1535728046"",""DATA_ABSEN_JUNI25""),40,0)"),24)</f>
        <v>24</v>
      </c>
      <c r="P226" s="69">
        <f t="shared" ca="1" si="164"/>
        <v>2766394</v>
      </c>
      <c r="Q226" s="71"/>
      <c r="R226" s="69">
        <f t="shared" si="165"/>
        <v>6524103</v>
      </c>
      <c r="S226" s="69">
        <f t="shared" ca="1" si="166"/>
        <v>6524103</v>
      </c>
      <c r="T226" s="69">
        <f t="shared" ca="1" si="167"/>
        <v>0</v>
      </c>
      <c r="U226" s="20">
        <v>259867</v>
      </c>
      <c r="V226" s="177">
        <f ca="1">IFERROR(__xludf.DUMMYFUNCTION("VLOOKUP(C226,IMPORTRANGE(""https://docs.google.com/spreadsheets/d/1heLiqWF_2HiP-P9QpK84CTP6DxpoT_aG9fTdG9C1JMk/edit?gid=1535728046#gid=1535728046"",""DATA_ABSEN_JUNI25""),41,0)"),2)</f>
        <v>2</v>
      </c>
      <c r="W226" s="69">
        <f t="shared" ca="1" si="168"/>
        <v>519734</v>
      </c>
      <c r="X226" s="69">
        <v>0</v>
      </c>
      <c r="Y226" s="69">
        <f t="shared" ca="1" si="169"/>
        <v>7043837</v>
      </c>
      <c r="Z226" s="61">
        <f ca="1">IFERROR(__xludf.DUMMYFUNCTION("VLOOKUP(C226,IMPORTRANGE(""https://docs.google.com/spreadsheets/d/1heLiqWF_2HiP-P9QpK84CTP6DxpoT_aG9fTdG9C1JMk/edit?gid=1535728046#gid=1535728046"",""DATA_ABSEN_JUNI25""),42,0)+VLOOKUP(C226,IMPORTRANGE(""https://docs.google.com/spreadsheets/d/1heLiqWF_2Hi"&amp;"P-P9QpK84CTP6DxpoT_aG9fTdG9C1JMk/edit?gid=1535728046#gid=1535728046"",""DATA_ABSEN_JUNI25""),43,0)"),0)</f>
        <v>0</v>
      </c>
      <c r="AA226" s="61">
        <f ca="1">IFERROR(__xludf.DUMMYFUNCTION("VLOOKUP(C226,IMPORTRANGE(""https://docs.google.com/spreadsheets/d/1heLiqWF_2HiP-P9QpK84CTP6DxpoT_aG9fTdG9C1JMk/edit?gid=1535728046#gid=1535728046"",""DATA_ABSEN_JUNI25""),44,0)"),0)</f>
        <v>0</v>
      </c>
      <c r="AB226" s="61">
        <f ca="1">IFERROR(__xludf.DUMMYFUNCTION("VLOOKUP(C226,IMPORTRANGE(""https://docs.google.com/spreadsheets/d/1heLiqWF_2HiP-P9QpK84CTP6DxpoT_aG9fTdG9C1JMk/edit?gid=1535728046#gid=1535728046"",""DATA_ABSEN_JUNI25""),45,0)"),0)</f>
        <v>0</v>
      </c>
      <c r="AC226" s="61">
        <f ca="1">IFERROR(__xludf.DUMMYFUNCTION("VLOOKUP(C226,IMPORTRANGE(""https://docs.google.com/spreadsheets/d/1heLiqWF_2HiP-P9QpK84CTP6DxpoT_aG9fTdG9C1JMk/edit?gid=1535728046#gid=1535728046"",""DATA_ABSEN_JUNI25""),46,0)"),0)</f>
        <v>0</v>
      </c>
      <c r="AD226" s="125">
        <v>0</v>
      </c>
      <c r="AE226" s="69">
        <f t="shared" ca="1" si="170"/>
        <v>0</v>
      </c>
      <c r="AF226" s="20">
        <v>326819</v>
      </c>
      <c r="AG226" s="20">
        <v>0</v>
      </c>
      <c r="AH226" s="69">
        <v>0</v>
      </c>
      <c r="AI226" s="69" t="e">
        <f t="shared" si="171"/>
        <v>#REF!</v>
      </c>
      <c r="AJ226" s="69">
        <v>0</v>
      </c>
      <c r="AK226" s="69" t="e">
        <f t="shared" si="123"/>
        <v>#REF!</v>
      </c>
      <c r="AL226" s="69">
        <v>0</v>
      </c>
      <c r="AM226" s="69">
        <f t="shared" ca="1" si="172"/>
        <v>326819</v>
      </c>
      <c r="AN226" s="69">
        <f t="shared" ca="1" si="173"/>
        <v>6717018</v>
      </c>
      <c r="AO226" s="69">
        <f t="shared" ca="1" si="174"/>
        <v>85527.847500000003</v>
      </c>
      <c r="AP226" s="69">
        <f t="shared" ca="1" si="175"/>
        <v>6631490.1524999999</v>
      </c>
      <c r="AQ226" s="69">
        <f t="shared" ca="1" si="176"/>
        <v>6631490.1524999999</v>
      </c>
      <c r="AR226" s="70">
        <f t="shared" ca="1" si="177"/>
        <v>6631490.1524999999</v>
      </c>
      <c r="AS226" s="113"/>
      <c r="AT226" s="73" t="s">
        <v>9</v>
      </c>
      <c r="AU226" s="61" t="s">
        <v>10</v>
      </c>
      <c r="AV226" s="69">
        <f t="shared" si="178"/>
        <v>3537000</v>
      </c>
      <c r="AW226" s="69">
        <f t="shared" ca="1" si="179"/>
        <v>2766394</v>
      </c>
      <c r="AX226" s="69">
        <f t="shared" ca="1" si="180"/>
        <v>519734</v>
      </c>
      <c r="AY226" s="69">
        <v>0</v>
      </c>
      <c r="AZ226" s="69">
        <f t="shared" si="181"/>
        <v>8488.7999999999993</v>
      </c>
      <c r="BA226" s="69">
        <f t="shared" si="182"/>
        <v>10611</v>
      </c>
      <c r="BB226" s="69">
        <f t="shared" si="183"/>
        <v>0</v>
      </c>
      <c r="BC226" s="69">
        <f t="shared" ca="1" si="184"/>
        <v>6842227.7999999998</v>
      </c>
      <c r="BD226" s="74">
        <f ca="1">IF(AU226="C",VLOOKUP(BC226,TER!$J$4:$L$50,3,TRUE),IF(AU226="B",VLOOKUP(BC226,TER!$F$4:$H$50,3,TRUE),IF(AU226="A",VLOOKUP(BC226,TER!$B$4:$D$50,3,TRUE),"ERROR")))</f>
        <v>1.2500000000000001E-2</v>
      </c>
      <c r="BE226" s="69">
        <f t="shared" ca="1" si="185"/>
        <v>85527.847500000003</v>
      </c>
      <c r="BF226" s="113"/>
      <c r="BG226" s="113"/>
    </row>
    <row r="227" spans="1:59" ht="13.5" hidden="1" customHeight="1">
      <c r="A227" s="113"/>
      <c r="B227" s="224">
        <v>72</v>
      </c>
      <c r="C227" s="77"/>
      <c r="D227" s="78" t="s">
        <v>1079</v>
      </c>
      <c r="E227" s="76"/>
      <c r="F227" s="77"/>
      <c r="G227" s="76"/>
      <c r="H227" s="75"/>
      <c r="I227" s="79"/>
      <c r="J227" s="80"/>
      <c r="K227" s="80"/>
      <c r="L227" s="80"/>
      <c r="M227" s="79"/>
      <c r="N227" s="81"/>
      <c r="O227" s="81"/>
      <c r="P227" s="79"/>
      <c r="Q227" s="75"/>
      <c r="R227" s="79"/>
      <c r="S227" s="79"/>
      <c r="T227" s="79"/>
      <c r="U227" s="54"/>
      <c r="V227" s="81"/>
      <c r="W227" s="79"/>
      <c r="X227" s="79"/>
      <c r="Y227" s="79"/>
      <c r="Z227" s="81"/>
      <c r="AA227" s="81"/>
      <c r="AB227" s="81"/>
      <c r="AC227" s="81"/>
      <c r="AD227" s="81"/>
      <c r="AE227" s="79"/>
      <c r="AF227" s="54"/>
      <c r="AG227" s="54"/>
      <c r="AH227" s="79"/>
      <c r="AI227" s="70">
        <v>0</v>
      </c>
      <c r="AJ227" s="69">
        <v>0</v>
      </c>
      <c r="AK227" s="69">
        <f t="shared" si="123"/>
        <v>0</v>
      </c>
      <c r="AL227" s="79"/>
      <c r="AM227" s="79"/>
      <c r="AN227" s="79"/>
      <c r="AO227" s="79"/>
      <c r="AP227" s="79"/>
      <c r="AQ227" s="79"/>
      <c r="AR227" s="80"/>
      <c r="AS227" s="189"/>
      <c r="AT227" s="83"/>
      <c r="AU227" s="82"/>
      <c r="AV227" s="79"/>
      <c r="AW227" s="79"/>
      <c r="AX227" s="79"/>
      <c r="AY227" s="79"/>
      <c r="AZ227" s="79"/>
      <c r="BA227" s="79"/>
      <c r="BB227" s="79"/>
      <c r="BC227" s="79"/>
      <c r="BD227" s="76"/>
      <c r="BE227" s="79"/>
      <c r="BF227" s="113"/>
      <c r="BG227" s="113"/>
    </row>
    <row r="228" spans="1:59" ht="13.5" hidden="1" customHeight="1">
      <c r="A228" s="113"/>
      <c r="B228" s="224">
        <v>73</v>
      </c>
      <c r="C228" s="68" t="s">
        <v>603</v>
      </c>
      <c r="D228" s="134" t="s">
        <v>1045</v>
      </c>
      <c r="E228" s="86" t="s">
        <v>57</v>
      </c>
      <c r="F228" s="68" t="s">
        <v>604</v>
      </c>
      <c r="G228" s="67" t="s">
        <v>31</v>
      </c>
      <c r="H228" s="66" t="s">
        <v>32</v>
      </c>
      <c r="I228" s="69">
        <f t="shared" ref="I228:I229" si="186">IF(H228="FULL - EXISTING",3537000,3537000/O228*N228)</f>
        <v>3537000</v>
      </c>
      <c r="J228" s="70">
        <v>220709</v>
      </c>
      <c r="K228" s="70">
        <v>141480</v>
      </c>
      <c r="L228" s="70">
        <v>2766394</v>
      </c>
      <c r="M228" s="69">
        <f t="shared" ref="M228:M229" ca="1" si="187">L228/O228</f>
        <v>115266.41666666667</v>
      </c>
      <c r="N228" s="61">
        <f ca="1">IFERROR(__xludf.DUMMYFUNCTION("VLOOKUP(C228,IMPORTRANGE(""https://docs.google.com/spreadsheets/d/1heLiqWF_2HiP-P9QpK84CTP6DxpoT_aG9fTdG9C1JMk/edit?gid=1535728046#gid=1535728046"",""DATA_ABSEN_JUNI25""),39,0)"),23)</f>
        <v>23</v>
      </c>
      <c r="O228" s="61">
        <f ca="1">IFERROR(__xludf.DUMMYFUNCTION("VLOOKUP(C228,IMPORTRANGE(""https://docs.google.com/spreadsheets/d/1heLiqWF_2HiP-P9QpK84CTP6DxpoT_aG9fTdG9C1JMk/edit?gid=1535728046#gid=1535728046"",""DATA_ABSEN_JUNI25""),40,0)"),24)</f>
        <v>24</v>
      </c>
      <c r="P228" s="69">
        <f t="shared" ref="P228:P229" ca="1" si="188">M228*N228</f>
        <v>2651127.5833333335</v>
      </c>
      <c r="Q228" s="71"/>
      <c r="R228" s="69">
        <f t="shared" ref="R228:R229" si="189">I228+J228+K228+L228</f>
        <v>6665583</v>
      </c>
      <c r="S228" s="69">
        <f t="shared" ref="S228:S229" ca="1" si="190">I228+J228+K228+P228</f>
        <v>6550316.583333334</v>
      </c>
      <c r="T228" s="69">
        <f t="shared" ref="T228:T229" ca="1" si="191">IF(R228-S228&lt;0,R228-S228,0)</f>
        <v>0</v>
      </c>
      <c r="U228" s="20">
        <v>259867</v>
      </c>
      <c r="V228" s="177">
        <f ca="1">IFERROR(__xludf.DUMMYFUNCTION("VLOOKUP(C228,IMPORTRANGE(""https://docs.google.com/spreadsheets/d/1heLiqWF_2HiP-P9QpK84CTP6DxpoT_aG9fTdG9C1JMk/edit?gid=1535728046#gid=1535728046"",""DATA_ABSEN_JUNI25""),41,0)"),2)</f>
        <v>2</v>
      </c>
      <c r="W228" s="69">
        <f t="shared" ref="W228:W229" ca="1" si="192">U228*V228</f>
        <v>519734</v>
      </c>
      <c r="X228" s="69">
        <v>0</v>
      </c>
      <c r="Y228" s="69">
        <f t="shared" ref="Y228:Y229" ca="1" si="193">I228+J228+K228+P228+W228+X228</f>
        <v>7070050.583333334</v>
      </c>
      <c r="Z228" s="61">
        <f ca="1">IFERROR(__xludf.DUMMYFUNCTION("VLOOKUP(C228,IMPORTRANGE(""https://docs.google.com/spreadsheets/d/1heLiqWF_2HiP-P9QpK84CTP6DxpoT_aG9fTdG9C1JMk/edit?gid=1535728046#gid=1535728046"",""DATA_ABSEN_JUNI25""),42,0)+VLOOKUP(C228,IMPORTRANGE(""https://docs.google.com/spreadsheets/d/1heLiqWF_2Hi"&amp;"P-P9QpK84CTP6DxpoT_aG9fTdG9C1JMk/edit?gid=1535728046#gid=1535728046"",""DATA_ABSEN_JUNI25""),43,0)"),0)</f>
        <v>0</v>
      </c>
      <c r="AA228" s="61">
        <f ca="1">IFERROR(__xludf.DUMMYFUNCTION("VLOOKUP(C228,IMPORTRANGE(""https://docs.google.com/spreadsheets/d/1heLiqWF_2HiP-P9QpK84CTP6DxpoT_aG9fTdG9C1JMk/edit?gid=1535728046#gid=1535728046"",""DATA_ABSEN_JUNI25""),44,0)"),1)</f>
        <v>1</v>
      </c>
      <c r="AB228" s="61">
        <f ca="1">IFERROR(__xludf.DUMMYFUNCTION("VLOOKUP(C228,IMPORTRANGE(""https://docs.google.com/spreadsheets/d/1heLiqWF_2HiP-P9QpK84CTP6DxpoT_aG9fTdG9C1JMk/edit?gid=1535728046#gid=1535728046"",""DATA_ABSEN_JUNI25""),45,0)"),0)</f>
        <v>0</v>
      </c>
      <c r="AC228" s="61">
        <f ca="1">IFERROR(__xludf.DUMMYFUNCTION("VLOOKUP(C228,IMPORTRANGE(""https://docs.google.com/spreadsheets/d/1heLiqWF_2HiP-P9QpK84CTP6DxpoT_aG9fTdG9C1JMk/edit?gid=1535728046#gid=1535728046"",""DATA_ABSEN_JUNI25""),46,0)"),0)</f>
        <v>0</v>
      </c>
      <c r="AD228" s="125">
        <v>0</v>
      </c>
      <c r="AE228" s="69">
        <f t="shared" ref="AE228:AE229" ca="1" si="194">U228*(Z228+AA228+AD228+(AC228*2))</f>
        <v>259867</v>
      </c>
      <c r="AF228" s="20">
        <v>326819</v>
      </c>
      <c r="AG228" s="20">
        <v>176850</v>
      </c>
      <c r="AH228" s="69">
        <v>0</v>
      </c>
      <c r="AI228" s="69" t="e">
        <f>VLOOKUP(C228,PINJAMAN_KAI_JULI_25,35,0)</f>
        <v>#REF!</v>
      </c>
      <c r="AJ228" s="70">
        <v>250000</v>
      </c>
      <c r="AK228" s="69" t="e">
        <f t="shared" si="123"/>
        <v>#REF!</v>
      </c>
      <c r="AL228" s="69">
        <v>0</v>
      </c>
      <c r="AM228" s="69">
        <f t="shared" ref="AM228:AM229" ca="1" si="195">AE228+AF228+AG228+AH228+AJ228+AL228</f>
        <v>1013536</v>
      </c>
      <c r="AN228" s="69">
        <f t="shared" ref="AN228:AN229" ca="1" si="196">Y228-AM228</f>
        <v>6056514.583333334</v>
      </c>
      <c r="AO228" s="69">
        <f t="shared" ref="AO228:AO229" ca="1" si="197">BE228</f>
        <v>85855.517291666678</v>
      </c>
      <c r="AP228" s="69">
        <f t="shared" ref="AP228:AP229" ca="1" si="198">AN228-AO228</f>
        <v>5970659.066041667</v>
      </c>
      <c r="AQ228" s="69">
        <f t="shared" ref="AQ228:AQ229" ca="1" si="199">AP228-X228</f>
        <v>5970659.066041667</v>
      </c>
      <c r="AR228" s="70">
        <f t="shared" ref="AR228:AR229" ca="1" si="200">AP228-X228</f>
        <v>5970659.066041667</v>
      </c>
      <c r="AS228" s="113"/>
      <c r="AT228" s="73" t="s">
        <v>9</v>
      </c>
      <c r="AU228" s="61" t="s">
        <v>10</v>
      </c>
      <c r="AV228" s="69">
        <f t="shared" ref="AV228:AV229" si="201">I228</f>
        <v>3537000</v>
      </c>
      <c r="AW228" s="69">
        <f t="shared" ref="AW228:AW229" ca="1" si="202">P228</f>
        <v>2651127.5833333335</v>
      </c>
      <c r="AX228" s="69">
        <f t="shared" ref="AX228:AX229" ca="1" si="203">W228</f>
        <v>519734</v>
      </c>
      <c r="AY228" s="69">
        <v>0</v>
      </c>
      <c r="AZ228" s="69">
        <f t="shared" ref="AZ228:AZ229" si="204">IF(J228=0,0,AV228*0.24%)</f>
        <v>8488.7999999999993</v>
      </c>
      <c r="BA228" s="69">
        <f t="shared" ref="BA228:BA229" si="205">IF(J228=0,0,AV228*0.3%)</f>
        <v>10611</v>
      </c>
      <c r="BB228" s="69">
        <f t="shared" ref="BB228:BB229" si="206">IF(K228=0,0,AV228*4%)</f>
        <v>141480</v>
      </c>
      <c r="BC228" s="69">
        <f t="shared" ref="BC228:BC229" ca="1" si="207">SUM(AV228:BB228)</f>
        <v>6868441.3833333338</v>
      </c>
      <c r="BD228" s="74">
        <f ca="1">IF(AU228="C",VLOOKUP(BC228,TER!$J$4:$L$50,3,TRUE),IF(AU228="B",VLOOKUP(BC228,TER!$F$4:$H$50,3,TRUE),IF(AU228="A",VLOOKUP(BC228,TER!$B$4:$D$50,3,TRUE),"ERROR")))</f>
        <v>1.2500000000000001E-2</v>
      </c>
      <c r="BE228" s="69">
        <f t="shared" ref="BE228:BE229" ca="1" si="208">BC228*BD228</f>
        <v>85855.517291666678</v>
      </c>
      <c r="BF228" s="113"/>
      <c r="BG228" s="113"/>
    </row>
    <row r="229" spans="1:59" ht="13.5" hidden="1" customHeight="1">
      <c r="A229" s="113"/>
      <c r="B229" s="224">
        <v>74</v>
      </c>
      <c r="C229" s="68" t="s">
        <v>985</v>
      </c>
      <c r="D229" s="66" t="s">
        <v>986</v>
      </c>
      <c r="E229" s="86" t="s">
        <v>57</v>
      </c>
      <c r="F229" s="68" t="s">
        <v>987</v>
      </c>
      <c r="G229" s="67" t="s">
        <v>31</v>
      </c>
      <c r="H229" s="66" t="s">
        <v>32</v>
      </c>
      <c r="I229" s="69">
        <f t="shared" si="186"/>
        <v>3537000</v>
      </c>
      <c r="J229" s="70">
        <v>220709</v>
      </c>
      <c r="K229" s="70">
        <v>141480</v>
      </c>
      <c r="L229" s="70">
        <v>2766394</v>
      </c>
      <c r="M229" s="69">
        <f t="shared" ca="1" si="187"/>
        <v>115266.41666666667</v>
      </c>
      <c r="N229" s="61">
        <f ca="1">IFERROR(__xludf.DUMMYFUNCTION("VLOOKUP(C229,IMPORTRANGE(""https://docs.google.com/spreadsheets/d/1heLiqWF_2HiP-P9QpK84CTP6DxpoT_aG9fTdG9C1JMk/edit?gid=1535728046#gid=1535728046"",""DATA_ABSEN_JUNI25""),39,0)"),20)</f>
        <v>20</v>
      </c>
      <c r="O229" s="61">
        <f ca="1">IFERROR(__xludf.DUMMYFUNCTION("VLOOKUP(C229,IMPORTRANGE(""https://docs.google.com/spreadsheets/d/1heLiqWF_2HiP-P9QpK84CTP6DxpoT_aG9fTdG9C1JMk/edit?gid=1535728046#gid=1535728046"",""DATA_ABSEN_JUNI25""),40,0)"),24)</f>
        <v>24</v>
      </c>
      <c r="P229" s="69">
        <f t="shared" ca="1" si="188"/>
        <v>2305328.3333333335</v>
      </c>
      <c r="Q229" s="71"/>
      <c r="R229" s="69">
        <f t="shared" si="189"/>
        <v>6665583</v>
      </c>
      <c r="S229" s="69">
        <f t="shared" ca="1" si="190"/>
        <v>6204517.333333334</v>
      </c>
      <c r="T229" s="69">
        <f t="shared" ca="1" si="191"/>
        <v>0</v>
      </c>
      <c r="U229" s="20">
        <v>259867</v>
      </c>
      <c r="V229" s="177">
        <f ca="1">IFERROR(__xludf.DUMMYFUNCTION("VLOOKUP(C229,IMPORTRANGE(""https://docs.google.com/spreadsheets/d/1heLiqWF_2HiP-P9QpK84CTP6DxpoT_aG9fTdG9C1JMk/edit?gid=1535728046#gid=1535728046"",""DATA_ABSEN_JUNI25""),41,0)"),1)</f>
        <v>1</v>
      </c>
      <c r="W229" s="69">
        <f t="shared" ca="1" si="192"/>
        <v>259867</v>
      </c>
      <c r="X229" s="69">
        <v>0</v>
      </c>
      <c r="Y229" s="69">
        <f t="shared" ca="1" si="193"/>
        <v>6464384.333333334</v>
      </c>
      <c r="Z229" s="61">
        <f ca="1">IFERROR(__xludf.DUMMYFUNCTION("VLOOKUP(C229,IMPORTRANGE(""https://docs.google.com/spreadsheets/d/1heLiqWF_2HiP-P9QpK84CTP6DxpoT_aG9fTdG9C1JMk/edit?gid=1535728046#gid=1535728046"",""DATA_ABSEN_JUNI25""),42,0)+VLOOKUP(C229,IMPORTRANGE(""https://docs.google.com/spreadsheets/d/1heLiqWF_2Hi"&amp;"P-P9QpK84CTP6DxpoT_aG9fTdG9C1JMk/edit?gid=1535728046#gid=1535728046"",""DATA_ABSEN_JUNI25""),43,0)"),4)</f>
        <v>4</v>
      </c>
      <c r="AA229" s="61">
        <f ca="1">IFERROR(__xludf.DUMMYFUNCTION("VLOOKUP(C229,IMPORTRANGE(""https://docs.google.com/spreadsheets/d/1heLiqWF_2HiP-P9QpK84CTP6DxpoT_aG9fTdG9C1JMk/edit?gid=1535728046#gid=1535728046"",""DATA_ABSEN_JUNI25""),44,0)"),0)</f>
        <v>0</v>
      </c>
      <c r="AB229" s="61">
        <f ca="1">IFERROR(__xludf.DUMMYFUNCTION("VLOOKUP(C229,IMPORTRANGE(""https://docs.google.com/spreadsheets/d/1heLiqWF_2HiP-P9QpK84CTP6DxpoT_aG9fTdG9C1JMk/edit?gid=1535728046#gid=1535728046"",""DATA_ABSEN_JUNI25""),45,0)"),0)</f>
        <v>0</v>
      </c>
      <c r="AC229" s="61">
        <f ca="1">IFERROR(__xludf.DUMMYFUNCTION("VLOOKUP(C229,IMPORTRANGE(""https://docs.google.com/spreadsheets/d/1heLiqWF_2HiP-P9QpK84CTP6DxpoT_aG9fTdG9C1JMk/edit?gid=1535728046#gid=1535728046"",""DATA_ABSEN_JUNI25""),46,0)"),0)</f>
        <v>0</v>
      </c>
      <c r="AD229" s="125">
        <v>0</v>
      </c>
      <c r="AE229" s="69">
        <f t="shared" ca="1" si="194"/>
        <v>1039468</v>
      </c>
      <c r="AF229" s="20">
        <v>326819</v>
      </c>
      <c r="AG229" s="20">
        <v>176850</v>
      </c>
      <c r="AH229" s="69">
        <v>0</v>
      </c>
      <c r="AI229" s="69" t="e">
        <f>VLOOKUP(C229,PINJAMAN_KAI_JULI_25,35,0)</f>
        <v>#REF!</v>
      </c>
      <c r="AJ229" s="69">
        <v>0</v>
      </c>
      <c r="AK229" s="69" t="e">
        <f t="shared" si="123"/>
        <v>#REF!</v>
      </c>
      <c r="AL229" s="69">
        <v>0</v>
      </c>
      <c r="AM229" s="69">
        <f t="shared" ca="1" si="195"/>
        <v>1543137</v>
      </c>
      <c r="AN229" s="69">
        <f t="shared" ca="1" si="196"/>
        <v>4921247.333333334</v>
      </c>
      <c r="AO229" s="69">
        <f t="shared" ca="1" si="197"/>
        <v>15656.937833333335</v>
      </c>
      <c r="AP229" s="69">
        <f t="shared" ca="1" si="198"/>
        <v>4905590.3955000006</v>
      </c>
      <c r="AQ229" s="69">
        <f t="shared" ca="1" si="199"/>
        <v>4905590.3955000006</v>
      </c>
      <c r="AR229" s="70">
        <f t="shared" ca="1" si="200"/>
        <v>4905590.3955000006</v>
      </c>
      <c r="AS229" s="113"/>
      <c r="AT229" s="73" t="s">
        <v>17</v>
      </c>
      <c r="AU229" s="61" t="s">
        <v>15</v>
      </c>
      <c r="AV229" s="69">
        <f t="shared" si="201"/>
        <v>3537000</v>
      </c>
      <c r="AW229" s="69">
        <f t="shared" ca="1" si="202"/>
        <v>2305328.3333333335</v>
      </c>
      <c r="AX229" s="69">
        <f t="shared" ca="1" si="203"/>
        <v>259867</v>
      </c>
      <c r="AY229" s="69">
        <v>0</v>
      </c>
      <c r="AZ229" s="69">
        <f t="shared" si="204"/>
        <v>8488.7999999999993</v>
      </c>
      <c r="BA229" s="69">
        <f t="shared" si="205"/>
        <v>10611</v>
      </c>
      <c r="BB229" s="69">
        <f t="shared" si="206"/>
        <v>141480</v>
      </c>
      <c r="BC229" s="69">
        <f t="shared" ca="1" si="207"/>
        <v>6262775.1333333338</v>
      </c>
      <c r="BD229" s="74">
        <f ca="1">IF(AU229="C",VLOOKUP(BC229,TER!$J$4:$L$50,3,TRUE),IF(AU229="B",VLOOKUP(BC229,TER!$F$4:$H$50,3,TRUE),IF(AU229="A",VLOOKUP(BC229,TER!$B$4:$D$50,3,TRUE),"ERROR")))</f>
        <v>2.5000000000000001E-3</v>
      </c>
      <c r="BE229" s="69">
        <f t="shared" ca="1" si="208"/>
        <v>15656.937833333335</v>
      </c>
      <c r="BF229" s="113"/>
      <c r="BG229" s="113"/>
    </row>
    <row r="230" spans="1:59" ht="13.5" hidden="1" customHeight="1">
      <c r="A230" s="113"/>
      <c r="B230" s="224">
        <v>75</v>
      </c>
      <c r="C230" s="77"/>
      <c r="D230" s="78" t="s">
        <v>1079</v>
      </c>
      <c r="E230" s="76"/>
      <c r="F230" s="77"/>
      <c r="G230" s="76"/>
      <c r="H230" s="75"/>
      <c r="I230" s="79"/>
      <c r="J230" s="80"/>
      <c r="K230" s="80"/>
      <c r="L230" s="80"/>
      <c r="M230" s="79"/>
      <c r="N230" s="81"/>
      <c r="O230" s="81"/>
      <c r="P230" s="79"/>
      <c r="Q230" s="75"/>
      <c r="R230" s="79"/>
      <c r="S230" s="79"/>
      <c r="T230" s="79"/>
      <c r="U230" s="54"/>
      <c r="V230" s="81"/>
      <c r="W230" s="79"/>
      <c r="X230" s="79"/>
      <c r="Y230" s="79"/>
      <c r="Z230" s="81"/>
      <c r="AA230" s="81"/>
      <c r="AB230" s="81"/>
      <c r="AC230" s="81"/>
      <c r="AD230" s="81"/>
      <c r="AE230" s="79"/>
      <c r="AF230" s="54"/>
      <c r="AG230" s="54"/>
      <c r="AH230" s="79"/>
      <c r="AI230" s="70">
        <v>0</v>
      </c>
      <c r="AJ230" s="69">
        <v>0</v>
      </c>
      <c r="AK230" s="69">
        <f t="shared" si="123"/>
        <v>0</v>
      </c>
      <c r="AL230" s="79"/>
      <c r="AM230" s="79"/>
      <c r="AN230" s="79"/>
      <c r="AO230" s="79"/>
      <c r="AP230" s="79"/>
      <c r="AQ230" s="79"/>
      <c r="AR230" s="80"/>
      <c r="AS230" s="189"/>
      <c r="AT230" s="83"/>
      <c r="AU230" s="82"/>
      <c r="AV230" s="79"/>
      <c r="AW230" s="79"/>
      <c r="AX230" s="79"/>
      <c r="AY230" s="79"/>
      <c r="AZ230" s="79"/>
      <c r="BA230" s="79"/>
      <c r="BB230" s="79"/>
      <c r="BC230" s="79"/>
      <c r="BD230" s="76"/>
      <c r="BE230" s="79"/>
      <c r="BF230" s="113"/>
      <c r="BG230" s="113"/>
    </row>
    <row r="231" spans="1:59" ht="13.5" hidden="1" customHeight="1">
      <c r="A231" s="113"/>
      <c r="B231" s="224">
        <v>76</v>
      </c>
      <c r="C231" s="68" t="s">
        <v>988</v>
      </c>
      <c r="D231" s="66" t="s">
        <v>989</v>
      </c>
      <c r="E231" s="67" t="s">
        <v>57</v>
      </c>
      <c r="F231" s="68" t="s">
        <v>990</v>
      </c>
      <c r="G231" s="67" t="s">
        <v>31</v>
      </c>
      <c r="H231" s="66" t="s">
        <v>32</v>
      </c>
      <c r="I231" s="69">
        <f t="shared" ref="I231:I238" si="209">IF(H231="FULL - EXISTING",3537000,3537000/O231*N231)</f>
        <v>3537000</v>
      </c>
      <c r="J231" s="70">
        <v>220709</v>
      </c>
      <c r="K231" s="70">
        <v>141480</v>
      </c>
      <c r="L231" s="70">
        <v>2766394</v>
      </c>
      <c r="M231" s="69">
        <f t="shared" ref="M231:M238" ca="1" si="210">L231/O231</f>
        <v>115266.41666666667</v>
      </c>
      <c r="N231" s="61">
        <f ca="1">IFERROR(__xludf.DUMMYFUNCTION("VLOOKUP(C231,IMPORTRANGE(""https://docs.google.com/spreadsheets/d/1heLiqWF_2HiP-P9QpK84CTP6DxpoT_aG9fTdG9C1JMk/edit?gid=1535728046#gid=1535728046"",""DATA_ABSEN_JUNI25""),39,0)"),24)</f>
        <v>24</v>
      </c>
      <c r="O231" s="61">
        <f ca="1">IFERROR(__xludf.DUMMYFUNCTION("VLOOKUP(C231,IMPORTRANGE(""https://docs.google.com/spreadsheets/d/1heLiqWF_2HiP-P9QpK84CTP6DxpoT_aG9fTdG9C1JMk/edit?gid=1535728046#gid=1535728046"",""DATA_ABSEN_JUNI25""),40,0)"),24)</f>
        <v>24</v>
      </c>
      <c r="P231" s="69">
        <f t="shared" ref="P231:P238" ca="1" si="211">M231*N231</f>
        <v>2766394</v>
      </c>
      <c r="Q231" s="71"/>
      <c r="R231" s="69">
        <f t="shared" ref="R231:R238" si="212">I231+J231+K231+L231</f>
        <v>6665583</v>
      </c>
      <c r="S231" s="69">
        <f t="shared" ref="S231:S238" ca="1" si="213">I231+J231+K231+P231</f>
        <v>6665583</v>
      </c>
      <c r="T231" s="69">
        <f t="shared" ref="T231:T238" ca="1" si="214">IF(R231-S231&lt;0,R231-S231,0)</f>
        <v>0</v>
      </c>
      <c r="U231" s="20">
        <v>259867</v>
      </c>
      <c r="V231" s="177">
        <f ca="1">IFERROR(__xludf.DUMMYFUNCTION("VLOOKUP(C231,IMPORTRANGE(""https://docs.google.com/spreadsheets/d/1heLiqWF_2HiP-P9QpK84CTP6DxpoT_aG9fTdG9C1JMk/edit?gid=1535728046#gid=1535728046"",""DATA_ABSEN_JUNI25""),41,0)"),2)</f>
        <v>2</v>
      </c>
      <c r="W231" s="69">
        <f t="shared" ref="W231:W238" ca="1" si="215">U231*V231</f>
        <v>519734</v>
      </c>
      <c r="X231" s="69">
        <v>0</v>
      </c>
      <c r="Y231" s="69">
        <f t="shared" ref="Y231:Y238" ca="1" si="216">I231+J231+K231+P231+W231+X231</f>
        <v>7185317</v>
      </c>
      <c r="Z231" s="61">
        <f ca="1">IFERROR(__xludf.DUMMYFUNCTION("VLOOKUP(C231,IMPORTRANGE(""https://docs.google.com/spreadsheets/d/1heLiqWF_2HiP-P9QpK84CTP6DxpoT_aG9fTdG9C1JMk/edit?gid=1535728046#gid=1535728046"",""DATA_ABSEN_JUNI25""),42,0)+VLOOKUP(C231,IMPORTRANGE(""https://docs.google.com/spreadsheets/d/1heLiqWF_2Hi"&amp;"P-P9QpK84CTP6DxpoT_aG9fTdG9C1JMk/edit?gid=1535728046#gid=1535728046"",""DATA_ABSEN_JUNI25""),43,0)"),0)</f>
        <v>0</v>
      </c>
      <c r="AA231" s="61">
        <f ca="1">IFERROR(__xludf.DUMMYFUNCTION("VLOOKUP(C231,IMPORTRANGE(""https://docs.google.com/spreadsheets/d/1heLiqWF_2HiP-P9QpK84CTP6DxpoT_aG9fTdG9C1JMk/edit?gid=1535728046#gid=1535728046"",""DATA_ABSEN_JUNI25""),44,0)"),0)</f>
        <v>0</v>
      </c>
      <c r="AB231" s="61">
        <f ca="1">IFERROR(__xludf.DUMMYFUNCTION("VLOOKUP(C231,IMPORTRANGE(""https://docs.google.com/spreadsheets/d/1heLiqWF_2HiP-P9QpK84CTP6DxpoT_aG9fTdG9C1JMk/edit?gid=1535728046#gid=1535728046"",""DATA_ABSEN_JUNI25""),45,0)"),0)</f>
        <v>0</v>
      </c>
      <c r="AC231" s="61">
        <f ca="1">IFERROR(__xludf.DUMMYFUNCTION("VLOOKUP(C231,IMPORTRANGE(""https://docs.google.com/spreadsheets/d/1heLiqWF_2HiP-P9QpK84CTP6DxpoT_aG9fTdG9C1JMk/edit?gid=1535728046#gid=1535728046"",""DATA_ABSEN_JUNI25""),46,0)"),0)</f>
        <v>0</v>
      </c>
      <c r="AD231" s="125">
        <v>0</v>
      </c>
      <c r="AE231" s="69">
        <f t="shared" ref="AE231:AE238" ca="1" si="217">U231*(Z231+AA231+AD231+(AC231*2))</f>
        <v>0</v>
      </c>
      <c r="AF231" s="20">
        <v>326819</v>
      </c>
      <c r="AG231" s="20">
        <v>176850</v>
      </c>
      <c r="AH231" s="69">
        <v>0</v>
      </c>
      <c r="AI231" s="69" t="e">
        <f t="shared" ref="AI231:AI238" si="218">VLOOKUP(C231,PINJAMAN_KAI_JULI_25,35,0)</f>
        <v>#REF!</v>
      </c>
      <c r="AJ231" s="69">
        <v>0</v>
      </c>
      <c r="AK231" s="69" t="e">
        <f t="shared" si="123"/>
        <v>#REF!</v>
      </c>
      <c r="AL231" s="69">
        <v>0</v>
      </c>
      <c r="AM231" s="69">
        <f t="shared" ref="AM231:AM238" ca="1" si="219">AE231+AF231+AG231+AH231+AJ231+AL231</f>
        <v>503669</v>
      </c>
      <c r="AN231" s="69">
        <f t="shared" ref="AN231:AN238" ca="1" si="220">Y231-AM231</f>
        <v>6681648</v>
      </c>
      <c r="AO231" s="69">
        <f t="shared" ref="AO231:AO238" ca="1" si="221">BE231</f>
        <v>52377.808499999999</v>
      </c>
      <c r="AP231" s="69">
        <f t="shared" ref="AP231:AP238" ca="1" si="222">AN231-AO231</f>
        <v>6629270.1914999997</v>
      </c>
      <c r="AQ231" s="69">
        <f t="shared" ref="AQ231:AQ238" ca="1" si="223">AP231-X231</f>
        <v>6629270.1914999997</v>
      </c>
      <c r="AR231" s="70">
        <f t="shared" ref="AR231:AR238" ca="1" si="224">AP231-X231</f>
        <v>6629270.1914999997</v>
      </c>
      <c r="AS231" s="113"/>
      <c r="AT231" s="73" t="s">
        <v>14</v>
      </c>
      <c r="AU231" s="61" t="s">
        <v>15</v>
      </c>
      <c r="AV231" s="69">
        <f t="shared" ref="AV231:AV238" si="225">I231</f>
        <v>3537000</v>
      </c>
      <c r="AW231" s="69">
        <f t="shared" ref="AW231:AW238" ca="1" si="226">P231</f>
        <v>2766394</v>
      </c>
      <c r="AX231" s="69">
        <f t="shared" ref="AX231:AX238" ca="1" si="227">W231</f>
        <v>519734</v>
      </c>
      <c r="AY231" s="69">
        <v>0</v>
      </c>
      <c r="AZ231" s="69">
        <f t="shared" ref="AZ231:AZ238" si="228">IF(J231=0,0,AV231*0.24%)</f>
        <v>8488.7999999999993</v>
      </c>
      <c r="BA231" s="69">
        <f t="shared" ref="BA231:BA238" si="229">IF(J231=0,0,AV231*0.3%)</f>
        <v>10611</v>
      </c>
      <c r="BB231" s="69">
        <f t="shared" ref="BB231:BB238" si="230">IF(K231=0,0,AV231*4%)</f>
        <v>141480</v>
      </c>
      <c r="BC231" s="69">
        <f t="shared" ref="BC231:BC238" ca="1" si="231">SUM(AV231:BB231)</f>
        <v>6983707.7999999998</v>
      </c>
      <c r="BD231" s="74">
        <f ca="1">IF(AU231="C",VLOOKUP(BC231,TER!$J$4:$L$50,3,TRUE),IF(AU231="B",VLOOKUP(BC231,TER!$F$4:$H$50,3,TRUE),IF(AU231="A",VLOOKUP(BC231,TER!$B$4:$D$50,3,TRUE),"ERROR")))</f>
        <v>7.4999999999999997E-3</v>
      </c>
      <c r="BE231" s="69">
        <f t="shared" ref="BE231:BE238" ca="1" si="232">BC231*BD231</f>
        <v>52377.808499999999</v>
      </c>
      <c r="BF231" s="113"/>
      <c r="BG231" s="113"/>
    </row>
    <row r="232" spans="1:59" ht="13.5" hidden="1" customHeight="1">
      <c r="A232" s="113"/>
      <c r="B232" s="224">
        <v>77</v>
      </c>
      <c r="C232" s="68" t="s">
        <v>991</v>
      </c>
      <c r="D232" s="66" t="s">
        <v>992</v>
      </c>
      <c r="E232" s="67" t="s">
        <v>57</v>
      </c>
      <c r="F232" s="68" t="s">
        <v>1264</v>
      </c>
      <c r="G232" s="67" t="s">
        <v>31</v>
      </c>
      <c r="H232" s="66" t="s">
        <v>32</v>
      </c>
      <c r="I232" s="69">
        <f t="shared" si="209"/>
        <v>3537000</v>
      </c>
      <c r="J232" s="70">
        <v>220709</v>
      </c>
      <c r="K232" s="70">
        <v>141480</v>
      </c>
      <c r="L232" s="70">
        <v>2766394</v>
      </c>
      <c r="M232" s="69">
        <f t="shared" ca="1" si="210"/>
        <v>115266.41666666667</v>
      </c>
      <c r="N232" s="61">
        <f ca="1">IFERROR(__xludf.DUMMYFUNCTION("VLOOKUP(C232,IMPORTRANGE(""https://docs.google.com/spreadsheets/d/1heLiqWF_2HiP-P9QpK84CTP6DxpoT_aG9fTdG9C1JMk/edit?gid=1535728046#gid=1535728046"",""DATA_ABSEN_JUNI25""),39,0)"),23)</f>
        <v>23</v>
      </c>
      <c r="O232" s="61">
        <f ca="1">IFERROR(__xludf.DUMMYFUNCTION("VLOOKUP(C232,IMPORTRANGE(""https://docs.google.com/spreadsheets/d/1heLiqWF_2HiP-P9QpK84CTP6DxpoT_aG9fTdG9C1JMk/edit?gid=1535728046#gid=1535728046"",""DATA_ABSEN_JUNI25""),40,0)"),24)</f>
        <v>24</v>
      </c>
      <c r="P232" s="69">
        <f t="shared" ca="1" si="211"/>
        <v>2651127.5833333335</v>
      </c>
      <c r="Q232" s="71"/>
      <c r="R232" s="69">
        <f t="shared" si="212"/>
        <v>6665583</v>
      </c>
      <c r="S232" s="69">
        <f t="shared" ca="1" si="213"/>
        <v>6550316.583333334</v>
      </c>
      <c r="T232" s="69">
        <f t="shared" ca="1" si="214"/>
        <v>0</v>
      </c>
      <c r="U232" s="20">
        <v>259867</v>
      </c>
      <c r="V232" s="177">
        <f ca="1">IFERROR(__xludf.DUMMYFUNCTION("VLOOKUP(C232,IMPORTRANGE(""https://docs.google.com/spreadsheets/d/1heLiqWF_2HiP-P9QpK84CTP6DxpoT_aG9fTdG9C1JMk/edit?gid=1535728046#gid=1535728046"",""DATA_ABSEN_JUNI25""),41,0)"),2)</f>
        <v>2</v>
      </c>
      <c r="W232" s="69">
        <f t="shared" ca="1" si="215"/>
        <v>519734</v>
      </c>
      <c r="X232" s="69">
        <v>0</v>
      </c>
      <c r="Y232" s="69">
        <f t="shared" ca="1" si="216"/>
        <v>7070050.583333334</v>
      </c>
      <c r="Z232" s="61">
        <f ca="1">IFERROR(__xludf.DUMMYFUNCTION("VLOOKUP(C232,IMPORTRANGE(""https://docs.google.com/spreadsheets/d/1heLiqWF_2HiP-P9QpK84CTP6DxpoT_aG9fTdG9C1JMk/edit?gid=1535728046#gid=1535728046"",""DATA_ABSEN_JUNI25""),42,0)+VLOOKUP(C232,IMPORTRANGE(""https://docs.google.com/spreadsheets/d/1heLiqWF_2Hi"&amp;"P-P9QpK84CTP6DxpoT_aG9fTdG9C1JMk/edit?gid=1535728046#gid=1535728046"",""DATA_ABSEN_JUNI25""),43,0)"),0)</f>
        <v>0</v>
      </c>
      <c r="AA232" s="61">
        <f ca="1">IFERROR(__xludf.DUMMYFUNCTION("VLOOKUP(C232,IMPORTRANGE(""https://docs.google.com/spreadsheets/d/1heLiqWF_2HiP-P9QpK84CTP6DxpoT_aG9fTdG9C1JMk/edit?gid=1535728046#gid=1535728046"",""DATA_ABSEN_JUNI25""),44,0)"),1)</f>
        <v>1</v>
      </c>
      <c r="AB232" s="61">
        <f ca="1">IFERROR(__xludf.DUMMYFUNCTION("VLOOKUP(C232,IMPORTRANGE(""https://docs.google.com/spreadsheets/d/1heLiqWF_2HiP-P9QpK84CTP6DxpoT_aG9fTdG9C1JMk/edit?gid=1535728046#gid=1535728046"",""DATA_ABSEN_JUNI25""),45,0)"),0)</f>
        <v>0</v>
      </c>
      <c r="AC232" s="61">
        <f ca="1">IFERROR(__xludf.DUMMYFUNCTION("VLOOKUP(C232,IMPORTRANGE(""https://docs.google.com/spreadsheets/d/1heLiqWF_2HiP-P9QpK84CTP6DxpoT_aG9fTdG9C1JMk/edit?gid=1535728046#gid=1535728046"",""DATA_ABSEN_JUNI25""),46,0)"),0)</f>
        <v>0</v>
      </c>
      <c r="AD232" s="125">
        <v>0</v>
      </c>
      <c r="AE232" s="69">
        <f t="shared" ca="1" si="217"/>
        <v>259867</v>
      </c>
      <c r="AF232" s="20">
        <v>326819</v>
      </c>
      <c r="AG232" s="20">
        <v>176850</v>
      </c>
      <c r="AH232" s="69">
        <v>0</v>
      </c>
      <c r="AI232" s="69" t="e">
        <f t="shared" si="218"/>
        <v>#REF!</v>
      </c>
      <c r="AJ232" s="69">
        <v>0</v>
      </c>
      <c r="AK232" s="69" t="e">
        <f t="shared" si="123"/>
        <v>#REF!</v>
      </c>
      <c r="AL232" s="69">
        <v>0</v>
      </c>
      <c r="AM232" s="69">
        <f t="shared" ca="1" si="219"/>
        <v>763536</v>
      </c>
      <c r="AN232" s="69">
        <f t="shared" ca="1" si="220"/>
        <v>6306514.583333334</v>
      </c>
      <c r="AO232" s="69">
        <f t="shared" ca="1" si="221"/>
        <v>85855.517291666678</v>
      </c>
      <c r="AP232" s="69">
        <f t="shared" ca="1" si="222"/>
        <v>6220659.066041667</v>
      </c>
      <c r="AQ232" s="69">
        <f t="shared" ca="1" si="223"/>
        <v>6220659.066041667</v>
      </c>
      <c r="AR232" s="70">
        <f t="shared" ca="1" si="224"/>
        <v>6220659.066041667</v>
      </c>
      <c r="AS232" s="113"/>
      <c r="AT232" s="73" t="s">
        <v>9</v>
      </c>
      <c r="AU232" s="61" t="s">
        <v>10</v>
      </c>
      <c r="AV232" s="69">
        <f t="shared" si="225"/>
        <v>3537000</v>
      </c>
      <c r="AW232" s="69">
        <f t="shared" ca="1" si="226"/>
        <v>2651127.5833333335</v>
      </c>
      <c r="AX232" s="69">
        <f t="shared" ca="1" si="227"/>
        <v>519734</v>
      </c>
      <c r="AY232" s="69">
        <v>0</v>
      </c>
      <c r="AZ232" s="69">
        <f t="shared" si="228"/>
        <v>8488.7999999999993</v>
      </c>
      <c r="BA232" s="69">
        <f t="shared" si="229"/>
        <v>10611</v>
      </c>
      <c r="BB232" s="69">
        <f t="shared" si="230"/>
        <v>141480</v>
      </c>
      <c r="BC232" s="69">
        <f t="shared" ca="1" si="231"/>
        <v>6868441.3833333338</v>
      </c>
      <c r="BD232" s="74">
        <f ca="1">IF(AU232="C",VLOOKUP(BC232,TER!$J$4:$L$50,3,TRUE),IF(AU232="B",VLOOKUP(BC232,TER!$F$4:$H$50,3,TRUE),IF(AU232="A",VLOOKUP(BC232,TER!$B$4:$D$50,3,TRUE),"ERROR")))</f>
        <v>1.2500000000000001E-2</v>
      </c>
      <c r="BE232" s="69">
        <f t="shared" ca="1" si="232"/>
        <v>85855.517291666678</v>
      </c>
      <c r="BF232" s="113"/>
      <c r="BG232" s="113"/>
    </row>
    <row r="233" spans="1:59" ht="14" hidden="1">
      <c r="A233" s="113"/>
      <c r="B233" s="224">
        <v>78</v>
      </c>
      <c r="C233" s="68" t="s">
        <v>1002</v>
      </c>
      <c r="D233" s="66" t="s">
        <v>1001</v>
      </c>
      <c r="E233" s="67" t="s">
        <v>57</v>
      </c>
      <c r="F233" s="68" t="s">
        <v>1003</v>
      </c>
      <c r="G233" s="67" t="s">
        <v>31</v>
      </c>
      <c r="H233" s="66" t="s">
        <v>32</v>
      </c>
      <c r="I233" s="69">
        <f t="shared" si="209"/>
        <v>3537000</v>
      </c>
      <c r="J233" s="70">
        <v>220709</v>
      </c>
      <c r="K233" s="70">
        <v>141480</v>
      </c>
      <c r="L233" s="70">
        <v>2766394</v>
      </c>
      <c r="M233" s="69">
        <f t="shared" ca="1" si="210"/>
        <v>115266.41666666667</v>
      </c>
      <c r="N233" s="61">
        <f ca="1">IFERROR(__xludf.DUMMYFUNCTION("VLOOKUP(C233,IMPORTRANGE(""https://docs.google.com/spreadsheets/d/1heLiqWF_2HiP-P9QpK84CTP6DxpoT_aG9fTdG9C1JMk/edit?gid=1535728046#gid=1535728046"",""DATA_ABSEN_JUNI25""),39,0)"),22)</f>
        <v>22</v>
      </c>
      <c r="O233" s="61">
        <f ca="1">IFERROR(__xludf.DUMMYFUNCTION("VLOOKUP(C233,IMPORTRANGE(""https://docs.google.com/spreadsheets/d/1heLiqWF_2HiP-P9QpK84CTP6DxpoT_aG9fTdG9C1JMk/edit?gid=1535728046#gid=1535728046"",""DATA_ABSEN_JUNI25""),40,0)"),24)</f>
        <v>24</v>
      </c>
      <c r="P233" s="69">
        <f t="shared" ca="1" si="211"/>
        <v>2535861.166666667</v>
      </c>
      <c r="Q233" s="71"/>
      <c r="R233" s="69">
        <f t="shared" si="212"/>
        <v>6665583</v>
      </c>
      <c r="S233" s="69">
        <f t="shared" ca="1" si="213"/>
        <v>6435050.166666667</v>
      </c>
      <c r="T233" s="69">
        <f t="shared" ca="1" si="214"/>
        <v>0</v>
      </c>
      <c r="U233" s="20">
        <v>259867</v>
      </c>
      <c r="V233" s="177">
        <f ca="1">IFERROR(__xludf.DUMMYFUNCTION("VLOOKUP(C233,IMPORTRANGE(""https://docs.google.com/spreadsheets/d/1heLiqWF_2HiP-P9QpK84CTP6DxpoT_aG9fTdG9C1JMk/edit?gid=1535728046#gid=1535728046"",""DATA_ABSEN_JUNI25""),41,0)"),3)</f>
        <v>3</v>
      </c>
      <c r="W233" s="69">
        <f t="shared" ca="1" si="215"/>
        <v>779601</v>
      </c>
      <c r="X233" s="69">
        <v>0</v>
      </c>
      <c r="Y233" s="69">
        <f t="shared" ca="1" si="216"/>
        <v>7214651.166666667</v>
      </c>
      <c r="Z233" s="61">
        <f ca="1">IFERROR(__xludf.DUMMYFUNCTION("VLOOKUP(C233,IMPORTRANGE(""https://docs.google.com/spreadsheets/d/1heLiqWF_2HiP-P9QpK84CTP6DxpoT_aG9fTdG9C1JMk/edit?gid=1535728046#gid=1535728046"",""DATA_ABSEN_JUNI25""),42,0)+VLOOKUP(C233,IMPORTRANGE(""https://docs.google.com/spreadsheets/d/1heLiqWF_2Hi"&amp;"P-P9QpK84CTP6DxpoT_aG9fTdG9C1JMk/edit?gid=1535728046#gid=1535728046"",""DATA_ABSEN_JUNI25""),43,0)"),0)</f>
        <v>0</v>
      </c>
      <c r="AA233" s="61">
        <f ca="1">IFERROR(__xludf.DUMMYFUNCTION("VLOOKUP(C233,IMPORTRANGE(""https://docs.google.com/spreadsheets/d/1heLiqWF_2HiP-P9QpK84CTP6DxpoT_aG9fTdG9C1JMk/edit?gid=1535728046#gid=1535728046"",""DATA_ABSEN_JUNI25""),44,0)"),2)</f>
        <v>2</v>
      </c>
      <c r="AB233" s="61">
        <f ca="1">IFERROR(__xludf.DUMMYFUNCTION("VLOOKUP(C233,IMPORTRANGE(""https://docs.google.com/spreadsheets/d/1heLiqWF_2HiP-P9QpK84CTP6DxpoT_aG9fTdG9C1JMk/edit?gid=1535728046#gid=1535728046"",""DATA_ABSEN_JUNI25""),45,0)"),0)</f>
        <v>0</v>
      </c>
      <c r="AC233" s="61">
        <f ca="1">IFERROR(__xludf.DUMMYFUNCTION("VLOOKUP(C233,IMPORTRANGE(""https://docs.google.com/spreadsheets/d/1heLiqWF_2HiP-P9QpK84CTP6DxpoT_aG9fTdG9C1JMk/edit?gid=1535728046#gid=1535728046"",""DATA_ABSEN_JUNI25""),46,0)"),0)</f>
        <v>0</v>
      </c>
      <c r="AD233" s="125">
        <v>0</v>
      </c>
      <c r="AE233" s="69">
        <f t="shared" ca="1" si="217"/>
        <v>519734</v>
      </c>
      <c r="AF233" s="20">
        <v>326819</v>
      </c>
      <c r="AG233" s="20">
        <v>176850</v>
      </c>
      <c r="AH233" s="69">
        <v>0</v>
      </c>
      <c r="AI233" s="69" t="e">
        <f t="shared" si="218"/>
        <v>#REF!</v>
      </c>
      <c r="AJ233" s="69">
        <v>0</v>
      </c>
      <c r="AK233" s="69" t="e">
        <f t="shared" si="123"/>
        <v>#REF!</v>
      </c>
      <c r="AL233" s="69">
        <v>0</v>
      </c>
      <c r="AM233" s="69">
        <f t="shared" ca="1" si="219"/>
        <v>1023403</v>
      </c>
      <c r="AN233" s="69">
        <f t="shared" ca="1" si="220"/>
        <v>6191248.166666667</v>
      </c>
      <c r="AO233" s="69">
        <f t="shared" ca="1" si="221"/>
        <v>87663.024583333347</v>
      </c>
      <c r="AP233" s="69">
        <f t="shared" ca="1" si="222"/>
        <v>6103585.1420833338</v>
      </c>
      <c r="AQ233" s="69">
        <f t="shared" ca="1" si="223"/>
        <v>6103585.1420833338</v>
      </c>
      <c r="AR233" s="70">
        <f t="shared" ca="1" si="224"/>
        <v>6103585.1420833338</v>
      </c>
      <c r="AS233" s="113"/>
      <c r="AT233" s="73" t="s">
        <v>9</v>
      </c>
      <c r="AU233" s="61" t="s">
        <v>10</v>
      </c>
      <c r="AV233" s="69">
        <f t="shared" si="225"/>
        <v>3537000</v>
      </c>
      <c r="AW233" s="69">
        <f t="shared" ca="1" si="226"/>
        <v>2535861.166666667</v>
      </c>
      <c r="AX233" s="69">
        <f t="shared" ca="1" si="227"/>
        <v>779601</v>
      </c>
      <c r="AY233" s="69">
        <v>0</v>
      </c>
      <c r="AZ233" s="69">
        <f t="shared" si="228"/>
        <v>8488.7999999999993</v>
      </c>
      <c r="BA233" s="69">
        <f t="shared" si="229"/>
        <v>10611</v>
      </c>
      <c r="BB233" s="69">
        <f t="shared" si="230"/>
        <v>141480</v>
      </c>
      <c r="BC233" s="69">
        <f t="shared" ca="1" si="231"/>
        <v>7013041.9666666668</v>
      </c>
      <c r="BD233" s="74">
        <f ca="1">IF(AU233="C",VLOOKUP(BC233,TER!$J$4:$L$50,3,TRUE),IF(AU233="B",VLOOKUP(BC233,TER!$F$4:$H$50,3,TRUE),IF(AU233="A",VLOOKUP(BC233,TER!$B$4:$D$50,3,TRUE),"ERROR")))</f>
        <v>1.2500000000000001E-2</v>
      </c>
      <c r="BE233" s="69">
        <f t="shared" ca="1" si="232"/>
        <v>87663.024583333347</v>
      </c>
      <c r="BF233" s="113"/>
      <c r="BG233" s="113"/>
    </row>
    <row r="234" spans="1:59" ht="14" hidden="1">
      <c r="A234" s="113"/>
      <c r="B234" s="224">
        <v>79</v>
      </c>
      <c r="C234" s="68" t="s">
        <v>1004</v>
      </c>
      <c r="D234" s="66" t="s">
        <v>1005</v>
      </c>
      <c r="E234" s="67" t="s">
        <v>57</v>
      </c>
      <c r="F234" s="68" t="s">
        <v>1265</v>
      </c>
      <c r="G234" s="67" t="s">
        <v>31</v>
      </c>
      <c r="H234" s="66" t="s">
        <v>32</v>
      </c>
      <c r="I234" s="69">
        <f t="shared" si="209"/>
        <v>3537000</v>
      </c>
      <c r="J234" s="70">
        <v>220709</v>
      </c>
      <c r="K234" s="70">
        <v>141480</v>
      </c>
      <c r="L234" s="70">
        <v>2766394</v>
      </c>
      <c r="M234" s="69">
        <f t="shared" ca="1" si="210"/>
        <v>115266.41666666667</v>
      </c>
      <c r="N234" s="61">
        <f ca="1">IFERROR(__xludf.DUMMYFUNCTION("VLOOKUP(C234,IMPORTRANGE(""https://docs.google.com/spreadsheets/d/1heLiqWF_2HiP-P9QpK84CTP6DxpoT_aG9fTdG9C1JMk/edit?gid=1535728046#gid=1535728046"",""DATA_ABSEN_JUNI25""),39,0)"),24)</f>
        <v>24</v>
      </c>
      <c r="O234" s="61">
        <f ca="1">IFERROR(__xludf.DUMMYFUNCTION("VLOOKUP(C234,IMPORTRANGE(""https://docs.google.com/spreadsheets/d/1heLiqWF_2HiP-P9QpK84CTP6DxpoT_aG9fTdG9C1JMk/edit?gid=1535728046#gid=1535728046"",""DATA_ABSEN_JUNI25""),40,0)"),24)</f>
        <v>24</v>
      </c>
      <c r="P234" s="69">
        <f t="shared" ca="1" si="211"/>
        <v>2766394</v>
      </c>
      <c r="Q234" s="71"/>
      <c r="R234" s="69">
        <f t="shared" si="212"/>
        <v>6665583</v>
      </c>
      <c r="S234" s="69">
        <f t="shared" ca="1" si="213"/>
        <v>6665583</v>
      </c>
      <c r="T234" s="69">
        <f t="shared" ca="1" si="214"/>
        <v>0</v>
      </c>
      <c r="U234" s="20">
        <v>259867</v>
      </c>
      <c r="V234" s="177">
        <f ca="1">IFERROR(__xludf.DUMMYFUNCTION("VLOOKUP(C234,IMPORTRANGE(""https://docs.google.com/spreadsheets/d/1heLiqWF_2HiP-P9QpK84CTP6DxpoT_aG9fTdG9C1JMk/edit?gid=1535728046#gid=1535728046"",""DATA_ABSEN_JUNI25""),41,0)"),4)</f>
        <v>4</v>
      </c>
      <c r="W234" s="69">
        <f t="shared" ca="1" si="215"/>
        <v>1039468</v>
      </c>
      <c r="X234" s="69">
        <v>0</v>
      </c>
      <c r="Y234" s="69">
        <f t="shared" ca="1" si="216"/>
        <v>7705051</v>
      </c>
      <c r="Z234" s="61">
        <f ca="1">IFERROR(__xludf.DUMMYFUNCTION("VLOOKUP(C234,IMPORTRANGE(""https://docs.google.com/spreadsheets/d/1heLiqWF_2HiP-P9QpK84CTP6DxpoT_aG9fTdG9C1JMk/edit?gid=1535728046#gid=1535728046"",""DATA_ABSEN_JUNI25""),42,0)+VLOOKUP(C234,IMPORTRANGE(""https://docs.google.com/spreadsheets/d/1heLiqWF_2Hi"&amp;"P-P9QpK84CTP6DxpoT_aG9fTdG9C1JMk/edit?gid=1535728046#gid=1535728046"",""DATA_ABSEN_JUNI25""),43,0)"),0)</f>
        <v>0</v>
      </c>
      <c r="AA234" s="61">
        <f ca="1">IFERROR(__xludf.DUMMYFUNCTION("VLOOKUP(C234,IMPORTRANGE(""https://docs.google.com/spreadsheets/d/1heLiqWF_2HiP-P9QpK84CTP6DxpoT_aG9fTdG9C1JMk/edit?gid=1535728046#gid=1535728046"",""DATA_ABSEN_JUNI25""),44,0)"),0)</f>
        <v>0</v>
      </c>
      <c r="AB234" s="61">
        <f ca="1">IFERROR(__xludf.DUMMYFUNCTION("VLOOKUP(C234,IMPORTRANGE(""https://docs.google.com/spreadsheets/d/1heLiqWF_2HiP-P9QpK84CTP6DxpoT_aG9fTdG9C1JMk/edit?gid=1535728046#gid=1535728046"",""DATA_ABSEN_JUNI25""),45,0)"),0)</f>
        <v>0</v>
      </c>
      <c r="AC234" s="61">
        <f ca="1">IFERROR(__xludf.DUMMYFUNCTION("VLOOKUP(C234,IMPORTRANGE(""https://docs.google.com/spreadsheets/d/1heLiqWF_2HiP-P9QpK84CTP6DxpoT_aG9fTdG9C1JMk/edit?gid=1535728046#gid=1535728046"",""DATA_ABSEN_JUNI25""),46,0)"),0)</f>
        <v>0</v>
      </c>
      <c r="AD234" s="125">
        <v>0</v>
      </c>
      <c r="AE234" s="69">
        <f t="shared" ca="1" si="217"/>
        <v>0</v>
      </c>
      <c r="AF234" s="20">
        <v>326819</v>
      </c>
      <c r="AG234" s="20">
        <v>176850</v>
      </c>
      <c r="AH234" s="69">
        <v>0</v>
      </c>
      <c r="AI234" s="69" t="e">
        <f t="shared" si="218"/>
        <v>#REF!</v>
      </c>
      <c r="AJ234" s="69">
        <v>0</v>
      </c>
      <c r="AK234" s="69" t="e">
        <f t="shared" si="123"/>
        <v>#REF!</v>
      </c>
      <c r="AL234" s="69">
        <v>0</v>
      </c>
      <c r="AM234" s="69">
        <f t="shared" ca="1" si="219"/>
        <v>503669</v>
      </c>
      <c r="AN234" s="69">
        <f t="shared" ca="1" si="220"/>
        <v>7201382</v>
      </c>
      <c r="AO234" s="69">
        <f t="shared" ca="1" si="221"/>
        <v>112551.62699999999</v>
      </c>
      <c r="AP234" s="69">
        <f t="shared" ca="1" si="222"/>
        <v>7088830.3729999997</v>
      </c>
      <c r="AQ234" s="69">
        <f t="shared" ca="1" si="223"/>
        <v>7088830.3729999997</v>
      </c>
      <c r="AR234" s="70">
        <f t="shared" ca="1" si="224"/>
        <v>7088830.3729999997</v>
      </c>
      <c r="AS234" s="113"/>
      <c r="AT234" s="73" t="s">
        <v>9</v>
      </c>
      <c r="AU234" s="61" t="s">
        <v>10</v>
      </c>
      <c r="AV234" s="69">
        <f t="shared" si="225"/>
        <v>3537000</v>
      </c>
      <c r="AW234" s="69">
        <f t="shared" ca="1" si="226"/>
        <v>2766394</v>
      </c>
      <c r="AX234" s="69">
        <f t="shared" ca="1" si="227"/>
        <v>1039468</v>
      </c>
      <c r="AY234" s="69">
        <v>0</v>
      </c>
      <c r="AZ234" s="69">
        <f t="shared" si="228"/>
        <v>8488.7999999999993</v>
      </c>
      <c r="BA234" s="69">
        <f t="shared" si="229"/>
        <v>10611</v>
      </c>
      <c r="BB234" s="69">
        <f t="shared" si="230"/>
        <v>141480</v>
      </c>
      <c r="BC234" s="69">
        <f t="shared" ca="1" si="231"/>
        <v>7503441.7999999998</v>
      </c>
      <c r="BD234" s="74">
        <f ca="1">IF(AU234="C",VLOOKUP(BC234,TER!$J$4:$L$50,3,TRUE),IF(AU234="B",VLOOKUP(BC234,TER!$F$4:$H$50,3,TRUE),IF(AU234="A",VLOOKUP(BC234,TER!$B$4:$D$50,3,TRUE),"ERROR")))</f>
        <v>1.4999999999999999E-2</v>
      </c>
      <c r="BE234" s="69">
        <f t="shared" ca="1" si="232"/>
        <v>112551.62699999999</v>
      </c>
      <c r="BF234" s="113"/>
      <c r="BG234" s="113"/>
    </row>
    <row r="235" spans="1:59" ht="14" hidden="1">
      <c r="A235" s="113"/>
      <c r="B235" s="224">
        <v>80</v>
      </c>
      <c r="C235" s="67" t="s">
        <v>1007</v>
      </c>
      <c r="D235" s="66" t="s">
        <v>1008</v>
      </c>
      <c r="E235" s="67" t="s">
        <v>57</v>
      </c>
      <c r="F235" s="68" t="s">
        <v>1009</v>
      </c>
      <c r="G235" s="67" t="s">
        <v>31</v>
      </c>
      <c r="H235" s="66" t="s">
        <v>32</v>
      </c>
      <c r="I235" s="69">
        <f t="shared" si="209"/>
        <v>3537000</v>
      </c>
      <c r="J235" s="70">
        <v>220709</v>
      </c>
      <c r="K235" s="70">
        <v>141480</v>
      </c>
      <c r="L235" s="70">
        <v>2766394</v>
      </c>
      <c r="M235" s="69">
        <f t="shared" ca="1" si="210"/>
        <v>115266.41666666667</v>
      </c>
      <c r="N235" s="61">
        <f ca="1">IFERROR(__xludf.DUMMYFUNCTION("VLOOKUP(C235,IMPORTRANGE(""https://docs.google.com/spreadsheets/d/1heLiqWF_2HiP-P9QpK84CTP6DxpoT_aG9fTdG9C1JMk/edit?gid=1535728046#gid=1535728046"",""DATA_ABSEN_JUNI25""),39,0)"),22)</f>
        <v>22</v>
      </c>
      <c r="O235" s="61">
        <f ca="1">IFERROR(__xludf.DUMMYFUNCTION("VLOOKUP(C235,IMPORTRANGE(""https://docs.google.com/spreadsheets/d/1heLiqWF_2HiP-P9QpK84CTP6DxpoT_aG9fTdG9C1JMk/edit?gid=1535728046#gid=1535728046"",""DATA_ABSEN_JUNI25""),40,0)"),24)</f>
        <v>24</v>
      </c>
      <c r="P235" s="69">
        <f t="shared" ca="1" si="211"/>
        <v>2535861.166666667</v>
      </c>
      <c r="Q235" s="71"/>
      <c r="R235" s="69">
        <f t="shared" si="212"/>
        <v>6665583</v>
      </c>
      <c r="S235" s="69">
        <f t="shared" ca="1" si="213"/>
        <v>6435050.166666667</v>
      </c>
      <c r="T235" s="69">
        <f t="shared" ca="1" si="214"/>
        <v>0</v>
      </c>
      <c r="U235" s="20">
        <v>259867</v>
      </c>
      <c r="V235" s="177">
        <f ca="1">IFERROR(__xludf.DUMMYFUNCTION("VLOOKUP(C235,IMPORTRANGE(""https://docs.google.com/spreadsheets/d/1heLiqWF_2HiP-P9QpK84CTP6DxpoT_aG9fTdG9C1JMk/edit?gid=1535728046#gid=1535728046"",""DATA_ABSEN_JUNI25""),41,0)"),2)</f>
        <v>2</v>
      </c>
      <c r="W235" s="69">
        <f t="shared" ca="1" si="215"/>
        <v>519734</v>
      </c>
      <c r="X235" s="69">
        <v>0</v>
      </c>
      <c r="Y235" s="69">
        <f t="shared" ca="1" si="216"/>
        <v>6954784.166666667</v>
      </c>
      <c r="Z235" s="61">
        <f ca="1">IFERROR(__xludf.DUMMYFUNCTION("VLOOKUP(C235,IMPORTRANGE(""https://docs.google.com/spreadsheets/d/1heLiqWF_2HiP-P9QpK84CTP6DxpoT_aG9fTdG9C1JMk/edit?gid=1535728046#gid=1535728046"",""DATA_ABSEN_JUNI25""),42,0)+VLOOKUP(C235,IMPORTRANGE(""https://docs.google.com/spreadsheets/d/1heLiqWF_2Hi"&amp;"P-P9QpK84CTP6DxpoT_aG9fTdG9C1JMk/edit?gid=1535728046#gid=1535728046"",""DATA_ABSEN_JUNI25""),43,0)"),0)</f>
        <v>0</v>
      </c>
      <c r="AA235" s="61">
        <f ca="1">IFERROR(__xludf.DUMMYFUNCTION("VLOOKUP(C235,IMPORTRANGE(""https://docs.google.com/spreadsheets/d/1heLiqWF_2HiP-P9QpK84CTP6DxpoT_aG9fTdG9C1JMk/edit?gid=1535728046#gid=1535728046"",""DATA_ABSEN_JUNI25""),44,0)"),2)</f>
        <v>2</v>
      </c>
      <c r="AB235" s="61">
        <f ca="1">IFERROR(__xludf.DUMMYFUNCTION("VLOOKUP(C235,IMPORTRANGE(""https://docs.google.com/spreadsheets/d/1heLiqWF_2HiP-P9QpK84CTP6DxpoT_aG9fTdG9C1JMk/edit?gid=1535728046#gid=1535728046"",""DATA_ABSEN_JUNI25""),45,0)"),0)</f>
        <v>0</v>
      </c>
      <c r="AC235" s="61">
        <f ca="1">IFERROR(__xludf.DUMMYFUNCTION("VLOOKUP(C235,IMPORTRANGE(""https://docs.google.com/spreadsheets/d/1heLiqWF_2HiP-P9QpK84CTP6DxpoT_aG9fTdG9C1JMk/edit?gid=1535728046#gid=1535728046"",""DATA_ABSEN_JUNI25""),46,0)"),0)</f>
        <v>0</v>
      </c>
      <c r="AD235" s="125">
        <v>0</v>
      </c>
      <c r="AE235" s="69">
        <f t="shared" ca="1" si="217"/>
        <v>519734</v>
      </c>
      <c r="AF235" s="20">
        <v>326819</v>
      </c>
      <c r="AG235" s="20">
        <v>176850</v>
      </c>
      <c r="AH235" s="69">
        <v>0</v>
      </c>
      <c r="AI235" s="69" t="e">
        <f t="shared" si="218"/>
        <v>#REF!</v>
      </c>
      <c r="AJ235" s="69">
        <v>0</v>
      </c>
      <c r="AK235" s="69" t="e">
        <f t="shared" si="123"/>
        <v>#REF!</v>
      </c>
      <c r="AL235" s="69">
        <v>0</v>
      </c>
      <c r="AM235" s="69">
        <f t="shared" ca="1" si="219"/>
        <v>1023403</v>
      </c>
      <c r="AN235" s="69">
        <f t="shared" ca="1" si="220"/>
        <v>5931381.166666667</v>
      </c>
      <c r="AO235" s="69">
        <f t="shared" ca="1" si="221"/>
        <v>84414.687083333338</v>
      </c>
      <c r="AP235" s="69">
        <f t="shared" ca="1" si="222"/>
        <v>5846966.4795833332</v>
      </c>
      <c r="AQ235" s="69">
        <f t="shared" ca="1" si="223"/>
        <v>5846966.4795833332</v>
      </c>
      <c r="AR235" s="70">
        <f t="shared" ca="1" si="224"/>
        <v>5846966.4795833332</v>
      </c>
      <c r="AS235" s="113"/>
      <c r="AT235" s="73" t="s">
        <v>9</v>
      </c>
      <c r="AU235" s="61" t="s">
        <v>10</v>
      </c>
      <c r="AV235" s="69">
        <f t="shared" si="225"/>
        <v>3537000</v>
      </c>
      <c r="AW235" s="69">
        <f t="shared" ca="1" si="226"/>
        <v>2535861.166666667</v>
      </c>
      <c r="AX235" s="69">
        <f t="shared" ca="1" si="227"/>
        <v>519734</v>
      </c>
      <c r="AY235" s="69">
        <v>0</v>
      </c>
      <c r="AZ235" s="69">
        <f t="shared" si="228"/>
        <v>8488.7999999999993</v>
      </c>
      <c r="BA235" s="69">
        <f t="shared" si="229"/>
        <v>10611</v>
      </c>
      <c r="BB235" s="69">
        <f t="shared" si="230"/>
        <v>141480</v>
      </c>
      <c r="BC235" s="69">
        <f t="shared" ca="1" si="231"/>
        <v>6753174.9666666668</v>
      </c>
      <c r="BD235" s="74">
        <f ca="1">IF(AU235="C",VLOOKUP(BC235,TER!$J$4:$L$50,3,TRUE),IF(AU235="B",VLOOKUP(BC235,TER!$F$4:$H$50,3,TRUE),IF(AU235="A",VLOOKUP(BC235,TER!$B$4:$D$50,3,TRUE),"ERROR")))</f>
        <v>1.2500000000000001E-2</v>
      </c>
      <c r="BE235" s="69">
        <f t="shared" ca="1" si="232"/>
        <v>84414.687083333338</v>
      </c>
      <c r="BF235" s="113"/>
      <c r="BG235" s="113"/>
    </row>
    <row r="236" spans="1:59" ht="13.5" hidden="1" customHeight="1">
      <c r="A236" s="113"/>
      <c r="B236" s="224">
        <v>81</v>
      </c>
      <c r="C236" s="67" t="s">
        <v>1014</v>
      </c>
      <c r="D236" s="134" t="s">
        <v>1010</v>
      </c>
      <c r="E236" s="67" t="s">
        <v>57</v>
      </c>
      <c r="F236" s="68" t="s">
        <v>1011</v>
      </c>
      <c r="G236" s="67" t="s">
        <v>31</v>
      </c>
      <c r="H236" s="66" t="s">
        <v>32</v>
      </c>
      <c r="I236" s="69">
        <f t="shared" si="209"/>
        <v>3537000</v>
      </c>
      <c r="J236" s="70">
        <v>220709</v>
      </c>
      <c r="K236" s="70">
        <v>141480</v>
      </c>
      <c r="L236" s="70">
        <v>2766394</v>
      </c>
      <c r="M236" s="69">
        <f t="shared" ca="1" si="210"/>
        <v>115266.41666666667</v>
      </c>
      <c r="N236" s="61">
        <f ca="1">IFERROR(__xludf.DUMMYFUNCTION("VLOOKUP(C236,IMPORTRANGE(""https://docs.google.com/spreadsheets/d/1heLiqWF_2HiP-P9QpK84CTP6DxpoT_aG9fTdG9C1JMk/edit?gid=1535728046#gid=1535728046"",""DATA_ABSEN_JUNI25""),39,0)"),24)</f>
        <v>24</v>
      </c>
      <c r="O236" s="61">
        <f ca="1">IFERROR(__xludf.DUMMYFUNCTION("VLOOKUP(C236,IMPORTRANGE(""https://docs.google.com/spreadsheets/d/1heLiqWF_2HiP-P9QpK84CTP6DxpoT_aG9fTdG9C1JMk/edit?gid=1535728046#gid=1535728046"",""DATA_ABSEN_JUNI25""),40,0)"),24)</f>
        <v>24</v>
      </c>
      <c r="P236" s="69">
        <f t="shared" ca="1" si="211"/>
        <v>2766394</v>
      </c>
      <c r="Q236" s="71"/>
      <c r="R236" s="69">
        <f t="shared" si="212"/>
        <v>6665583</v>
      </c>
      <c r="S236" s="69">
        <f t="shared" ca="1" si="213"/>
        <v>6665583</v>
      </c>
      <c r="T236" s="69">
        <f t="shared" ca="1" si="214"/>
        <v>0</v>
      </c>
      <c r="U236" s="20">
        <v>259867</v>
      </c>
      <c r="V236" s="177">
        <f ca="1">IFERROR(__xludf.DUMMYFUNCTION("VLOOKUP(C236,IMPORTRANGE(""https://docs.google.com/spreadsheets/d/1heLiqWF_2HiP-P9QpK84CTP6DxpoT_aG9fTdG9C1JMk/edit?gid=1535728046#gid=1535728046"",""DATA_ABSEN_JUNI25""),41,0)"),2)</f>
        <v>2</v>
      </c>
      <c r="W236" s="69">
        <f t="shared" ca="1" si="215"/>
        <v>519734</v>
      </c>
      <c r="X236" s="69">
        <v>0</v>
      </c>
      <c r="Y236" s="69">
        <f t="shared" ca="1" si="216"/>
        <v>7185317</v>
      </c>
      <c r="Z236" s="61">
        <f ca="1">IFERROR(__xludf.DUMMYFUNCTION("VLOOKUP(C236,IMPORTRANGE(""https://docs.google.com/spreadsheets/d/1heLiqWF_2HiP-P9QpK84CTP6DxpoT_aG9fTdG9C1JMk/edit?gid=1535728046#gid=1535728046"",""DATA_ABSEN_JUNI25""),42,0)+VLOOKUP(C236,IMPORTRANGE(""https://docs.google.com/spreadsheets/d/1heLiqWF_2Hi"&amp;"P-P9QpK84CTP6DxpoT_aG9fTdG9C1JMk/edit?gid=1535728046#gid=1535728046"",""DATA_ABSEN_JUNI25""),43,0)"),0)</f>
        <v>0</v>
      </c>
      <c r="AA236" s="61">
        <f ca="1">IFERROR(__xludf.DUMMYFUNCTION("VLOOKUP(C236,IMPORTRANGE(""https://docs.google.com/spreadsheets/d/1heLiqWF_2HiP-P9QpK84CTP6DxpoT_aG9fTdG9C1JMk/edit?gid=1535728046#gid=1535728046"",""DATA_ABSEN_JUNI25""),44,0)"),0)</f>
        <v>0</v>
      </c>
      <c r="AB236" s="61">
        <f ca="1">IFERROR(__xludf.DUMMYFUNCTION("VLOOKUP(C236,IMPORTRANGE(""https://docs.google.com/spreadsheets/d/1heLiqWF_2HiP-P9QpK84CTP6DxpoT_aG9fTdG9C1JMk/edit?gid=1535728046#gid=1535728046"",""DATA_ABSEN_JUNI25""),45,0)"),0)</f>
        <v>0</v>
      </c>
      <c r="AC236" s="61">
        <f ca="1">IFERROR(__xludf.DUMMYFUNCTION("VLOOKUP(C236,IMPORTRANGE(""https://docs.google.com/spreadsheets/d/1heLiqWF_2HiP-P9QpK84CTP6DxpoT_aG9fTdG9C1JMk/edit?gid=1535728046#gid=1535728046"",""DATA_ABSEN_JUNI25""),46,0)"),0)</f>
        <v>0</v>
      </c>
      <c r="AD236" s="125">
        <v>0</v>
      </c>
      <c r="AE236" s="69">
        <f t="shared" ca="1" si="217"/>
        <v>0</v>
      </c>
      <c r="AF236" s="20">
        <v>326819</v>
      </c>
      <c r="AG236" s="20">
        <v>176850</v>
      </c>
      <c r="AH236" s="69">
        <v>0</v>
      </c>
      <c r="AI236" s="69" t="e">
        <f t="shared" si="218"/>
        <v>#REF!</v>
      </c>
      <c r="AJ236" s="69">
        <v>0</v>
      </c>
      <c r="AK236" s="69" t="e">
        <f t="shared" si="123"/>
        <v>#REF!</v>
      </c>
      <c r="AL236" s="69">
        <v>0</v>
      </c>
      <c r="AM236" s="69">
        <f t="shared" ca="1" si="219"/>
        <v>503669</v>
      </c>
      <c r="AN236" s="69">
        <f t="shared" ca="1" si="220"/>
        <v>6681648</v>
      </c>
      <c r="AO236" s="69">
        <f t="shared" ca="1" si="221"/>
        <v>87296.347500000003</v>
      </c>
      <c r="AP236" s="69">
        <f t="shared" ca="1" si="222"/>
        <v>6594351.6524999999</v>
      </c>
      <c r="AQ236" s="69">
        <f t="shared" ca="1" si="223"/>
        <v>6594351.6524999999</v>
      </c>
      <c r="AR236" s="70">
        <f t="shared" ca="1" si="224"/>
        <v>6594351.6524999999</v>
      </c>
      <c r="AS236" s="113"/>
      <c r="AT236" s="73" t="s">
        <v>9</v>
      </c>
      <c r="AU236" s="61" t="s">
        <v>10</v>
      </c>
      <c r="AV236" s="69">
        <f t="shared" si="225"/>
        <v>3537000</v>
      </c>
      <c r="AW236" s="69">
        <f t="shared" ca="1" si="226"/>
        <v>2766394</v>
      </c>
      <c r="AX236" s="69">
        <f t="shared" ca="1" si="227"/>
        <v>519734</v>
      </c>
      <c r="AY236" s="69">
        <v>0</v>
      </c>
      <c r="AZ236" s="69">
        <f t="shared" si="228"/>
        <v>8488.7999999999993</v>
      </c>
      <c r="BA236" s="69">
        <f t="shared" si="229"/>
        <v>10611</v>
      </c>
      <c r="BB236" s="69">
        <f t="shared" si="230"/>
        <v>141480</v>
      </c>
      <c r="BC236" s="69">
        <f t="shared" ca="1" si="231"/>
        <v>6983707.7999999998</v>
      </c>
      <c r="BD236" s="74">
        <f ca="1">IF(AU236="C",VLOOKUP(BC236,TER!$J$4:$L$50,3,TRUE),IF(AU236="B",VLOOKUP(BC236,TER!$F$4:$H$50,3,TRUE),IF(AU236="A",VLOOKUP(BC236,TER!$B$4:$D$50,3,TRUE),"ERROR")))</f>
        <v>1.2500000000000001E-2</v>
      </c>
      <c r="BE236" s="69">
        <f t="shared" ca="1" si="232"/>
        <v>87296.347500000003</v>
      </c>
      <c r="BF236" s="113"/>
      <c r="BG236" s="113"/>
    </row>
    <row r="237" spans="1:59" ht="13.5" hidden="1" customHeight="1">
      <c r="A237" s="113"/>
      <c r="B237" s="224">
        <v>82</v>
      </c>
      <c r="C237" s="67" t="s">
        <v>1015</v>
      </c>
      <c r="D237" s="134" t="s">
        <v>1016</v>
      </c>
      <c r="E237" s="67" t="s">
        <v>57</v>
      </c>
      <c r="F237" s="68" t="s">
        <v>1266</v>
      </c>
      <c r="G237" s="67" t="s">
        <v>31</v>
      </c>
      <c r="H237" s="66" t="s">
        <v>32</v>
      </c>
      <c r="I237" s="69">
        <f t="shared" si="209"/>
        <v>3537000</v>
      </c>
      <c r="J237" s="70">
        <v>220709</v>
      </c>
      <c r="K237" s="70">
        <v>141480</v>
      </c>
      <c r="L237" s="70">
        <v>2766394</v>
      </c>
      <c r="M237" s="69">
        <f t="shared" ca="1" si="210"/>
        <v>115266.41666666667</v>
      </c>
      <c r="N237" s="61">
        <f ca="1">IFERROR(__xludf.DUMMYFUNCTION("VLOOKUP(C237,IMPORTRANGE(""https://docs.google.com/spreadsheets/d/1heLiqWF_2HiP-P9QpK84CTP6DxpoT_aG9fTdG9C1JMk/edit?gid=1535728046#gid=1535728046"",""DATA_ABSEN_JUNI25""),39,0)"),22)</f>
        <v>22</v>
      </c>
      <c r="O237" s="61">
        <f ca="1">IFERROR(__xludf.DUMMYFUNCTION("VLOOKUP(C237,IMPORTRANGE(""https://docs.google.com/spreadsheets/d/1heLiqWF_2HiP-P9QpK84CTP6DxpoT_aG9fTdG9C1JMk/edit?gid=1535728046#gid=1535728046"",""DATA_ABSEN_JUNI25""),40,0)"),24)</f>
        <v>24</v>
      </c>
      <c r="P237" s="69">
        <f t="shared" ca="1" si="211"/>
        <v>2535861.166666667</v>
      </c>
      <c r="Q237" s="71"/>
      <c r="R237" s="69">
        <f t="shared" si="212"/>
        <v>6665583</v>
      </c>
      <c r="S237" s="69">
        <f t="shared" ca="1" si="213"/>
        <v>6435050.166666667</v>
      </c>
      <c r="T237" s="69">
        <f t="shared" ca="1" si="214"/>
        <v>0</v>
      </c>
      <c r="U237" s="20">
        <v>259867</v>
      </c>
      <c r="V237" s="177">
        <f ca="1">IFERROR(__xludf.DUMMYFUNCTION("VLOOKUP(C237,IMPORTRANGE(""https://docs.google.com/spreadsheets/d/1heLiqWF_2HiP-P9QpK84CTP6DxpoT_aG9fTdG9C1JMk/edit?gid=1535728046#gid=1535728046"",""DATA_ABSEN_JUNI25""),41,0)"),1)</f>
        <v>1</v>
      </c>
      <c r="W237" s="69">
        <f t="shared" ca="1" si="215"/>
        <v>259867</v>
      </c>
      <c r="X237" s="69">
        <v>0</v>
      </c>
      <c r="Y237" s="69">
        <f t="shared" ca="1" si="216"/>
        <v>6694917.166666667</v>
      </c>
      <c r="Z237" s="61">
        <f ca="1">IFERROR(__xludf.DUMMYFUNCTION("VLOOKUP(C237,IMPORTRANGE(""https://docs.google.com/spreadsheets/d/1heLiqWF_2HiP-P9QpK84CTP6DxpoT_aG9fTdG9C1JMk/edit?gid=1535728046#gid=1535728046"",""DATA_ABSEN_JUNI25""),42,0)+VLOOKUP(C237,IMPORTRANGE(""https://docs.google.com/spreadsheets/d/1heLiqWF_2Hi"&amp;"P-P9QpK84CTP6DxpoT_aG9fTdG9C1JMk/edit?gid=1535728046#gid=1535728046"",""DATA_ABSEN_JUNI25""),43,0)"),0)</f>
        <v>0</v>
      </c>
      <c r="AA237" s="61">
        <f ca="1">IFERROR(__xludf.DUMMYFUNCTION("VLOOKUP(C237,IMPORTRANGE(""https://docs.google.com/spreadsheets/d/1heLiqWF_2HiP-P9QpK84CTP6DxpoT_aG9fTdG9C1JMk/edit?gid=1535728046#gid=1535728046"",""DATA_ABSEN_JUNI25""),44,0)"),2)</f>
        <v>2</v>
      </c>
      <c r="AB237" s="61">
        <f ca="1">IFERROR(__xludf.DUMMYFUNCTION("VLOOKUP(C237,IMPORTRANGE(""https://docs.google.com/spreadsheets/d/1heLiqWF_2HiP-P9QpK84CTP6DxpoT_aG9fTdG9C1JMk/edit?gid=1535728046#gid=1535728046"",""DATA_ABSEN_JUNI25""),45,0)"),0)</f>
        <v>0</v>
      </c>
      <c r="AC237" s="61">
        <f ca="1">IFERROR(__xludf.DUMMYFUNCTION("VLOOKUP(C237,IMPORTRANGE(""https://docs.google.com/spreadsheets/d/1heLiqWF_2HiP-P9QpK84CTP6DxpoT_aG9fTdG9C1JMk/edit?gid=1535728046#gid=1535728046"",""DATA_ABSEN_JUNI25""),46,0)"),0)</f>
        <v>0</v>
      </c>
      <c r="AD237" s="125">
        <v>0</v>
      </c>
      <c r="AE237" s="69">
        <f t="shared" ca="1" si="217"/>
        <v>519734</v>
      </c>
      <c r="AF237" s="20">
        <v>326819</v>
      </c>
      <c r="AG237" s="20">
        <v>176850</v>
      </c>
      <c r="AH237" s="69">
        <v>0</v>
      </c>
      <c r="AI237" s="69" t="e">
        <f t="shared" si="218"/>
        <v>#REF!</v>
      </c>
      <c r="AJ237" s="69">
        <v>0</v>
      </c>
      <c r="AK237" s="69" t="e">
        <f t="shared" si="123"/>
        <v>#REF!</v>
      </c>
      <c r="AL237" s="69">
        <v>0</v>
      </c>
      <c r="AM237" s="69">
        <f t="shared" ca="1" si="219"/>
        <v>1023403</v>
      </c>
      <c r="AN237" s="69">
        <f t="shared" ca="1" si="220"/>
        <v>5671514.166666667</v>
      </c>
      <c r="AO237" s="69">
        <f t="shared" ca="1" si="221"/>
        <v>64933.079666666672</v>
      </c>
      <c r="AP237" s="69">
        <f t="shared" ca="1" si="222"/>
        <v>5606581.0870000003</v>
      </c>
      <c r="AQ237" s="69">
        <f t="shared" ca="1" si="223"/>
        <v>5606581.0870000003</v>
      </c>
      <c r="AR237" s="70">
        <f t="shared" ca="1" si="224"/>
        <v>5606581.0870000003</v>
      </c>
      <c r="AS237" s="113"/>
      <c r="AT237" s="73" t="s">
        <v>18</v>
      </c>
      <c r="AU237" s="61" t="s">
        <v>10</v>
      </c>
      <c r="AV237" s="69">
        <f t="shared" si="225"/>
        <v>3537000</v>
      </c>
      <c r="AW237" s="69">
        <f t="shared" ca="1" si="226"/>
        <v>2535861.166666667</v>
      </c>
      <c r="AX237" s="69">
        <f t="shared" ca="1" si="227"/>
        <v>259867</v>
      </c>
      <c r="AY237" s="69">
        <v>0</v>
      </c>
      <c r="AZ237" s="69">
        <f t="shared" si="228"/>
        <v>8488.7999999999993</v>
      </c>
      <c r="BA237" s="69">
        <f t="shared" si="229"/>
        <v>10611</v>
      </c>
      <c r="BB237" s="69">
        <f t="shared" si="230"/>
        <v>141480</v>
      </c>
      <c r="BC237" s="69">
        <f t="shared" ca="1" si="231"/>
        <v>6493307.9666666668</v>
      </c>
      <c r="BD237" s="74">
        <f ca="1">IF(AU237="C",VLOOKUP(BC237,TER!$J$4:$L$50,3,TRUE),IF(AU237="B",VLOOKUP(BC237,TER!$F$4:$H$50,3,TRUE),IF(AU237="A",VLOOKUP(BC237,TER!$B$4:$D$50,3,TRUE),"ERROR")))</f>
        <v>0.01</v>
      </c>
      <c r="BE237" s="69">
        <f t="shared" ca="1" si="232"/>
        <v>64933.079666666672</v>
      </c>
      <c r="BF237" s="113"/>
      <c r="BG237" s="113"/>
    </row>
    <row r="238" spans="1:59" ht="13.5" hidden="1" customHeight="1">
      <c r="A238" s="113"/>
      <c r="B238" s="224">
        <v>83</v>
      </c>
      <c r="C238" s="188" t="s">
        <v>447</v>
      </c>
      <c r="D238" s="134" t="s">
        <v>448</v>
      </c>
      <c r="E238" s="67" t="s">
        <v>57</v>
      </c>
      <c r="F238" s="68" t="s">
        <v>449</v>
      </c>
      <c r="G238" s="67" t="s">
        <v>31</v>
      </c>
      <c r="H238" s="66" t="s">
        <v>32</v>
      </c>
      <c r="I238" s="69">
        <f t="shared" si="209"/>
        <v>3537000</v>
      </c>
      <c r="J238" s="70">
        <v>220709</v>
      </c>
      <c r="K238" s="70">
        <v>141480</v>
      </c>
      <c r="L238" s="70">
        <v>2766394</v>
      </c>
      <c r="M238" s="69">
        <f t="shared" ca="1" si="210"/>
        <v>115266.41666666667</v>
      </c>
      <c r="N238" s="61">
        <f ca="1">IFERROR(__xludf.DUMMYFUNCTION("VLOOKUP(C238,IMPORTRANGE(""https://docs.google.com/spreadsheets/d/1heLiqWF_2HiP-P9QpK84CTP6DxpoT_aG9fTdG9C1JMk/edit?gid=1535728046#gid=1535728046"",""DATA_ABSEN_JUNI25""),39,0)"),23)</f>
        <v>23</v>
      </c>
      <c r="O238" s="61">
        <f ca="1">IFERROR(__xludf.DUMMYFUNCTION("VLOOKUP(C238,IMPORTRANGE(""https://docs.google.com/spreadsheets/d/1heLiqWF_2HiP-P9QpK84CTP6DxpoT_aG9fTdG9C1JMk/edit?gid=1535728046#gid=1535728046"",""DATA_ABSEN_JUNI25""),40,0)"),24)</f>
        <v>24</v>
      </c>
      <c r="P238" s="69">
        <f t="shared" ca="1" si="211"/>
        <v>2651127.5833333335</v>
      </c>
      <c r="Q238" s="71"/>
      <c r="R238" s="69">
        <f t="shared" si="212"/>
        <v>6665583</v>
      </c>
      <c r="S238" s="69">
        <f t="shared" ca="1" si="213"/>
        <v>6550316.583333334</v>
      </c>
      <c r="T238" s="69">
        <f t="shared" ca="1" si="214"/>
        <v>0</v>
      </c>
      <c r="U238" s="20">
        <v>259867</v>
      </c>
      <c r="V238" s="177">
        <f ca="1">IFERROR(__xludf.DUMMYFUNCTION("VLOOKUP(C238,IMPORTRANGE(""https://docs.google.com/spreadsheets/d/1heLiqWF_2HiP-P9QpK84CTP6DxpoT_aG9fTdG9C1JMk/edit?gid=1535728046#gid=1535728046"",""DATA_ABSEN_JUNI25""),41,0)"),2)</f>
        <v>2</v>
      </c>
      <c r="W238" s="69">
        <f t="shared" ca="1" si="215"/>
        <v>519734</v>
      </c>
      <c r="X238" s="69">
        <v>0</v>
      </c>
      <c r="Y238" s="69">
        <f t="shared" ca="1" si="216"/>
        <v>7070050.583333334</v>
      </c>
      <c r="Z238" s="61">
        <f ca="1">IFERROR(__xludf.DUMMYFUNCTION("VLOOKUP(C238,IMPORTRANGE(""https://docs.google.com/spreadsheets/d/1heLiqWF_2HiP-P9QpK84CTP6DxpoT_aG9fTdG9C1JMk/edit?gid=1535728046#gid=1535728046"",""DATA_ABSEN_JUNI25""),42,0)+VLOOKUP(C238,IMPORTRANGE(""https://docs.google.com/spreadsheets/d/1heLiqWF_2Hi"&amp;"P-P9QpK84CTP6DxpoT_aG9fTdG9C1JMk/edit?gid=1535728046#gid=1535728046"",""DATA_ABSEN_JUNI25""),43,0)"),1)</f>
        <v>1</v>
      </c>
      <c r="AA238" s="61">
        <f ca="1">IFERROR(__xludf.DUMMYFUNCTION("VLOOKUP(C238,IMPORTRANGE(""https://docs.google.com/spreadsheets/d/1heLiqWF_2HiP-P9QpK84CTP6DxpoT_aG9fTdG9C1JMk/edit?gid=1535728046#gid=1535728046"",""DATA_ABSEN_JUNI25""),44,0)"),0)</f>
        <v>0</v>
      </c>
      <c r="AB238" s="61">
        <f ca="1">IFERROR(__xludf.DUMMYFUNCTION("VLOOKUP(C238,IMPORTRANGE(""https://docs.google.com/spreadsheets/d/1heLiqWF_2HiP-P9QpK84CTP6DxpoT_aG9fTdG9C1JMk/edit?gid=1535728046#gid=1535728046"",""DATA_ABSEN_JUNI25""),45,0)"),0)</f>
        <v>0</v>
      </c>
      <c r="AC238" s="61">
        <f ca="1">IFERROR(__xludf.DUMMYFUNCTION("VLOOKUP(C238,IMPORTRANGE(""https://docs.google.com/spreadsheets/d/1heLiqWF_2HiP-P9QpK84CTP6DxpoT_aG9fTdG9C1JMk/edit?gid=1535728046#gid=1535728046"",""DATA_ABSEN_JUNI25""),46,0)"),0)</f>
        <v>0</v>
      </c>
      <c r="AD238" s="125">
        <v>0</v>
      </c>
      <c r="AE238" s="69">
        <f t="shared" ca="1" si="217"/>
        <v>259867</v>
      </c>
      <c r="AF238" s="20">
        <v>326819</v>
      </c>
      <c r="AG238" s="20">
        <v>176850</v>
      </c>
      <c r="AH238" s="69">
        <v>0</v>
      </c>
      <c r="AI238" s="69" t="e">
        <f t="shared" si="218"/>
        <v>#REF!</v>
      </c>
      <c r="AJ238" s="69">
        <v>0</v>
      </c>
      <c r="AK238" s="69" t="e">
        <f t="shared" si="123"/>
        <v>#REF!</v>
      </c>
      <c r="AL238" s="69">
        <v>0</v>
      </c>
      <c r="AM238" s="69">
        <f t="shared" ca="1" si="219"/>
        <v>763536</v>
      </c>
      <c r="AN238" s="69">
        <f t="shared" ca="1" si="220"/>
        <v>6306514.583333334</v>
      </c>
      <c r="AO238" s="69">
        <f t="shared" ca="1" si="221"/>
        <v>85855.517291666678</v>
      </c>
      <c r="AP238" s="69">
        <f t="shared" ca="1" si="222"/>
        <v>6220659.066041667</v>
      </c>
      <c r="AQ238" s="69">
        <f t="shared" ca="1" si="223"/>
        <v>6220659.066041667</v>
      </c>
      <c r="AR238" s="70">
        <f t="shared" ca="1" si="224"/>
        <v>6220659.066041667</v>
      </c>
      <c r="AS238" s="113"/>
      <c r="AT238" s="73" t="s">
        <v>9</v>
      </c>
      <c r="AU238" s="61" t="s">
        <v>10</v>
      </c>
      <c r="AV238" s="69">
        <f t="shared" si="225"/>
        <v>3537000</v>
      </c>
      <c r="AW238" s="69">
        <f t="shared" ca="1" si="226"/>
        <v>2651127.5833333335</v>
      </c>
      <c r="AX238" s="69">
        <f t="shared" ca="1" si="227"/>
        <v>519734</v>
      </c>
      <c r="AY238" s="69">
        <v>0</v>
      </c>
      <c r="AZ238" s="69">
        <f t="shared" si="228"/>
        <v>8488.7999999999993</v>
      </c>
      <c r="BA238" s="69">
        <f t="shared" si="229"/>
        <v>10611</v>
      </c>
      <c r="BB238" s="69">
        <f t="shared" si="230"/>
        <v>141480</v>
      </c>
      <c r="BC238" s="69">
        <f t="shared" ca="1" si="231"/>
        <v>6868441.3833333338</v>
      </c>
      <c r="BD238" s="74">
        <f ca="1">IF(AU238="C",VLOOKUP(BC238,TER!$J$4:$L$50,3,TRUE),IF(AU238="B",VLOOKUP(BC238,TER!$F$4:$H$50,3,TRUE),IF(AU238="A",VLOOKUP(BC238,TER!$B$4:$D$50,3,TRUE),"ERROR")))</f>
        <v>1.2500000000000001E-2</v>
      </c>
      <c r="BE238" s="69">
        <f t="shared" ca="1" si="232"/>
        <v>85855.517291666678</v>
      </c>
      <c r="BF238" s="113"/>
      <c r="BG238" s="113"/>
    </row>
    <row r="239" spans="1:59" ht="13.5" hidden="1" customHeight="1">
      <c r="A239" s="113"/>
      <c r="B239" s="224"/>
      <c r="C239" s="77"/>
      <c r="D239" s="78" t="s">
        <v>1079</v>
      </c>
      <c r="E239" s="76"/>
      <c r="F239" s="77"/>
      <c r="G239" s="76"/>
      <c r="H239" s="75"/>
      <c r="I239" s="79"/>
      <c r="J239" s="80"/>
      <c r="K239" s="80"/>
      <c r="L239" s="80"/>
      <c r="M239" s="79"/>
      <c r="N239" s="81"/>
      <c r="O239" s="81"/>
      <c r="P239" s="79"/>
      <c r="Q239" s="75"/>
      <c r="R239" s="79"/>
      <c r="S239" s="79"/>
      <c r="T239" s="79"/>
      <c r="U239" s="54"/>
      <c r="V239" s="81"/>
      <c r="W239" s="79"/>
      <c r="X239" s="79"/>
      <c r="Y239" s="79"/>
      <c r="Z239" s="81"/>
      <c r="AA239" s="81"/>
      <c r="AB239" s="81"/>
      <c r="AC239" s="81"/>
      <c r="AD239" s="81"/>
      <c r="AE239" s="79"/>
      <c r="AF239" s="54"/>
      <c r="AG239" s="54"/>
      <c r="AH239" s="79"/>
      <c r="AI239" s="70">
        <v>0</v>
      </c>
      <c r="AJ239" s="69">
        <v>0</v>
      </c>
      <c r="AK239" s="69">
        <f t="shared" si="123"/>
        <v>0</v>
      </c>
      <c r="AL239" s="79"/>
      <c r="AM239" s="79"/>
      <c r="AN239" s="79"/>
      <c r="AO239" s="79"/>
      <c r="AP239" s="79"/>
      <c r="AQ239" s="79"/>
      <c r="AR239" s="80"/>
      <c r="AS239" s="189"/>
      <c r="AT239" s="83"/>
      <c r="AU239" s="82"/>
      <c r="AV239" s="79"/>
      <c r="AW239" s="79"/>
      <c r="AX239" s="79"/>
      <c r="AY239" s="79"/>
      <c r="AZ239" s="79"/>
      <c r="BA239" s="79"/>
      <c r="BB239" s="79"/>
      <c r="BC239" s="79"/>
      <c r="BD239" s="76"/>
      <c r="BE239" s="79"/>
      <c r="BF239" s="113"/>
      <c r="BG239" s="113"/>
    </row>
    <row r="240" spans="1:59" ht="13.5" hidden="1" customHeight="1">
      <c r="A240" s="113"/>
      <c r="B240" s="224">
        <v>85</v>
      </c>
      <c r="C240" s="68" t="s">
        <v>1046</v>
      </c>
      <c r="D240" s="66" t="s">
        <v>1047</v>
      </c>
      <c r="E240" s="67" t="s">
        <v>57</v>
      </c>
      <c r="F240" s="68" t="s">
        <v>1267</v>
      </c>
      <c r="G240" s="67" t="s">
        <v>31</v>
      </c>
      <c r="H240" s="66" t="s">
        <v>32</v>
      </c>
      <c r="I240" s="69">
        <f t="shared" ref="I240:I246" si="233">IF(H240="FULL - EXISTING",3537000,3537000/O240*N240)</f>
        <v>3537000</v>
      </c>
      <c r="J240" s="70">
        <v>220709</v>
      </c>
      <c r="K240" s="70">
        <v>141480</v>
      </c>
      <c r="L240" s="70">
        <v>2766394</v>
      </c>
      <c r="M240" s="69">
        <f t="shared" ref="M240:M248" ca="1" si="234">L240/O240</f>
        <v>115266.41666666667</v>
      </c>
      <c r="N240" s="61">
        <f ca="1">IFERROR(__xludf.DUMMYFUNCTION("VLOOKUP(C240,IMPORTRANGE(""https://docs.google.com/spreadsheets/d/1heLiqWF_2HiP-P9QpK84CTP6DxpoT_aG9fTdG9C1JMk/edit?gid=1535728046#gid=1535728046"",""DATA_ABSEN_JUNI25""),39,0)"),24)</f>
        <v>24</v>
      </c>
      <c r="O240" s="61">
        <f ca="1">IFERROR(__xludf.DUMMYFUNCTION("VLOOKUP(C240,IMPORTRANGE(""https://docs.google.com/spreadsheets/d/1heLiqWF_2HiP-P9QpK84CTP6DxpoT_aG9fTdG9C1JMk/edit?gid=1535728046#gid=1535728046"",""DATA_ABSEN_JUNI25""),40,0)"),24)</f>
        <v>24</v>
      </c>
      <c r="P240" s="69">
        <f t="shared" ref="P240:P248" ca="1" si="235">M240*N240</f>
        <v>2766394</v>
      </c>
      <c r="Q240" s="71"/>
      <c r="R240" s="69">
        <f t="shared" ref="R240:R248" si="236">I240+J240+K240+L240</f>
        <v>6665583</v>
      </c>
      <c r="S240" s="69">
        <f t="shared" ref="S240:S248" ca="1" si="237">I240+J240+K240+P240</f>
        <v>6665583</v>
      </c>
      <c r="T240" s="69">
        <f t="shared" ref="T240:T248" ca="1" si="238">IF(R240-S240&lt;0,R240-S240,0)</f>
        <v>0</v>
      </c>
      <c r="U240" s="20">
        <v>259867</v>
      </c>
      <c r="V240" s="177">
        <f ca="1">IFERROR(__xludf.DUMMYFUNCTION("VLOOKUP(C240,IMPORTRANGE(""https://docs.google.com/spreadsheets/d/1heLiqWF_2HiP-P9QpK84CTP6DxpoT_aG9fTdG9C1JMk/edit?gid=1535728046#gid=1535728046"",""DATA_ABSEN_JUNI25""),41,0)"),2)</f>
        <v>2</v>
      </c>
      <c r="W240" s="69">
        <f t="shared" ref="W240:W245" ca="1" si="239">U240*V240</f>
        <v>519734</v>
      </c>
      <c r="X240" s="69">
        <v>0</v>
      </c>
      <c r="Y240" s="69">
        <f t="shared" ref="Y240:Y245" ca="1" si="240">I240+J240+K240+P240+W240+X240</f>
        <v>7185317</v>
      </c>
      <c r="Z240" s="61">
        <f ca="1">IFERROR(__xludf.DUMMYFUNCTION("VLOOKUP(C240,IMPORTRANGE(""https://docs.google.com/spreadsheets/d/1heLiqWF_2HiP-P9QpK84CTP6DxpoT_aG9fTdG9C1JMk/edit?gid=1535728046#gid=1535728046"",""DATA_ABSEN_JUNI25""),42,0)+VLOOKUP(C240,IMPORTRANGE(""https://docs.google.com/spreadsheets/d/1heLiqWF_2Hi"&amp;"P-P9QpK84CTP6DxpoT_aG9fTdG9C1JMk/edit?gid=1535728046#gid=1535728046"",""DATA_ABSEN_JUNI25""),43,0)"),0)</f>
        <v>0</v>
      </c>
      <c r="AA240" s="61">
        <f ca="1">IFERROR(__xludf.DUMMYFUNCTION("VLOOKUP(C240,IMPORTRANGE(""https://docs.google.com/spreadsheets/d/1heLiqWF_2HiP-P9QpK84CTP6DxpoT_aG9fTdG9C1JMk/edit?gid=1535728046#gid=1535728046"",""DATA_ABSEN_JUNI25""),44,0)"),0)</f>
        <v>0</v>
      </c>
      <c r="AB240" s="61">
        <f ca="1">IFERROR(__xludf.DUMMYFUNCTION("VLOOKUP(C240,IMPORTRANGE(""https://docs.google.com/spreadsheets/d/1heLiqWF_2HiP-P9QpK84CTP6DxpoT_aG9fTdG9C1JMk/edit?gid=1535728046#gid=1535728046"",""DATA_ABSEN_JUNI25""),45,0)"),0)</f>
        <v>0</v>
      </c>
      <c r="AC240" s="61">
        <f ca="1">IFERROR(__xludf.DUMMYFUNCTION("VLOOKUP(C240,IMPORTRANGE(""https://docs.google.com/spreadsheets/d/1heLiqWF_2HiP-P9QpK84CTP6DxpoT_aG9fTdG9C1JMk/edit?gid=1535728046#gid=1535728046"",""DATA_ABSEN_JUNI25""),46,0)"),0)</f>
        <v>0</v>
      </c>
      <c r="AD240" s="125">
        <v>0</v>
      </c>
      <c r="AE240" s="69">
        <f t="shared" ref="AE240:AE248" ca="1" si="241">U240*(Z240+AA240+AD240+(AC240*2))</f>
        <v>0</v>
      </c>
      <c r="AF240" s="20">
        <v>326819</v>
      </c>
      <c r="AG240" s="20">
        <v>176850</v>
      </c>
      <c r="AH240" s="69">
        <v>0</v>
      </c>
      <c r="AI240" s="69" t="e">
        <f t="shared" ref="AI240:AI246" si="242">VLOOKUP(C240,PINJAMAN_KAI_JULI_25,35,0)</f>
        <v>#REF!</v>
      </c>
      <c r="AJ240" s="69">
        <v>0</v>
      </c>
      <c r="AK240" s="69" t="e">
        <f t="shared" si="123"/>
        <v>#REF!</v>
      </c>
      <c r="AL240" s="69">
        <v>0</v>
      </c>
      <c r="AM240" s="69">
        <f t="shared" ref="AM240:AM248" ca="1" si="243">AE240+AF240+AG240+AH240+AJ240+AL240</f>
        <v>503669</v>
      </c>
      <c r="AN240" s="69">
        <f t="shared" ref="AN240:AN248" ca="1" si="244">Y240-AM240</f>
        <v>6681648</v>
      </c>
      <c r="AO240" s="69">
        <f t="shared" ref="AO240:AO248" ca="1" si="245">BE240</f>
        <v>87296.347500000003</v>
      </c>
      <c r="AP240" s="69">
        <f t="shared" ref="AP240:AP248" ca="1" si="246">AN240-AO240</f>
        <v>6594351.6524999999</v>
      </c>
      <c r="AQ240" s="69">
        <f t="shared" ref="AQ240:AQ248" ca="1" si="247">AP240-X240</f>
        <v>6594351.6524999999</v>
      </c>
      <c r="AR240" s="70">
        <f t="shared" ref="AR240:AR248" ca="1" si="248">AP240-X240</f>
        <v>6594351.6524999999</v>
      </c>
      <c r="AS240" s="113"/>
      <c r="AT240" s="73" t="s">
        <v>9</v>
      </c>
      <c r="AU240" s="61" t="s">
        <v>10</v>
      </c>
      <c r="AV240" s="69">
        <f t="shared" ref="AV240:AV248" si="249">I240</f>
        <v>3537000</v>
      </c>
      <c r="AW240" s="69">
        <f t="shared" ref="AW240:AW248" ca="1" si="250">P240</f>
        <v>2766394</v>
      </c>
      <c r="AX240" s="69">
        <f t="shared" ref="AX240:AX248" ca="1" si="251">W240</f>
        <v>519734</v>
      </c>
      <c r="AY240" s="69">
        <v>0</v>
      </c>
      <c r="AZ240" s="69">
        <f t="shared" ref="AZ240:AZ248" si="252">IF(J240=0,0,AV240*0.24%)</f>
        <v>8488.7999999999993</v>
      </c>
      <c r="BA240" s="69">
        <f t="shared" ref="BA240:BA248" si="253">IF(J240=0,0,AV240*0.3%)</f>
        <v>10611</v>
      </c>
      <c r="BB240" s="69">
        <f t="shared" ref="BB240:BB248" si="254">IF(K240=0,0,AV240*4%)</f>
        <v>141480</v>
      </c>
      <c r="BC240" s="69">
        <f t="shared" ref="BC240:BC248" ca="1" si="255">SUM(AV240:BB240)</f>
        <v>6983707.7999999998</v>
      </c>
      <c r="BD240" s="74">
        <f ca="1">IF(AU240="C",VLOOKUP(BC240,TER!$J$4:$L$50,3,TRUE),IF(AU240="B",VLOOKUP(BC240,TER!$F$4:$H$50,3,TRUE),IF(AU240="A",VLOOKUP(BC240,TER!$B$4:$D$50,3,TRUE),"ERROR")))</f>
        <v>1.2500000000000001E-2</v>
      </c>
      <c r="BE240" s="69">
        <f t="shared" ref="BE240:BE248" ca="1" si="256">BC240*BD240</f>
        <v>87296.347500000003</v>
      </c>
      <c r="BF240" s="113"/>
      <c r="BG240" s="113"/>
    </row>
    <row r="241" spans="1:59" ht="13.5" hidden="1" customHeight="1">
      <c r="A241" s="113"/>
      <c r="B241" s="224">
        <v>86</v>
      </c>
      <c r="C241" s="68" t="s">
        <v>1049</v>
      </c>
      <c r="D241" s="66" t="s">
        <v>1050</v>
      </c>
      <c r="E241" s="67" t="s">
        <v>57</v>
      </c>
      <c r="F241" s="68" t="s">
        <v>1268</v>
      </c>
      <c r="G241" s="67" t="s">
        <v>31</v>
      </c>
      <c r="H241" s="66" t="s">
        <v>32</v>
      </c>
      <c r="I241" s="69">
        <f t="shared" si="233"/>
        <v>3537000</v>
      </c>
      <c r="J241" s="70">
        <v>220709</v>
      </c>
      <c r="K241" s="70">
        <v>141480</v>
      </c>
      <c r="L241" s="70">
        <v>2766394</v>
      </c>
      <c r="M241" s="69">
        <f t="shared" ca="1" si="234"/>
        <v>115266.41666666667</v>
      </c>
      <c r="N241" s="61">
        <f ca="1">IFERROR(__xludf.DUMMYFUNCTION("VLOOKUP(C241,IMPORTRANGE(""https://docs.google.com/spreadsheets/d/1heLiqWF_2HiP-P9QpK84CTP6DxpoT_aG9fTdG9C1JMk/edit?gid=1535728046#gid=1535728046"",""DATA_ABSEN_JUNI25""),39,0)"),24)</f>
        <v>24</v>
      </c>
      <c r="O241" s="61">
        <f ca="1">IFERROR(__xludf.DUMMYFUNCTION("VLOOKUP(C241,IMPORTRANGE(""https://docs.google.com/spreadsheets/d/1heLiqWF_2HiP-P9QpK84CTP6DxpoT_aG9fTdG9C1JMk/edit?gid=1535728046#gid=1535728046"",""DATA_ABSEN_JUNI25""),40,0)"),24)</f>
        <v>24</v>
      </c>
      <c r="P241" s="69">
        <f t="shared" ca="1" si="235"/>
        <v>2766394</v>
      </c>
      <c r="Q241" s="71"/>
      <c r="R241" s="69">
        <f t="shared" si="236"/>
        <v>6665583</v>
      </c>
      <c r="S241" s="69">
        <f t="shared" ca="1" si="237"/>
        <v>6665583</v>
      </c>
      <c r="T241" s="69">
        <f t="shared" ca="1" si="238"/>
        <v>0</v>
      </c>
      <c r="U241" s="20">
        <v>259867</v>
      </c>
      <c r="V241" s="177">
        <f ca="1">IFERROR(__xludf.DUMMYFUNCTION("VLOOKUP(C241,IMPORTRANGE(""https://docs.google.com/spreadsheets/d/1heLiqWF_2HiP-P9QpK84CTP6DxpoT_aG9fTdG9C1JMk/edit?gid=1535728046#gid=1535728046"",""DATA_ABSEN_JUNI25""),41,0)"),1)</f>
        <v>1</v>
      </c>
      <c r="W241" s="69">
        <f t="shared" ca="1" si="239"/>
        <v>259867</v>
      </c>
      <c r="X241" s="69">
        <v>0</v>
      </c>
      <c r="Y241" s="69">
        <f t="shared" ca="1" si="240"/>
        <v>6925450</v>
      </c>
      <c r="Z241" s="61">
        <f ca="1">IFERROR(__xludf.DUMMYFUNCTION("VLOOKUP(C241,IMPORTRANGE(""https://docs.google.com/spreadsheets/d/1heLiqWF_2HiP-P9QpK84CTP6DxpoT_aG9fTdG9C1JMk/edit?gid=1535728046#gid=1535728046"",""DATA_ABSEN_JUNI25""),42,0)+VLOOKUP(C241,IMPORTRANGE(""https://docs.google.com/spreadsheets/d/1heLiqWF_2Hi"&amp;"P-P9QpK84CTP6DxpoT_aG9fTdG9C1JMk/edit?gid=1535728046#gid=1535728046"",""DATA_ABSEN_JUNI25""),43,0)"),0)</f>
        <v>0</v>
      </c>
      <c r="AA241" s="61">
        <f ca="1">IFERROR(__xludf.DUMMYFUNCTION("VLOOKUP(C241,IMPORTRANGE(""https://docs.google.com/spreadsheets/d/1heLiqWF_2HiP-P9QpK84CTP6DxpoT_aG9fTdG9C1JMk/edit?gid=1535728046#gid=1535728046"",""DATA_ABSEN_JUNI25""),44,0)"),0)</f>
        <v>0</v>
      </c>
      <c r="AB241" s="61">
        <f ca="1">IFERROR(__xludf.DUMMYFUNCTION("VLOOKUP(C241,IMPORTRANGE(""https://docs.google.com/spreadsheets/d/1heLiqWF_2HiP-P9QpK84CTP6DxpoT_aG9fTdG9C1JMk/edit?gid=1535728046#gid=1535728046"",""DATA_ABSEN_JUNI25""),45,0)"),0)</f>
        <v>0</v>
      </c>
      <c r="AC241" s="61">
        <f ca="1">IFERROR(__xludf.DUMMYFUNCTION("VLOOKUP(C241,IMPORTRANGE(""https://docs.google.com/spreadsheets/d/1heLiqWF_2HiP-P9QpK84CTP6DxpoT_aG9fTdG9C1JMk/edit?gid=1535728046#gid=1535728046"",""DATA_ABSEN_JUNI25""),46,0)"),0)</f>
        <v>0</v>
      </c>
      <c r="AD241" s="125">
        <v>0</v>
      </c>
      <c r="AE241" s="69">
        <f t="shared" ca="1" si="241"/>
        <v>0</v>
      </c>
      <c r="AF241" s="20">
        <v>326819</v>
      </c>
      <c r="AG241" s="20">
        <v>176850</v>
      </c>
      <c r="AH241" s="69">
        <v>0</v>
      </c>
      <c r="AI241" s="69" t="e">
        <f t="shared" si="242"/>
        <v>#REF!</v>
      </c>
      <c r="AJ241" s="69">
        <v>0</v>
      </c>
      <c r="AK241" s="69" t="e">
        <f t="shared" si="123"/>
        <v>#REF!</v>
      </c>
      <c r="AL241" s="69">
        <v>0</v>
      </c>
      <c r="AM241" s="69">
        <f t="shared" ca="1" si="243"/>
        <v>503669</v>
      </c>
      <c r="AN241" s="69">
        <f t="shared" ca="1" si="244"/>
        <v>6421781</v>
      </c>
      <c r="AO241" s="69">
        <f t="shared" ca="1" si="245"/>
        <v>33619.203999999998</v>
      </c>
      <c r="AP241" s="69">
        <f t="shared" ca="1" si="246"/>
        <v>6388161.7960000001</v>
      </c>
      <c r="AQ241" s="69">
        <f t="shared" ca="1" si="247"/>
        <v>6388161.7960000001</v>
      </c>
      <c r="AR241" s="70">
        <f t="shared" ca="1" si="248"/>
        <v>6388161.7960000001</v>
      </c>
      <c r="AS241" s="113"/>
      <c r="AT241" s="73" t="s">
        <v>9</v>
      </c>
      <c r="AU241" s="61" t="s">
        <v>15</v>
      </c>
      <c r="AV241" s="69">
        <f t="shared" si="249"/>
        <v>3537000</v>
      </c>
      <c r="AW241" s="69">
        <f t="shared" ca="1" si="250"/>
        <v>2766394</v>
      </c>
      <c r="AX241" s="69">
        <f t="shared" ca="1" si="251"/>
        <v>259867</v>
      </c>
      <c r="AY241" s="69">
        <v>0</v>
      </c>
      <c r="AZ241" s="69">
        <f t="shared" si="252"/>
        <v>8488.7999999999993</v>
      </c>
      <c r="BA241" s="69">
        <f t="shared" si="253"/>
        <v>10611</v>
      </c>
      <c r="BB241" s="69">
        <f t="shared" si="254"/>
        <v>141480</v>
      </c>
      <c r="BC241" s="69">
        <f t="shared" ca="1" si="255"/>
        <v>6723840.7999999998</v>
      </c>
      <c r="BD241" s="74">
        <f ca="1">IF(AU241="C",VLOOKUP(BC241,TER!$J$4:$L$50,3,TRUE),IF(AU241="B",VLOOKUP(BC241,TER!$F$4:$H$50,3,TRUE),IF(AU241="A",VLOOKUP(BC241,TER!$B$4:$D$50,3,TRUE),"ERROR")))</f>
        <v>5.0000000000000001E-3</v>
      </c>
      <c r="BE241" s="69">
        <f t="shared" ca="1" si="256"/>
        <v>33619.203999999998</v>
      </c>
      <c r="BF241" s="113"/>
      <c r="BG241" s="113"/>
    </row>
    <row r="242" spans="1:59" ht="13.5" hidden="1" customHeight="1">
      <c r="A242" s="113"/>
      <c r="B242" s="224">
        <v>87</v>
      </c>
      <c r="C242" s="67" t="s">
        <v>1051</v>
      </c>
      <c r="D242" s="66" t="s">
        <v>1052</v>
      </c>
      <c r="E242" s="67" t="s">
        <v>57</v>
      </c>
      <c r="F242" s="68" t="s">
        <v>1053</v>
      </c>
      <c r="G242" s="67" t="s">
        <v>31</v>
      </c>
      <c r="H242" s="66" t="s">
        <v>32</v>
      </c>
      <c r="I242" s="69">
        <f t="shared" si="233"/>
        <v>3537000</v>
      </c>
      <c r="J242" s="70">
        <v>220709</v>
      </c>
      <c r="K242" s="70">
        <v>141480</v>
      </c>
      <c r="L242" s="70">
        <v>2766394</v>
      </c>
      <c r="M242" s="69">
        <f t="shared" ca="1" si="234"/>
        <v>115266.41666666667</v>
      </c>
      <c r="N242" s="61">
        <f ca="1">IFERROR(__xludf.DUMMYFUNCTION("VLOOKUP(C242,IMPORTRANGE(""https://docs.google.com/spreadsheets/d/1heLiqWF_2HiP-P9QpK84CTP6DxpoT_aG9fTdG9C1JMk/edit?gid=1535728046#gid=1535728046"",""DATA_ABSEN_JUNI25""),39,0)"),24)</f>
        <v>24</v>
      </c>
      <c r="O242" s="61">
        <f ca="1">IFERROR(__xludf.DUMMYFUNCTION("VLOOKUP(C242,IMPORTRANGE(""https://docs.google.com/spreadsheets/d/1heLiqWF_2HiP-P9QpK84CTP6DxpoT_aG9fTdG9C1JMk/edit?gid=1535728046#gid=1535728046"",""DATA_ABSEN_JUNI25""),40,0)"),24)</f>
        <v>24</v>
      </c>
      <c r="P242" s="69">
        <f t="shared" ca="1" si="235"/>
        <v>2766394</v>
      </c>
      <c r="Q242" s="71"/>
      <c r="R242" s="69">
        <f t="shared" si="236"/>
        <v>6665583</v>
      </c>
      <c r="S242" s="69">
        <f t="shared" ca="1" si="237"/>
        <v>6665583</v>
      </c>
      <c r="T242" s="69">
        <f t="shared" ca="1" si="238"/>
        <v>0</v>
      </c>
      <c r="U242" s="20">
        <v>259867</v>
      </c>
      <c r="V242" s="177">
        <f ca="1">IFERROR(__xludf.DUMMYFUNCTION("VLOOKUP(C242,IMPORTRANGE(""https://docs.google.com/spreadsheets/d/1heLiqWF_2HiP-P9QpK84CTP6DxpoT_aG9fTdG9C1JMk/edit?gid=1535728046#gid=1535728046"",""DATA_ABSEN_JUNI25""),41,0)"),2)</f>
        <v>2</v>
      </c>
      <c r="W242" s="69">
        <f t="shared" ca="1" si="239"/>
        <v>519734</v>
      </c>
      <c r="X242" s="69">
        <v>0</v>
      </c>
      <c r="Y242" s="69">
        <f t="shared" ca="1" si="240"/>
        <v>7185317</v>
      </c>
      <c r="Z242" s="61">
        <f ca="1">IFERROR(__xludf.DUMMYFUNCTION("VLOOKUP(C242,IMPORTRANGE(""https://docs.google.com/spreadsheets/d/1heLiqWF_2HiP-P9QpK84CTP6DxpoT_aG9fTdG9C1JMk/edit?gid=1535728046#gid=1535728046"",""DATA_ABSEN_JUNI25""),42,0)+VLOOKUP(C242,IMPORTRANGE(""https://docs.google.com/spreadsheets/d/1heLiqWF_2Hi"&amp;"P-P9QpK84CTP6DxpoT_aG9fTdG9C1JMk/edit?gid=1535728046#gid=1535728046"",""DATA_ABSEN_JUNI25""),43,0)"),0)</f>
        <v>0</v>
      </c>
      <c r="AA242" s="61">
        <f ca="1">IFERROR(__xludf.DUMMYFUNCTION("VLOOKUP(C242,IMPORTRANGE(""https://docs.google.com/spreadsheets/d/1heLiqWF_2HiP-P9QpK84CTP6DxpoT_aG9fTdG9C1JMk/edit?gid=1535728046#gid=1535728046"",""DATA_ABSEN_JUNI25""),44,0)"),0)</f>
        <v>0</v>
      </c>
      <c r="AB242" s="61">
        <f ca="1">IFERROR(__xludf.DUMMYFUNCTION("VLOOKUP(C242,IMPORTRANGE(""https://docs.google.com/spreadsheets/d/1heLiqWF_2HiP-P9QpK84CTP6DxpoT_aG9fTdG9C1JMk/edit?gid=1535728046#gid=1535728046"",""DATA_ABSEN_JUNI25""),45,0)"),0)</f>
        <v>0</v>
      </c>
      <c r="AC242" s="61">
        <f ca="1">IFERROR(__xludf.DUMMYFUNCTION("VLOOKUP(C242,IMPORTRANGE(""https://docs.google.com/spreadsheets/d/1heLiqWF_2HiP-P9QpK84CTP6DxpoT_aG9fTdG9C1JMk/edit?gid=1535728046#gid=1535728046"",""DATA_ABSEN_JUNI25""),46,0)"),0)</f>
        <v>0</v>
      </c>
      <c r="AD242" s="125">
        <v>0</v>
      </c>
      <c r="AE242" s="69">
        <f t="shared" ca="1" si="241"/>
        <v>0</v>
      </c>
      <c r="AF242" s="20">
        <v>326819</v>
      </c>
      <c r="AG242" s="20">
        <v>176850</v>
      </c>
      <c r="AH242" s="69">
        <v>0</v>
      </c>
      <c r="AI242" s="69" t="e">
        <f t="shared" si="242"/>
        <v>#REF!</v>
      </c>
      <c r="AJ242" s="69">
        <v>0</v>
      </c>
      <c r="AK242" s="69" t="e">
        <f t="shared" si="123"/>
        <v>#REF!</v>
      </c>
      <c r="AL242" s="69">
        <v>0</v>
      </c>
      <c r="AM242" s="69">
        <f t="shared" ca="1" si="243"/>
        <v>503669</v>
      </c>
      <c r="AN242" s="69">
        <f t="shared" ca="1" si="244"/>
        <v>6681648</v>
      </c>
      <c r="AO242" s="69">
        <f t="shared" ca="1" si="245"/>
        <v>87296.347500000003</v>
      </c>
      <c r="AP242" s="69">
        <f t="shared" ca="1" si="246"/>
        <v>6594351.6524999999</v>
      </c>
      <c r="AQ242" s="69">
        <f t="shared" ca="1" si="247"/>
        <v>6594351.6524999999</v>
      </c>
      <c r="AR242" s="70">
        <f t="shared" ca="1" si="248"/>
        <v>6594351.6524999999</v>
      </c>
      <c r="AS242" s="113"/>
      <c r="AT242" s="60" t="s">
        <v>9</v>
      </c>
      <c r="AU242" s="61" t="s">
        <v>10</v>
      </c>
      <c r="AV242" s="69">
        <f t="shared" si="249"/>
        <v>3537000</v>
      </c>
      <c r="AW242" s="69">
        <f t="shared" ca="1" si="250"/>
        <v>2766394</v>
      </c>
      <c r="AX242" s="69">
        <f t="shared" ca="1" si="251"/>
        <v>519734</v>
      </c>
      <c r="AY242" s="69">
        <v>0</v>
      </c>
      <c r="AZ242" s="69">
        <f t="shared" si="252"/>
        <v>8488.7999999999993</v>
      </c>
      <c r="BA242" s="69">
        <f t="shared" si="253"/>
        <v>10611</v>
      </c>
      <c r="BB242" s="69">
        <f t="shared" si="254"/>
        <v>141480</v>
      </c>
      <c r="BC242" s="69">
        <f t="shared" ca="1" si="255"/>
        <v>6983707.7999999998</v>
      </c>
      <c r="BD242" s="74">
        <f ca="1">IF(AU242="C",VLOOKUP(BC242,TER!$J$4:$L$50,3,TRUE),IF(AU242="B",VLOOKUP(BC242,TER!$F$4:$H$50,3,TRUE),IF(AU242="A",VLOOKUP(BC242,TER!$B$4:$D$50,3,TRUE),"ERROR")))</f>
        <v>1.2500000000000001E-2</v>
      </c>
      <c r="BE242" s="69">
        <f t="shared" ca="1" si="256"/>
        <v>87296.347500000003</v>
      </c>
      <c r="BF242" s="72"/>
      <c r="BG242" s="72"/>
    </row>
    <row r="243" spans="1:59" ht="15.75" hidden="1" customHeight="1">
      <c r="A243" s="113"/>
      <c r="B243" s="224">
        <v>88</v>
      </c>
      <c r="C243" s="67" t="s">
        <v>1054</v>
      </c>
      <c r="D243" s="66" t="s">
        <v>1055</v>
      </c>
      <c r="E243" s="67" t="s">
        <v>57</v>
      </c>
      <c r="F243" s="68" t="s">
        <v>1056</v>
      </c>
      <c r="G243" s="68" t="s">
        <v>31</v>
      </c>
      <c r="H243" s="92" t="s">
        <v>32</v>
      </c>
      <c r="I243" s="69">
        <f t="shared" si="233"/>
        <v>3537000</v>
      </c>
      <c r="J243" s="70">
        <v>220709</v>
      </c>
      <c r="K243" s="70">
        <v>141480</v>
      </c>
      <c r="L243" s="70">
        <v>2766394</v>
      </c>
      <c r="M243" s="69">
        <f t="shared" ca="1" si="234"/>
        <v>115266.41666666667</v>
      </c>
      <c r="N243" s="61">
        <f ca="1">IFERROR(__xludf.DUMMYFUNCTION("VLOOKUP(C243,IMPORTRANGE(""https://docs.google.com/spreadsheets/d/1heLiqWF_2HiP-P9QpK84CTP6DxpoT_aG9fTdG9C1JMk/edit?gid=1535728046#gid=1535728046"",""DATA_ABSEN_JUNI25""),39,0)"),24)</f>
        <v>24</v>
      </c>
      <c r="O243" s="61">
        <f ca="1">IFERROR(__xludf.DUMMYFUNCTION("VLOOKUP(C243,IMPORTRANGE(""https://docs.google.com/spreadsheets/d/1heLiqWF_2HiP-P9QpK84CTP6DxpoT_aG9fTdG9C1JMk/edit?gid=1535728046#gid=1535728046"",""DATA_ABSEN_JUNI25""),40,0)"),24)</f>
        <v>24</v>
      </c>
      <c r="P243" s="69">
        <f t="shared" ca="1" si="235"/>
        <v>2766394</v>
      </c>
      <c r="Q243" s="71"/>
      <c r="R243" s="69">
        <f t="shared" si="236"/>
        <v>6665583</v>
      </c>
      <c r="S243" s="69">
        <f t="shared" ca="1" si="237"/>
        <v>6665583</v>
      </c>
      <c r="T243" s="69">
        <f t="shared" ca="1" si="238"/>
        <v>0</v>
      </c>
      <c r="U243" s="20">
        <v>259867</v>
      </c>
      <c r="V243" s="258">
        <f ca="1">IFERROR(__xludf.DUMMYFUNCTION("VLOOKUP(C243,IMPORTRANGE(""https://docs.google.com/spreadsheets/d/1heLiqWF_2HiP-P9QpK84CTP6DxpoT_aG9fTdG9C1JMk/edit?gid=1535728046#gid=1535728046"",""DATA_ABSEN_JUNI25""),41,0)"),2)</f>
        <v>2</v>
      </c>
      <c r="W243" s="69">
        <f t="shared" ca="1" si="239"/>
        <v>519734</v>
      </c>
      <c r="X243" s="69">
        <v>0</v>
      </c>
      <c r="Y243" s="69">
        <f t="shared" ca="1" si="240"/>
        <v>7185317</v>
      </c>
      <c r="Z243" s="61">
        <f ca="1">IFERROR(__xludf.DUMMYFUNCTION("VLOOKUP(C243,IMPORTRANGE(""https://docs.google.com/spreadsheets/d/1heLiqWF_2HiP-P9QpK84CTP6DxpoT_aG9fTdG9C1JMk/edit?gid=1535728046#gid=1535728046"",""DATA_ABSEN_JUNI25""),42,0)+VLOOKUP(C243,IMPORTRANGE(""https://docs.google.com/spreadsheets/d/1heLiqWF_2Hi"&amp;"P-P9QpK84CTP6DxpoT_aG9fTdG9C1JMk/edit?gid=1535728046#gid=1535728046"",""DATA_ABSEN_JUNI25""),43,0)"),0)</f>
        <v>0</v>
      </c>
      <c r="AA243" s="61">
        <f ca="1">IFERROR(__xludf.DUMMYFUNCTION("VLOOKUP(C243,IMPORTRANGE(""https://docs.google.com/spreadsheets/d/1heLiqWF_2HiP-P9QpK84CTP6DxpoT_aG9fTdG9C1JMk/edit?gid=1535728046#gid=1535728046"",""DATA_ABSEN_JUNI25""),44,0)"),0)</f>
        <v>0</v>
      </c>
      <c r="AB243" s="61">
        <f ca="1">IFERROR(__xludf.DUMMYFUNCTION("VLOOKUP(C243,IMPORTRANGE(""https://docs.google.com/spreadsheets/d/1heLiqWF_2HiP-P9QpK84CTP6DxpoT_aG9fTdG9C1JMk/edit?gid=1535728046#gid=1535728046"",""DATA_ABSEN_JUNI25""),45,0)"),0)</f>
        <v>0</v>
      </c>
      <c r="AC243" s="61">
        <f ca="1">IFERROR(__xludf.DUMMYFUNCTION("VLOOKUP(C243,IMPORTRANGE(""https://docs.google.com/spreadsheets/d/1heLiqWF_2HiP-P9QpK84CTP6DxpoT_aG9fTdG9C1JMk/edit?gid=1535728046#gid=1535728046"",""DATA_ABSEN_JUNI25""),46,0)"),0)</f>
        <v>0</v>
      </c>
      <c r="AD243" s="125">
        <v>0</v>
      </c>
      <c r="AE243" s="69">
        <f t="shared" ca="1" si="241"/>
        <v>0</v>
      </c>
      <c r="AF243" s="20">
        <v>326819</v>
      </c>
      <c r="AG243" s="20">
        <v>176850</v>
      </c>
      <c r="AH243" s="69">
        <v>0</v>
      </c>
      <c r="AI243" s="69" t="e">
        <f t="shared" si="242"/>
        <v>#REF!</v>
      </c>
      <c r="AJ243" s="69">
        <v>0</v>
      </c>
      <c r="AK243" s="69" t="e">
        <f t="shared" si="123"/>
        <v>#REF!</v>
      </c>
      <c r="AL243" s="69">
        <v>0</v>
      </c>
      <c r="AM243" s="69">
        <f t="shared" ca="1" si="243"/>
        <v>503669</v>
      </c>
      <c r="AN243" s="69">
        <f t="shared" ca="1" si="244"/>
        <v>6681648</v>
      </c>
      <c r="AO243" s="69">
        <f t="shared" ca="1" si="245"/>
        <v>87296.347500000003</v>
      </c>
      <c r="AP243" s="69">
        <f t="shared" ca="1" si="246"/>
        <v>6594351.6524999999</v>
      </c>
      <c r="AQ243" s="69">
        <f t="shared" ca="1" si="247"/>
        <v>6594351.6524999999</v>
      </c>
      <c r="AR243" s="70">
        <f t="shared" ca="1" si="248"/>
        <v>6594351.6524999999</v>
      </c>
      <c r="AS243" s="72"/>
      <c r="AT243" s="73" t="s">
        <v>12</v>
      </c>
      <c r="AU243" s="61" t="s">
        <v>10</v>
      </c>
      <c r="AV243" s="69">
        <f t="shared" si="249"/>
        <v>3537000</v>
      </c>
      <c r="AW243" s="69">
        <f t="shared" ca="1" si="250"/>
        <v>2766394</v>
      </c>
      <c r="AX243" s="69">
        <f t="shared" ca="1" si="251"/>
        <v>519734</v>
      </c>
      <c r="AY243" s="69">
        <v>0</v>
      </c>
      <c r="AZ243" s="69">
        <f t="shared" si="252"/>
        <v>8488.7999999999993</v>
      </c>
      <c r="BA243" s="69">
        <f t="shared" si="253"/>
        <v>10611</v>
      </c>
      <c r="BB243" s="69">
        <f t="shared" si="254"/>
        <v>141480</v>
      </c>
      <c r="BC243" s="69">
        <f t="shared" ca="1" si="255"/>
        <v>6983707.7999999998</v>
      </c>
      <c r="BD243" s="74">
        <f ca="1">IF(AU243="C",VLOOKUP(BC243,TER!$J$4:$L$50,3,TRUE),IF(AU243="B",VLOOKUP(BC243,TER!$F$4:$H$50,3,TRUE),IF(AU243="A",VLOOKUP(BC243,TER!$B$4:$D$50,3,TRUE),"ERROR")))</f>
        <v>1.2500000000000001E-2</v>
      </c>
      <c r="BE243" s="69">
        <f t="shared" ca="1" si="256"/>
        <v>87296.347500000003</v>
      </c>
      <c r="BF243" s="72"/>
      <c r="BG243" s="72"/>
    </row>
    <row r="244" spans="1:59" ht="15.75" hidden="1" customHeight="1">
      <c r="A244" s="113"/>
      <c r="B244" s="224">
        <v>89</v>
      </c>
      <c r="C244" s="259" t="s">
        <v>1133</v>
      </c>
      <c r="D244" s="66" t="s">
        <v>1057</v>
      </c>
      <c r="E244" s="67" t="s">
        <v>57</v>
      </c>
      <c r="F244" s="68" t="s">
        <v>1058</v>
      </c>
      <c r="G244" s="68" t="s">
        <v>31</v>
      </c>
      <c r="H244" s="92" t="s">
        <v>32</v>
      </c>
      <c r="I244" s="69">
        <f t="shared" si="233"/>
        <v>3537000</v>
      </c>
      <c r="J244" s="70">
        <v>220709</v>
      </c>
      <c r="K244" s="70">
        <v>141480</v>
      </c>
      <c r="L244" s="70">
        <v>2766394</v>
      </c>
      <c r="M244" s="69">
        <f t="shared" ca="1" si="234"/>
        <v>115266.41666666667</v>
      </c>
      <c r="N244" s="61">
        <f ca="1">IFERROR(__xludf.DUMMYFUNCTION("VLOOKUP(C244,IMPORTRANGE(""https://docs.google.com/spreadsheets/d/1heLiqWF_2HiP-P9QpK84CTP6DxpoT_aG9fTdG9C1JMk/edit?gid=1535728046#gid=1535728046"",""DATA_ABSEN_JUNI25""),39,0)"),24)</f>
        <v>24</v>
      </c>
      <c r="O244" s="61">
        <f ca="1">IFERROR(__xludf.DUMMYFUNCTION("VLOOKUP(C244,IMPORTRANGE(""https://docs.google.com/spreadsheets/d/1heLiqWF_2HiP-P9QpK84CTP6DxpoT_aG9fTdG9C1JMk/edit?gid=1535728046#gid=1535728046"",""DATA_ABSEN_JUNI25""),40,0)"),24)</f>
        <v>24</v>
      </c>
      <c r="P244" s="69">
        <f t="shared" ca="1" si="235"/>
        <v>2766394</v>
      </c>
      <c r="Q244" s="71"/>
      <c r="R244" s="69">
        <f t="shared" si="236"/>
        <v>6665583</v>
      </c>
      <c r="S244" s="69">
        <f t="shared" ca="1" si="237"/>
        <v>6665583</v>
      </c>
      <c r="T244" s="69">
        <f t="shared" ca="1" si="238"/>
        <v>0</v>
      </c>
      <c r="U244" s="20">
        <v>259867</v>
      </c>
      <c r="V244" s="258">
        <f ca="1">IFERROR(__xludf.DUMMYFUNCTION("VLOOKUP(C244,IMPORTRANGE(""https://docs.google.com/spreadsheets/d/1heLiqWF_2HiP-P9QpK84CTP6DxpoT_aG9fTdG9C1JMk/edit?gid=1535728046#gid=1535728046"",""DATA_ABSEN_JUNI25""),41,0)"),3)</f>
        <v>3</v>
      </c>
      <c r="W244" s="69">
        <f t="shared" ca="1" si="239"/>
        <v>779601</v>
      </c>
      <c r="X244" s="69">
        <v>0</v>
      </c>
      <c r="Y244" s="69">
        <f t="shared" ca="1" si="240"/>
        <v>7445184</v>
      </c>
      <c r="Z244" s="61">
        <f ca="1">IFERROR(__xludf.DUMMYFUNCTION("VLOOKUP(C244,IMPORTRANGE(""https://docs.google.com/spreadsheets/d/1heLiqWF_2HiP-P9QpK84CTP6DxpoT_aG9fTdG9C1JMk/edit?gid=1535728046#gid=1535728046"",""DATA_ABSEN_JUNI25""),42,0)+VLOOKUP(C244,IMPORTRANGE(""https://docs.google.com/spreadsheets/d/1heLiqWF_2Hi"&amp;"P-P9QpK84CTP6DxpoT_aG9fTdG9C1JMk/edit?gid=1535728046#gid=1535728046"",""DATA_ABSEN_JUNI25""),43,0)"),0)</f>
        <v>0</v>
      </c>
      <c r="AA244" s="61">
        <f ca="1">IFERROR(__xludf.DUMMYFUNCTION("VLOOKUP(C244,IMPORTRANGE(""https://docs.google.com/spreadsheets/d/1heLiqWF_2HiP-P9QpK84CTP6DxpoT_aG9fTdG9C1JMk/edit?gid=1535728046#gid=1535728046"",""DATA_ABSEN_JUNI25""),44,0)"),0)</f>
        <v>0</v>
      </c>
      <c r="AB244" s="61">
        <f ca="1">IFERROR(__xludf.DUMMYFUNCTION("VLOOKUP(C244,IMPORTRANGE(""https://docs.google.com/spreadsheets/d/1heLiqWF_2HiP-P9QpK84CTP6DxpoT_aG9fTdG9C1JMk/edit?gid=1535728046#gid=1535728046"",""DATA_ABSEN_JUNI25""),45,0)"),0)</f>
        <v>0</v>
      </c>
      <c r="AC244" s="61">
        <f ca="1">IFERROR(__xludf.DUMMYFUNCTION("VLOOKUP(C244,IMPORTRANGE(""https://docs.google.com/spreadsheets/d/1heLiqWF_2HiP-P9QpK84CTP6DxpoT_aG9fTdG9C1JMk/edit?gid=1535728046#gid=1535728046"",""DATA_ABSEN_JUNI25""),46,0)"),0)</f>
        <v>0</v>
      </c>
      <c r="AD244" s="125">
        <v>0</v>
      </c>
      <c r="AE244" s="69">
        <f t="shared" ca="1" si="241"/>
        <v>0</v>
      </c>
      <c r="AF244" s="20">
        <v>326819</v>
      </c>
      <c r="AG244" s="20">
        <v>176850</v>
      </c>
      <c r="AH244" s="69">
        <v>0</v>
      </c>
      <c r="AI244" s="69" t="e">
        <f t="shared" si="242"/>
        <v>#REF!</v>
      </c>
      <c r="AJ244" s="69">
        <v>0</v>
      </c>
      <c r="AK244" s="69" t="e">
        <f t="shared" si="123"/>
        <v>#REF!</v>
      </c>
      <c r="AL244" s="69">
        <v>0</v>
      </c>
      <c r="AM244" s="69">
        <f t="shared" ca="1" si="243"/>
        <v>503669</v>
      </c>
      <c r="AN244" s="69">
        <f t="shared" ca="1" si="244"/>
        <v>6941515</v>
      </c>
      <c r="AO244" s="69">
        <f t="shared" ca="1" si="245"/>
        <v>90544.684999999998</v>
      </c>
      <c r="AP244" s="69">
        <f t="shared" ca="1" si="246"/>
        <v>6850970.3150000004</v>
      </c>
      <c r="AQ244" s="69">
        <f t="shared" ca="1" si="247"/>
        <v>6850970.3150000004</v>
      </c>
      <c r="AR244" s="70">
        <f t="shared" ca="1" si="248"/>
        <v>6850970.3150000004</v>
      </c>
      <c r="AS244" s="72"/>
      <c r="AT244" s="73" t="s">
        <v>14</v>
      </c>
      <c r="AU244" s="61" t="s">
        <v>10</v>
      </c>
      <c r="AV244" s="69">
        <f t="shared" si="249"/>
        <v>3537000</v>
      </c>
      <c r="AW244" s="69">
        <f t="shared" ca="1" si="250"/>
        <v>2766394</v>
      </c>
      <c r="AX244" s="69">
        <f t="shared" ca="1" si="251"/>
        <v>779601</v>
      </c>
      <c r="AY244" s="69">
        <v>0</v>
      </c>
      <c r="AZ244" s="69">
        <f t="shared" si="252"/>
        <v>8488.7999999999993</v>
      </c>
      <c r="BA244" s="69">
        <f t="shared" si="253"/>
        <v>10611</v>
      </c>
      <c r="BB244" s="69">
        <f t="shared" si="254"/>
        <v>141480</v>
      </c>
      <c r="BC244" s="69">
        <f t="shared" ca="1" si="255"/>
        <v>7243574.7999999998</v>
      </c>
      <c r="BD244" s="74">
        <f ca="1">IF(AU244="C",VLOOKUP(BC244,TER!$J$4:$L$50,3,TRUE),IF(AU244="B",VLOOKUP(BC244,TER!$F$4:$H$50,3,TRUE),IF(AU244="A",VLOOKUP(BC244,TER!$B$4:$D$50,3,TRUE),"ERROR")))</f>
        <v>1.2500000000000001E-2</v>
      </c>
      <c r="BE244" s="69">
        <f t="shared" ca="1" si="256"/>
        <v>90544.684999999998</v>
      </c>
      <c r="BF244" s="72"/>
      <c r="BG244" s="72"/>
    </row>
    <row r="245" spans="1:59" ht="13.5" hidden="1" customHeight="1">
      <c r="A245" s="113"/>
      <c r="B245" s="224">
        <v>90</v>
      </c>
      <c r="C245" s="101" t="s">
        <v>1269</v>
      </c>
      <c r="D245" s="92" t="s">
        <v>1270</v>
      </c>
      <c r="E245" s="277" t="s">
        <v>57</v>
      </c>
      <c r="F245" s="286" t="s">
        <v>1271</v>
      </c>
      <c r="G245" s="101" t="s">
        <v>31</v>
      </c>
      <c r="H245" s="92" t="s">
        <v>32</v>
      </c>
      <c r="I245" s="69">
        <f t="shared" si="233"/>
        <v>3537000</v>
      </c>
      <c r="J245" s="70">
        <v>220709</v>
      </c>
      <c r="K245" s="70">
        <v>141480</v>
      </c>
      <c r="L245" s="70">
        <v>2766394</v>
      </c>
      <c r="M245" s="69">
        <f t="shared" ca="1" si="234"/>
        <v>115266.41666666667</v>
      </c>
      <c r="N245" s="61">
        <f ca="1">IFERROR(__xludf.DUMMYFUNCTION("VLOOKUP(C245,IMPORTRANGE(""https://docs.google.com/spreadsheets/d/1heLiqWF_2HiP-P9QpK84CTP6DxpoT_aG9fTdG9C1JMk/edit?gid=1535728046#gid=1535728046"",""DATA_ABSEN_JUNI25""),39,0)"),20)</f>
        <v>20</v>
      </c>
      <c r="O245" s="61">
        <f ca="1">IFERROR(__xludf.DUMMYFUNCTION("VLOOKUP(C245,IMPORTRANGE(""https://docs.google.com/spreadsheets/d/1heLiqWF_2HiP-P9QpK84CTP6DxpoT_aG9fTdG9C1JMk/edit?gid=1535728046#gid=1535728046"",""DATA_ABSEN_JUNI25""),40,0)"),24)</f>
        <v>24</v>
      </c>
      <c r="P245" s="69">
        <f t="shared" ca="1" si="235"/>
        <v>2305328.3333333335</v>
      </c>
      <c r="Q245" s="66"/>
      <c r="R245" s="69">
        <f t="shared" si="236"/>
        <v>6665583</v>
      </c>
      <c r="S245" s="69">
        <f t="shared" ca="1" si="237"/>
        <v>6204517.333333334</v>
      </c>
      <c r="T245" s="69">
        <f t="shared" ca="1" si="238"/>
        <v>0</v>
      </c>
      <c r="U245" s="20">
        <v>259867</v>
      </c>
      <c r="V245" s="258">
        <f ca="1">IFERROR(__xludf.DUMMYFUNCTION("VLOOKUP(C245,IMPORTRANGE(""https://docs.google.com/spreadsheets/d/1heLiqWF_2HiP-P9QpK84CTP6DxpoT_aG9fTdG9C1JMk/edit?gid=1535728046#gid=1535728046"",""DATA_ABSEN_JUNI25""),41,0)"),1)</f>
        <v>1</v>
      </c>
      <c r="W245" s="69">
        <f t="shared" ca="1" si="239"/>
        <v>259867</v>
      </c>
      <c r="X245" s="69">
        <v>0</v>
      </c>
      <c r="Y245" s="69">
        <f t="shared" ca="1" si="240"/>
        <v>6464384.333333334</v>
      </c>
      <c r="Z245" s="61">
        <f ca="1">IFERROR(__xludf.DUMMYFUNCTION("VLOOKUP(C245,IMPORTRANGE(""https://docs.google.com/spreadsheets/d/1heLiqWF_2HiP-P9QpK84CTP6DxpoT_aG9fTdG9C1JMk/edit?gid=1535728046#gid=1535728046"",""DATA_ABSEN_JUNI25""),42,0)+VLOOKUP(C245,IMPORTRANGE(""https://docs.google.com/spreadsheets/d/1heLiqWF_2Hi"&amp;"P-P9QpK84CTP6DxpoT_aG9fTdG9C1JMk/edit?gid=1535728046#gid=1535728046"",""DATA_ABSEN_JUNI25""),43,0)"),0)</f>
        <v>0</v>
      </c>
      <c r="AA245" s="61">
        <f ca="1">IFERROR(__xludf.DUMMYFUNCTION("VLOOKUP(C245,IMPORTRANGE(""https://docs.google.com/spreadsheets/d/1heLiqWF_2HiP-P9QpK84CTP6DxpoT_aG9fTdG9C1JMk/edit?gid=1535728046#gid=1535728046"",""DATA_ABSEN_JUNI25""),44,0)"),0)</f>
        <v>0</v>
      </c>
      <c r="AB245" s="61">
        <f ca="1">IFERROR(__xludf.DUMMYFUNCTION("VLOOKUP(C245,IMPORTRANGE(""https://docs.google.com/spreadsheets/d/1heLiqWF_2HiP-P9QpK84CTP6DxpoT_aG9fTdG9C1JMk/edit?gid=1535728046#gid=1535728046"",""DATA_ABSEN_JUNI25""),45,0)"),0)</f>
        <v>0</v>
      </c>
      <c r="AC245" s="61">
        <f ca="1">IFERROR(__xludf.DUMMYFUNCTION("VLOOKUP(C245,IMPORTRANGE(""https://docs.google.com/spreadsheets/d/1heLiqWF_2HiP-P9QpK84CTP6DxpoT_aG9fTdG9C1JMk/edit?gid=1535728046#gid=1535728046"",""DATA_ABSEN_JUNI25""),46,0)"),0)</f>
        <v>0</v>
      </c>
      <c r="AD245" s="125">
        <v>0</v>
      </c>
      <c r="AE245" s="69">
        <f t="shared" ca="1" si="241"/>
        <v>0</v>
      </c>
      <c r="AF245" s="20">
        <v>326819</v>
      </c>
      <c r="AG245" s="20">
        <v>176850</v>
      </c>
      <c r="AH245" s="69">
        <v>0</v>
      </c>
      <c r="AI245" s="69" t="e">
        <f t="shared" si="242"/>
        <v>#REF!</v>
      </c>
      <c r="AJ245" s="69">
        <v>0</v>
      </c>
      <c r="AK245" s="69" t="e">
        <f t="shared" si="123"/>
        <v>#REF!</v>
      </c>
      <c r="AL245" s="69">
        <v>0</v>
      </c>
      <c r="AM245" s="69">
        <f t="shared" ca="1" si="243"/>
        <v>503669</v>
      </c>
      <c r="AN245" s="69">
        <f t="shared" ca="1" si="244"/>
        <v>5960715.333333334</v>
      </c>
      <c r="AO245" s="69">
        <f t="shared" ca="1" si="245"/>
        <v>15656.937833333335</v>
      </c>
      <c r="AP245" s="69">
        <f t="shared" ca="1" si="246"/>
        <v>5945058.3955000006</v>
      </c>
      <c r="AQ245" s="69">
        <f t="shared" ca="1" si="247"/>
        <v>5945058.3955000006</v>
      </c>
      <c r="AR245" s="70">
        <f t="shared" ca="1" si="248"/>
        <v>5945058.3955000006</v>
      </c>
      <c r="AS245" s="113"/>
      <c r="AT245" s="73" t="s">
        <v>13</v>
      </c>
      <c r="AU245" s="61" t="s">
        <v>15</v>
      </c>
      <c r="AV245" s="69">
        <f t="shared" si="249"/>
        <v>3537000</v>
      </c>
      <c r="AW245" s="69">
        <f t="shared" ca="1" si="250"/>
        <v>2305328.3333333335</v>
      </c>
      <c r="AX245" s="69">
        <f t="shared" ca="1" si="251"/>
        <v>259867</v>
      </c>
      <c r="AY245" s="69">
        <v>0</v>
      </c>
      <c r="AZ245" s="69">
        <f t="shared" si="252"/>
        <v>8488.7999999999993</v>
      </c>
      <c r="BA245" s="69">
        <f t="shared" si="253"/>
        <v>10611</v>
      </c>
      <c r="BB245" s="69">
        <f t="shared" si="254"/>
        <v>141480</v>
      </c>
      <c r="BC245" s="69">
        <f t="shared" ca="1" si="255"/>
        <v>6262775.1333333338</v>
      </c>
      <c r="BD245" s="74">
        <f ca="1">IF(AU245="C",VLOOKUP(BC245,TER!$J$4:$L$50,3,TRUE),IF(AU245="B",VLOOKUP(BC245,TER!$F$4:$H$50,3,TRUE),IF(AU245="A",VLOOKUP(BC245,TER!$B$4:$D$50,3,TRUE),"ERROR")))</f>
        <v>2.5000000000000001E-3</v>
      </c>
      <c r="BE245" s="69">
        <f t="shared" ca="1" si="256"/>
        <v>15656.937833333335</v>
      </c>
      <c r="BF245" s="113"/>
      <c r="BG245" s="113"/>
    </row>
    <row r="246" spans="1:59" ht="13.5" hidden="1" customHeight="1">
      <c r="A246" s="260"/>
      <c r="B246" s="224">
        <v>91</v>
      </c>
      <c r="C246" s="324" t="s">
        <v>1272</v>
      </c>
      <c r="D246" s="268" t="s">
        <v>1273</v>
      </c>
      <c r="E246" s="277" t="s">
        <v>57</v>
      </c>
      <c r="F246" s="288" t="s">
        <v>1274</v>
      </c>
      <c r="G246" s="325" t="s">
        <v>31</v>
      </c>
      <c r="H246" s="268" t="s">
        <v>32</v>
      </c>
      <c r="I246" s="69">
        <f t="shared" si="233"/>
        <v>3537000</v>
      </c>
      <c r="J246" s="70">
        <v>220709</v>
      </c>
      <c r="K246" s="70">
        <v>141480</v>
      </c>
      <c r="L246" s="70">
        <v>2766394</v>
      </c>
      <c r="M246" s="69">
        <f t="shared" ca="1" si="234"/>
        <v>115266.41666666667</v>
      </c>
      <c r="N246" s="61">
        <f ca="1">IFERROR(__xludf.DUMMYFUNCTION("VLOOKUP(C246,IMPORTRANGE(""https://docs.google.com/spreadsheets/d/1heLiqWF_2HiP-P9QpK84CTP6DxpoT_aG9fTdG9C1JMk/edit?gid=1535728046#gid=1535728046"",""DATA_ABSEN_JUNI25""),39,0)"),18)</f>
        <v>18</v>
      </c>
      <c r="O246" s="61">
        <f ca="1">IFERROR(__xludf.DUMMYFUNCTION("VLOOKUP(C246,IMPORTRANGE(""https://docs.google.com/spreadsheets/d/1heLiqWF_2HiP-P9QpK84CTP6DxpoT_aG9fTdG9C1JMk/edit?gid=1535728046#gid=1535728046"",""DATA_ABSEN_JUNI25""),40,0)"),24)</f>
        <v>24</v>
      </c>
      <c r="P246" s="69">
        <f t="shared" ca="1" si="235"/>
        <v>2074795.5</v>
      </c>
      <c r="Q246" s="266"/>
      <c r="R246" s="69">
        <f t="shared" si="236"/>
        <v>6665583</v>
      </c>
      <c r="S246" s="69">
        <f t="shared" ca="1" si="237"/>
        <v>5973984.5</v>
      </c>
      <c r="T246" s="69">
        <f t="shared" ca="1" si="238"/>
        <v>0</v>
      </c>
      <c r="U246" s="20">
        <v>259867</v>
      </c>
      <c r="V246" s="258">
        <f ca="1">IFERROR(__xludf.DUMMYFUNCTION("VLOOKUP(C246,IMPORTRANGE(""https://docs.google.com/spreadsheets/d/1heLiqWF_2HiP-P9QpK84CTP6DxpoT_aG9fTdG9C1JMk/edit?gid=1535728046#gid=1535728046"",""DATA_ABSEN_JUNI25""),41,0)"),3)</f>
        <v>3</v>
      </c>
      <c r="W246" s="182"/>
      <c r="X246" s="182"/>
      <c r="Y246" s="182"/>
      <c r="Z246" s="61">
        <f ca="1">IFERROR(__xludf.DUMMYFUNCTION("VLOOKUP(C246,IMPORTRANGE(""https://docs.google.com/spreadsheets/d/1heLiqWF_2HiP-P9QpK84CTP6DxpoT_aG9fTdG9C1JMk/edit?gid=1535728046#gid=1535728046"",""DATA_ABSEN_JUNI25""),42,0)+VLOOKUP(C246,IMPORTRANGE(""https://docs.google.com/spreadsheets/d/1heLiqWF_2Hi"&amp;"P-P9QpK84CTP6DxpoT_aG9fTdG9C1JMk/edit?gid=1535728046#gid=1535728046"",""DATA_ABSEN_JUNI25""),43,0)"),0)</f>
        <v>0</v>
      </c>
      <c r="AA246" s="61">
        <f ca="1">IFERROR(__xludf.DUMMYFUNCTION("VLOOKUP(C246,IMPORTRANGE(""https://docs.google.com/spreadsheets/d/1heLiqWF_2HiP-P9QpK84CTP6DxpoT_aG9fTdG9C1JMk/edit?gid=1535728046#gid=1535728046"",""DATA_ABSEN_JUNI25""),44,0)"),0)</f>
        <v>0</v>
      </c>
      <c r="AB246" s="61">
        <f ca="1">IFERROR(__xludf.DUMMYFUNCTION("VLOOKUP(C246,IMPORTRANGE(""https://docs.google.com/spreadsheets/d/1heLiqWF_2HiP-P9QpK84CTP6DxpoT_aG9fTdG9C1JMk/edit?gid=1535728046#gid=1535728046"",""DATA_ABSEN_JUNI25""),45,0)"),0)</f>
        <v>0</v>
      </c>
      <c r="AC246" s="61">
        <f ca="1">IFERROR(__xludf.DUMMYFUNCTION("VLOOKUP(C246,IMPORTRANGE(""https://docs.google.com/spreadsheets/d/1heLiqWF_2HiP-P9QpK84CTP6DxpoT_aG9fTdG9C1JMk/edit?gid=1535728046#gid=1535728046"",""DATA_ABSEN_JUNI25""),46,0)"),0)</f>
        <v>0</v>
      </c>
      <c r="AD246" s="125">
        <v>0</v>
      </c>
      <c r="AE246" s="69">
        <f t="shared" ca="1" si="241"/>
        <v>0</v>
      </c>
      <c r="AF246" s="20">
        <v>326819</v>
      </c>
      <c r="AG246" s="20">
        <v>176850</v>
      </c>
      <c r="AH246" s="69">
        <v>0</v>
      </c>
      <c r="AI246" s="69" t="e">
        <f t="shared" si="242"/>
        <v>#REF!</v>
      </c>
      <c r="AJ246" s="69">
        <v>0</v>
      </c>
      <c r="AK246" s="69" t="e">
        <f t="shared" si="123"/>
        <v>#REF!</v>
      </c>
      <c r="AL246" s="69">
        <v>0</v>
      </c>
      <c r="AM246" s="69">
        <f t="shared" ca="1" si="243"/>
        <v>503669</v>
      </c>
      <c r="AN246" s="69">
        <f t="shared" ca="1" si="244"/>
        <v>-503669</v>
      </c>
      <c r="AO246" s="69">
        <f t="shared" ca="1" si="245"/>
        <v>0</v>
      </c>
      <c r="AP246" s="69">
        <f t="shared" ca="1" si="246"/>
        <v>-503669</v>
      </c>
      <c r="AQ246" s="69">
        <f t="shared" ca="1" si="247"/>
        <v>-503669</v>
      </c>
      <c r="AR246" s="70">
        <f t="shared" ca="1" si="248"/>
        <v>-503669</v>
      </c>
      <c r="AS246" s="113"/>
      <c r="AT246" s="73" t="s">
        <v>18</v>
      </c>
      <c r="AU246" s="61" t="s">
        <v>15</v>
      </c>
      <c r="AV246" s="69">
        <f t="shared" si="249"/>
        <v>3537000</v>
      </c>
      <c r="AW246" s="69">
        <f t="shared" ca="1" si="250"/>
        <v>2074795.5</v>
      </c>
      <c r="AX246" s="69">
        <f t="shared" si="251"/>
        <v>0</v>
      </c>
      <c r="AY246" s="69">
        <v>0</v>
      </c>
      <c r="AZ246" s="69">
        <f t="shared" si="252"/>
        <v>8488.7999999999993</v>
      </c>
      <c r="BA246" s="69">
        <f t="shared" si="253"/>
        <v>10611</v>
      </c>
      <c r="BB246" s="69">
        <f t="shared" si="254"/>
        <v>141480</v>
      </c>
      <c r="BC246" s="69">
        <f t="shared" ca="1" si="255"/>
        <v>5772375.2999999998</v>
      </c>
      <c r="BD246" s="74">
        <f ca="1">IF(AU246="C",VLOOKUP(BC246,TER!$J$4:$L$50,3,TRUE),IF(AU246="B",VLOOKUP(BC246,TER!$F$4:$H$50,3,TRUE),IF(AU246="A",VLOOKUP(BC246,TER!$B$4:$D$50,3,TRUE),"ERROR")))</f>
        <v>0</v>
      </c>
      <c r="BE246" s="69">
        <f t="shared" ca="1" si="256"/>
        <v>0</v>
      </c>
      <c r="BF246" s="260"/>
      <c r="BG246" s="260"/>
    </row>
    <row r="247" spans="1:59" ht="13.5" hidden="1" customHeight="1">
      <c r="A247" s="251"/>
      <c r="B247" s="224">
        <v>92</v>
      </c>
      <c r="C247" s="290" t="s">
        <v>1275</v>
      </c>
      <c r="D247" s="287" t="s">
        <v>1276</v>
      </c>
      <c r="E247" s="289" t="s">
        <v>1277</v>
      </c>
      <c r="F247" s="288" t="s">
        <v>1278</v>
      </c>
      <c r="G247" s="289" t="s">
        <v>31</v>
      </c>
      <c r="H247" s="287" t="s">
        <v>32</v>
      </c>
      <c r="I247" s="279">
        <f t="shared" ref="I247:I248" si="257">IF(H247="FULL - EXISTING",3580160,3580160/O247*N247)</f>
        <v>3580160</v>
      </c>
      <c r="J247" s="279">
        <v>220709</v>
      </c>
      <c r="K247" s="279">
        <v>141480</v>
      </c>
      <c r="L247" s="279">
        <v>2766394</v>
      </c>
      <c r="M247" s="279">
        <f t="shared" ca="1" si="234"/>
        <v>110655.76</v>
      </c>
      <c r="N247" s="280">
        <f ca="1">IFERROR(__xludf.DUMMYFUNCTION("VLOOKUP(C247,IMPORTRANGE(""https://docs.google.com/spreadsheets/d/1rlIahxEPRJNi2AZ1Wg_ST6ULVsuP72ohSpCzHj_8yUg/edit?gid=18363260#gid=18363260"",""SCHEDULE_KAI_JULI25""),39,0)"),25)</f>
        <v>25</v>
      </c>
      <c r="O247" s="280">
        <f ca="1">IFERROR(__xludf.DUMMYFUNCTION("VLOOKUP(C247,IMPORTRANGE(""https://docs.google.com/spreadsheets/d/1rlIahxEPRJNi2AZ1Wg_ST6ULVsuP72ohSpCzHj_8yUg/edit?gid=18363260#gid=18363260"",""SCHEDULE_KAI_JULI25""),40,0)"),25)</f>
        <v>25</v>
      </c>
      <c r="P247" s="279">
        <f t="shared" ca="1" si="235"/>
        <v>2766394</v>
      </c>
      <c r="Q247" s="287"/>
      <c r="R247" s="279">
        <f t="shared" si="236"/>
        <v>6708743</v>
      </c>
      <c r="S247" s="279">
        <f t="shared" ca="1" si="237"/>
        <v>6708743</v>
      </c>
      <c r="T247" s="279">
        <f t="shared" ca="1" si="238"/>
        <v>0</v>
      </c>
      <c r="U247" s="281">
        <v>259867</v>
      </c>
      <c r="V247" s="282">
        <f ca="1">IFERROR(__xludf.DUMMYFUNCTION("VLOOKUP(C247,IMPORTRANGE(""https://docs.google.com/spreadsheets/d/1rlIahxEPRJNi2AZ1Wg_ST6ULVsuP72ohSpCzHj_8yUg/edit?gid=18363260#gid=18363260"",""SCHEDULE_KAI_JULI25""),41,0)"),3)</f>
        <v>3</v>
      </c>
      <c r="W247" s="279">
        <f t="shared" ref="W247:W248" ca="1" si="258">U247*V247</f>
        <v>779601</v>
      </c>
      <c r="X247" s="279">
        <v>0</v>
      </c>
      <c r="Y247" s="279">
        <f t="shared" ref="Y247:Y248" ca="1" si="259">I247+J247+K247+P247+W247+X247</f>
        <v>7488344</v>
      </c>
      <c r="Z247" s="280">
        <f ca="1">IFERROR(__xludf.DUMMYFUNCTION("VLOOKUP(C247,IMPORTRANGE(""https://docs.google.com/spreadsheets/d/1rlIahxEPRJNi2AZ1Wg_ST6ULVsuP72ohSpCzHj_8yUg/edit?gid=18363260#gid=18363260"",""SCHEDULE_KAI_JULI25""),42,0)+VLOOKUP(C247,IMPORTRANGE(""https://docs.google.com/spreadsheets/d/1rlIahxEPRJNi2"&amp;"AZ1Wg_ST6ULVsuP72ohSpCzHj_8yUg/edit?gid=18363260#gid=18363260"",""SCHEDULE_KAI_JULI25""),43,0)"),0)</f>
        <v>0</v>
      </c>
      <c r="AA247" s="280">
        <f ca="1">IFERROR(__xludf.DUMMYFUNCTION("VLOOKUP(C247,IMPORTRANGE(""https://docs.google.com/spreadsheets/d/1rlIahxEPRJNi2AZ1Wg_ST6ULVsuP72ohSpCzHj_8yUg/edit?gid=18363260#gid=18363260"",""SCHEDULE_KAI_JULI25""),44,0)"),0)</f>
        <v>0</v>
      </c>
      <c r="AB247" s="280">
        <f ca="1">IFERROR(__xludf.DUMMYFUNCTION("VLOOKUP(C247,IMPORTRANGE(""https://docs.google.com/spreadsheets/d/1rlIahxEPRJNi2AZ1Wg_ST6ULVsuP72ohSpCzHj_8yUg/edit?gid=18363260#gid=18363260"",""SCHEDULE_KAI_JULI25""),45,0)"),0)</f>
        <v>0</v>
      </c>
      <c r="AC247" s="280">
        <f ca="1">IFERROR(__xludf.DUMMYFUNCTION("VLOOKUP(C247,IMPORTRANGE(""https://docs.google.com/spreadsheets/d/1rlIahxEPRJNi2AZ1Wg_ST6ULVsuP72ohSpCzHj_8yUg/edit?gid=18363260#gid=18363260"",""SCHEDULE_KAI_JULI25""),46,0)"),0)</f>
        <v>0</v>
      </c>
      <c r="AD247" s="280">
        <v>0</v>
      </c>
      <c r="AE247" s="279">
        <f t="shared" ca="1" si="241"/>
        <v>0</v>
      </c>
      <c r="AF247" s="281">
        <v>326819</v>
      </c>
      <c r="AG247" s="281">
        <v>176850</v>
      </c>
      <c r="AH247" s="279">
        <v>0</v>
      </c>
      <c r="AI247" s="279" t="e">
        <f>VLOOKUP(C247,PINJAMAN_KAI_JUNI_25,35,0)</f>
        <v>#REF!</v>
      </c>
      <c r="AJ247" s="279">
        <v>0</v>
      </c>
      <c r="AK247" s="279" t="e">
        <f t="shared" si="123"/>
        <v>#REF!</v>
      </c>
      <c r="AL247" s="279">
        <v>0</v>
      </c>
      <c r="AM247" s="279">
        <f t="shared" ca="1" si="243"/>
        <v>503669</v>
      </c>
      <c r="AN247" s="279">
        <f t="shared" ca="1" si="244"/>
        <v>6984675</v>
      </c>
      <c r="AO247" s="279">
        <f t="shared" ca="1" si="245"/>
        <v>54665.206980000003</v>
      </c>
      <c r="AP247" s="279">
        <f t="shared" ca="1" si="246"/>
        <v>6930009.7930199997</v>
      </c>
      <c r="AQ247" s="279">
        <f t="shared" ca="1" si="247"/>
        <v>6930009.7930199997</v>
      </c>
      <c r="AR247" s="279">
        <f t="shared" ca="1" si="248"/>
        <v>6930009.7930199997</v>
      </c>
      <c r="AS247" s="53"/>
      <c r="AT247" s="283" t="s">
        <v>18</v>
      </c>
      <c r="AU247" s="280" t="s">
        <v>15</v>
      </c>
      <c r="AV247" s="279">
        <f t="shared" si="249"/>
        <v>3580160</v>
      </c>
      <c r="AW247" s="279">
        <f t="shared" ca="1" si="250"/>
        <v>2766394</v>
      </c>
      <c r="AX247" s="279">
        <f t="shared" ca="1" si="251"/>
        <v>779601</v>
      </c>
      <c r="AY247" s="279">
        <v>0</v>
      </c>
      <c r="AZ247" s="279">
        <f t="shared" si="252"/>
        <v>8592.384</v>
      </c>
      <c r="BA247" s="279">
        <f t="shared" si="253"/>
        <v>10740.48</v>
      </c>
      <c r="BB247" s="279">
        <f t="shared" si="254"/>
        <v>143206.39999999999</v>
      </c>
      <c r="BC247" s="279">
        <f t="shared" ca="1" si="255"/>
        <v>7288694.2640000004</v>
      </c>
      <c r="BD247" s="284">
        <f ca="1">IF(AU247="C",VLOOKUP(BC247,TER!$J$4:$L$50,3,TRUE),IF(AU247="B",VLOOKUP(BC247,TER!$F$4:$H$50,3,TRUE),IF(AU247="A",VLOOKUP(BC247,TER!$B$4:$D$50,3,TRUE),"ERROR")))</f>
        <v>7.4999999999999997E-3</v>
      </c>
      <c r="BE247" s="279">
        <f t="shared" ca="1" si="256"/>
        <v>54665.206980000003</v>
      </c>
      <c r="BF247" s="251"/>
      <c r="BG247" s="251"/>
    </row>
    <row r="248" spans="1:59" hidden="1">
      <c r="A248" s="251"/>
      <c r="B248" s="224">
        <v>93</v>
      </c>
      <c r="C248" s="290" t="s">
        <v>1279</v>
      </c>
      <c r="D248" s="287" t="s">
        <v>1280</v>
      </c>
      <c r="E248" s="277" t="s">
        <v>57</v>
      </c>
      <c r="F248" s="288" t="s">
        <v>1281</v>
      </c>
      <c r="G248" s="289" t="s">
        <v>31</v>
      </c>
      <c r="H248" s="287" t="s">
        <v>32</v>
      </c>
      <c r="I248" s="279">
        <f t="shared" si="257"/>
        <v>3580160</v>
      </c>
      <c r="J248" s="279">
        <v>220709</v>
      </c>
      <c r="K248" s="279">
        <v>141480</v>
      </c>
      <c r="L248" s="279">
        <v>2766394</v>
      </c>
      <c r="M248" s="279">
        <f t="shared" ca="1" si="234"/>
        <v>110655.76</v>
      </c>
      <c r="N248" s="280">
        <f ca="1">IFERROR(__xludf.DUMMYFUNCTION("VLOOKUP(C248,IMPORTRANGE(""https://docs.google.com/spreadsheets/d/1rlIahxEPRJNi2AZ1Wg_ST6ULVsuP72ohSpCzHj_8yUg/edit?gid=18363260#gid=18363260"",""SCHEDULE_KAI_JULI25""),39,0)"),25)</f>
        <v>25</v>
      </c>
      <c r="O248" s="280">
        <f ca="1">IFERROR(__xludf.DUMMYFUNCTION("VLOOKUP(C248,IMPORTRANGE(""https://docs.google.com/spreadsheets/d/1rlIahxEPRJNi2AZ1Wg_ST6ULVsuP72ohSpCzHj_8yUg/edit?gid=18363260#gid=18363260"",""SCHEDULE_KAI_JULI25""),40,0)"),25)</f>
        <v>25</v>
      </c>
      <c r="P248" s="279">
        <f t="shared" ca="1" si="235"/>
        <v>2766394</v>
      </c>
      <c r="Q248" s="287"/>
      <c r="R248" s="279">
        <f t="shared" si="236"/>
        <v>6708743</v>
      </c>
      <c r="S248" s="279">
        <f t="shared" ca="1" si="237"/>
        <v>6708743</v>
      </c>
      <c r="T248" s="279">
        <f t="shared" ca="1" si="238"/>
        <v>0</v>
      </c>
      <c r="U248" s="281">
        <v>259867</v>
      </c>
      <c r="V248" s="282">
        <f ca="1">IFERROR(__xludf.DUMMYFUNCTION("VLOOKUP(C248,IMPORTRANGE(""https://docs.google.com/spreadsheets/d/1rlIahxEPRJNi2AZ1Wg_ST6ULVsuP72ohSpCzHj_8yUg/edit?gid=18363260#gid=18363260"",""SCHEDULE_KAI_JULI25""),41,0)"),0)</f>
        <v>0</v>
      </c>
      <c r="W248" s="279">
        <f t="shared" ca="1" si="258"/>
        <v>0</v>
      </c>
      <c r="X248" s="279">
        <v>0</v>
      </c>
      <c r="Y248" s="279">
        <f t="shared" ca="1" si="259"/>
        <v>6708743</v>
      </c>
      <c r="Z248" s="280">
        <f ca="1">IFERROR(__xludf.DUMMYFUNCTION("VLOOKUP(C248,IMPORTRANGE(""https://docs.google.com/spreadsheets/d/1rlIahxEPRJNi2AZ1Wg_ST6ULVsuP72ohSpCzHj_8yUg/edit?gid=18363260#gid=18363260"",""SCHEDULE_KAI_JULI25""),42,0)+VLOOKUP(C248,IMPORTRANGE(""https://docs.google.com/spreadsheets/d/1rlIahxEPRJNi2"&amp;"AZ1Wg_ST6ULVsuP72ohSpCzHj_8yUg/edit?gid=18363260#gid=18363260"",""SCHEDULE_KAI_JULI25""),43,0)"),0)</f>
        <v>0</v>
      </c>
      <c r="AA248" s="280">
        <f ca="1">IFERROR(__xludf.DUMMYFUNCTION("VLOOKUP(C248,IMPORTRANGE(""https://docs.google.com/spreadsheets/d/1rlIahxEPRJNi2AZ1Wg_ST6ULVsuP72ohSpCzHj_8yUg/edit?gid=18363260#gid=18363260"",""SCHEDULE_KAI_JULI25""),44,0)"),0)</f>
        <v>0</v>
      </c>
      <c r="AB248" s="280">
        <f ca="1">IFERROR(__xludf.DUMMYFUNCTION("VLOOKUP(C248,IMPORTRANGE(""https://docs.google.com/spreadsheets/d/1rlIahxEPRJNi2AZ1Wg_ST6ULVsuP72ohSpCzHj_8yUg/edit?gid=18363260#gid=18363260"",""SCHEDULE_KAI_JULI25""),45,0)"),0)</f>
        <v>0</v>
      </c>
      <c r="AC248" s="280">
        <f ca="1">IFERROR(__xludf.DUMMYFUNCTION("VLOOKUP(C248,IMPORTRANGE(""https://docs.google.com/spreadsheets/d/1rlIahxEPRJNi2AZ1Wg_ST6ULVsuP72ohSpCzHj_8yUg/edit?gid=18363260#gid=18363260"",""SCHEDULE_KAI_JULI25""),46,0)"),0)</f>
        <v>0</v>
      </c>
      <c r="AD248" s="280">
        <v>0</v>
      </c>
      <c r="AE248" s="279">
        <f t="shared" ca="1" si="241"/>
        <v>0</v>
      </c>
      <c r="AF248" s="281">
        <v>326819</v>
      </c>
      <c r="AG248" s="281">
        <v>176850</v>
      </c>
      <c r="AH248" s="279">
        <v>0</v>
      </c>
      <c r="AI248" s="279" t="e">
        <f>VLOOKUP(C248,PINJAMAN_KAI_JUNI_25,35,0)</f>
        <v>#REF!</v>
      </c>
      <c r="AJ248" s="279">
        <v>0</v>
      </c>
      <c r="AK248" s="279" t="e">
        <f t="shared" si="123"/>
        <v>#REF!</v>
      </c>
      <c r="AL248" s="279">
        <v>0</v>
      </c>
      <c r="AM248" s="279">
        <f t="shared" ca="1" si="243"/>
        <v>503669</v>
      </c>
      <c r="AN248" s="279">
        <f t="shared" ca="1" si="244"/>
        <v>6205074</v>
      </c>
      <c r="AO248" s="279">
        <f t="shared" ca="1" si="245"/>
        <v>32545.466320000003</v>
      </c>
      <c r="AP248" s="279">
        <f t="shared" ca="1" si="246"/>
        <v>6172528.5336800003</v>
      </c>
      <c r="AQ248" s="279">
        <f t="shared" ca="1" si="247"/>
        <v>6172528.5336800003</v>
      </c>
      <c r="AR248" s="279">
        <f t="shared" ca="1" si="248"/>
        <v>6172528.5336800003</v>
      </c>
      <c r="AS248" s="53"/>
      <c r="AT248" s="283" t="s">
        <v>8</v>
      </c>
      <c r="AU248" s="280" t="s">
        <v>15</v>
      </c>
      <c r="AV248" s="279">
        <f t="shared" si="249"/>
        <v>3580160</v>
      </c>
      <c r="AW248" s="279">
        <f t="shared" ca="1" si="250"/>
        <v>2766394</v>
      </c>
      <c r="AX248" s="279">
        <f t="shared" ca="1" si="251"/>
        <v>0</v>
      </c>
      <c r="AY248" s="279">
        <v>0</v>
      </c>
      <c r="AZ248" s="279">
        <f t="shared" si="252"/>
        <v>8592.384</v>
      </c>
      <c r="BA248" s="279">
        <f t="shared" si="253"/>
        <v>10740.48</v>
      </c>
      <c r="BB248" s="279">
        <f t="shared" si="254"/>
        <v>143206.39999999999</v>
      </c>
      <c r="BC248" s="279">
        <f t="shared" ca="1" si="255"/>
        <v>6509093.2640000004</v>
      </c>
      <c r="BD248" s="284">
        <f ca="1">IF(AU248="C",VLOOKUP(BC248,TER!$J$4:$L$50,3,TRUE),IF(AU248="B",VLOOKUP(BC248,TER!$F$4:$H$50,3,TRUE),IF(AU248="A",VLOOKUP(BC248,TER!$B$4:$D$50,3,TRUE),"ERROR")))</f>
        <v>5.0000000000000001E-3</v>
      </c>
      <c r="BE248" s="279">
        <f t="shared" ca="1" si="256"/>
        <v>32545.466320000003</v>
      </c>
      <c r="BF248" s="251"/>
      <c r="BG248" s="251"/>
    </row>
    <row r="249" spans="1:59" ht="13.5" hidden="1" customHeight="1">
      <c r="A249" s="251"/>
      <c r="B249" s="224">
        <v>94</v>
      </c>
      <c r="C249" s="77"/>
      <c r="D249" s="78" t="s">
        <v>1079</v>
      </c>
      <c r="E249" s="76"/>
      <c r="F249" s="77"/>
      <c r="G249" s="76"/>
      <c r="H249" s="75"/>
      <c r="I249" s="79"/>
      <c r="J249" s="80"/>
      <c r="K249" s="80"/>
      <c r="L249" s="80"/>
      <c r="M249" s="79"/>
      <c r="N249" s="81"/>
      <c r="O249" s="81"/>
      <c r="P249" s="79"/>
      <c r="Q249" s="75"/>
      <c r="R249" s="79"/>
      <c r="S249" s="79"/>
      <c r="T249" s="79"/>
      <c r="U249" s="54"/>
      <c r="V249" s="81"/>
      <c r="W249" s="79"/>
      <c r="X249" s="79"/>
      <c r="Y249" s="79"/>
      <c r="Z249" s="81"/>
      <c r="AA249" s="81"/>
      <c r="AB249" s="81"/>
      <c r="AC249" s="81"/>
      <c r="AD249" s="81"/>
      <c r="AE249" s="79"/>
      <c r="AF249" s="54"/>
      <c r="AG249" s="54"/>
      <c r="AH249" s="79"/>
      <c r="AI249" s="70">
        <v>0</v>
      </c>
      <c r="AJ249" s="69">
        <v>0</v>
      </c>
      <c r="AK249" s="69">
        <f t="shared" si="123"/>
        <v>0</v>
      </c>
      <c r="AL249" s="79"/>
      <c r="AM249" s="79"/>
      <c r="AN249" s="79"/>
      <c r="AO249" s="79"/>
      <c r="AP249" s="79"/>
      <c r="AQ249" s="79"/>
      <c r="AR249" s="80"/>
      <c r="AS249" s="189"/>
      <c r="AT249" s="83"/>
      <c r="AU249" s="82"/>
      <c r="AV249" s="79"/>
      <c r="AW249" s="79"/>
      <c r="AX249" s="79"/>
      <c r="AY249" s="79"/>
      <c r="AZ249" s="79"/>
      <c r="BA249" s="79"/>
      <c r="BB249" s="79"/>
      <c r="BC249" s="79"/>
      <c r="BD249" s="76"/>
      <c r="BE249" s="79"/>
      <c r="BF249" s="251"/>
      <c r="BG249" s="251"/>
    </row>
    <row r="250" spans="1:59" ht="13.5" hidden="1" customHeight="1">
      <c r="A250" s="260"/>
      <c r="B250" s="224">
        <v>95</v>
      </c>
      <c r="C250" s="77"/>
      <c r="D250" s="78" t="s">
        <v>1079</v>
      </c>
      <c r="E250" s="76"/>
      <c r="F250" s="77"/>
      <c r="G250" s="76"/>
      <c r="H250" s="78"/>
      <c r="I250" s="79"/>
      <c r="J250" s="80"/>
      <c r="K250" s="80"/>
      <c r="L250" s="80"/>
      <c r="M250" s="79"/>
      <c r="N250" s="81">
        <v>0</v>
      </c>
      <c r="O250" s="81">
        <v>0</v>
      </c>
      <c r="P250" s="79"/>
      <c r="Q250" s="75"/>
      <c r="R250" s="79"/>
      <c r="S250" s="79"/>
      <c r="T250" s="79"/>
      <c r="U250" s="54"/>
      <c r="V250" s="81">
        <v>0</v>
      </c>
      <c r="W250" s="79"/>
      <c r="X250" s="79"/>
      <c r="Y250" s="79"/>
      <c r="Z250" s="81">
        <v>0</v>
      </c>
      <c r="AA250" s="81">
        <v>0</v>
      </c>
      <c r="AB250" s="81">
        <v>0</v>
      </c>
      <c r="AC250" s="81">
        <v>0</v>
      </c>
      <c r="AD250" s="81">
        <v>0</v>
      </c>
      <c r="AE250" s="79"/>
      <c r="AF250" s="54"/>
      <c r="AG250" s="54"/>
      <c r="AH250" s="79"/>
      <c r="AI250" s="70">
        <v>0</v>
      </c>
      <c r="AJ250" s="69">
        <v>0</v>
      </c>
      <c r="AK250" s="69">
        <f t="shared" si="123"/>
        <v>0</v>
      </c>
      <c r="AL250" s="79"/>
      <c r="AM250" s="79"/>
      <c r="AN250" s="79"/>
      <c r="AO250" s="79"/>
      <c r="AP250" s="79"/>
      <c r="AQ250" s="79"/>
      <c r="AR250" s="80"/>
      <c r="AS250" s="189"/>
      <c r="AT250" s="83"/>
      <c r="AU250" s="82"/>
      <c r="AV250" s="79"/>
      <c r="AW250" s="79"/>
      <c r="AX250" s="79"/>
      <c r="AY250" s="79"/>
      <c r="AZ250" s="79"/>
      <c r="BA250" s="79"/>
      <c r="BB250" s="79"/>
      <c r="BC250" s="79"/>
      <c r="BD250" s="76"/>
      <c r="BE250" s="79"/>
      <c r="BF250" s="260"/>
      <c r="BG250" s="260"/>
    </row>
    <row r="251" spans="1:59" ht="15.75" hidden="1" customHeight="1">
      <c r="A251" s="113"/>
      <c r="B251" s="224">
        <v>96</v>
      </c>
      <c r="C251" s="200"/>
      <c r="D251" s="26" t="s">
        <v>1134</v>
      </c>
      <c r="E251" s="200"/>
      <c r="F251" s="201"/>
      <c r="G251" s="201"/>
      <c r="H251" s="208"/>
      <c r="I251" s="202"/>
      <c r="J251" s="100"/>
      <c r="K251" s="100"/>
      <c r="L251" s="202"/>
      <c r="M251" s="202"/>
      <c r="N251" s="203"/>
      <c r="O251" s="61"/>
      <c r="P251" s="202"/>
      <c r="Q251" s="100"/>
      <c r="R251" s="202"/>
      <c r="S251" s="202"/>
      <c r="T251" s="202"/>
      <c r="U251" s="202"/>
      <c r="V251" s="204">
        <v>0</v>
      </c>
      <c r="W251" s="202"/>
      <c r="X251" s="202"/>
      <c r="Y251" s="202"/>
      <c r="Z251" s="205">
        <v>0</v>
      </c>
      <c r="AA251" s="205">
        <v>0</v>
      </c>
      <c r="AB251" s="205">
        <v>0</v>
      </c>
      <c r="AC251" s="205">
        <v>0</v>
      </c>
      <c r="AD251" s="206">
        <v>0</v>
      </c>
      <c r="AE251" s="202"/>
      <c r="AF251" s="100"/>
      <c r="AG251" s="100"/>
      <c r="AH251" s="202"/>
      <c r="AI251" s="70">
        <v>0</v>
      </c>
      <c r="AJ251" s="69">
        <v>0</v>
      </c>
      <c r="AK251" s="69">
        <f t="shared" si="123"/>
        <v>0</v>
      </c>
      <c r="AL251" s="202"/>
      <c r="AM251" s="202"/>
      <c r="AN251" s="202"/>
      <c r="AO251" s="202"/>
      <c r="AP251" s="202"/>
      <c r="AQ251" s="202"/>
      <c r="AR251" s="210"/>
      <c r="AS251" s="211"/>
      <c r="AT251" s="207"/>
      <c r="AU251" s="203"/>
      <c r="AV251" s="202"/>
      <c r="AW251" s="202"/>
      <c r="AX251" s="202"/>
      <c r="AY251" s="202"/>
      <c r="AZ251" s="202"/>
      <c r="BA251" s="202"/>
      <c r="BB251" s="202"/>
      <c r="BC251" s="202"/>
      <c r="BD251" s="203"/>
      <c r="BE251" s="202"/>
      <c r="BF251" s="72"/>
      <c r="BG251" s="72"/>
    </row>
    <row r="252" spans="1:59" ht="13.5" hidden="1" customHeight="1">
      <c r="A252" s="7"/>
      <c r="B252" s="224">
        <v>97</v>
      </c>
      <c r="C252" s="46"/>
      <c r="D252" s="26" t="s">
        <v>1135</v>
      </c>
      <c r="E252" s="59"/>
      <c r="F252" s="212"/>
      <c r="G252" s="45" t="s">
        <v>83</v>
      </c>
      <c r="H252" s="26"/>
      <c r="I252" s="31"/>
      <c r="J252" s="31">
        <v>0</v>
      </c>
      <c r="K252" s="31">
        <v>0</v>
      </c>
      <c r="L252" s="31">
        <v>0</v>
      </c>
      <c r="M252" s="31">
        <f>L252/25</f>
        <v>0</v>
      </c>
      <c r="N252" s="47">
        <v>0</v>
      </c>
      <c r="O252" s="61"/>
      <c r="P252" s="31">
        <f t="shared" ref="P252:P254" si="260">M252*N252</f>
        <v>0</v>
      </c>
      <c r="Q252" s="31"/>
      <c r="R252" s="31">
        <f t="shared" ref="R252:R254" si="261">I252+J252+K252+L252</f>
        <v>0</v>
      </c>
      <c r="S252" s="31">
        <f t="shared" ref="S252:S254" si="262">I252+J252+K252+P252</f>
        <v>0</v>
      </c>
      <c r="T252" s="31">
        <f t="shared" ref="T252:T254" si="263">IF(R252-S252&lt;0,R252-S252,0)</f>
        <v>0</v>
      </c>
      <c r="U252" s="31">
        <v>259867</v>
      </c>
      <c r="V252" s="204">
        <v>0</v>
      </c>
      <c r="W252" s="31">
        <f t="shared" ref="W252:W254" si="264">U252*V252</f>
        <v>0</v>
      </c>
      <c r="X252" s="31">
        <v>0</v>
      </c>
      <c r="Y252" s="31">
        <f t="shared" ref="Y252:Y254" si="265">I252+J252+K252+P252+W252+X252</f>
        <v>0</v>
      </c>
      <c r="Z252" s="205">
        <v>0</v>
      </c>
      <c r="AA252" s="205">
        <v>0</v>
      </c>
      <c r="AB252" s="205">
        <v>0</v>
      </c>
      <c r="AC252" s="205">
        <v>0</v>
      </c>
      <c r="AD252" s="206">
        <v>0</v>
      </c>
      <c r="AE252" s="31">
        <f t="shared" ref="AE252:AE254" si="266">U252*(Z252+AA252+AD252+(AC252*2))</f>
        <v>0</v>
      </c>
      <c r="AF252" s="31">
        <v>0</v>
      </c>
      <c r="AG252" s="31">
        <v>0</v>
      </c>
      <c r="AH252" s="31">
        <v>0</v>
      </c>
      <c r="AI252" s="70">
        <v>0</v>
      </c>
      <c r="AJ252" s="69">
        <v>0</v>
      </c>
      <c r="AK252" s="69">
        <f t="shared" si="123"/>
        <v>0</v>
      </c>
      <c r="AL252" s="31">
        <v>0</v>
      </c>
      <c r="AM252" s="31">
        <f t="shared" ref="AM252:AM254" si="267">AE252+AF252+AG252+AH252+AJ252+AL252</f>
        <v>0</v>
      </c>
      <c r="AN252" s="31">
        <f t="shared" ref="AN252:AN254" si="268">Y252-AM252</f>
        <v>0</v>
      </c>
      <c r="AO252" s="31">
        <f t="shared" ref="AO252:AO254" si="269">BE252</f>
        <v>0</v>
      </c>
      <c r="AP252" s="31">
        <f t="shared" ref="AP252:AP254" si="270">AN252-AO252</f>
        <v>0</v>
      </c>
      <c r="AQ252" s="31">
        <f t="shared" ref="AQ252:AQ254" si="271">AP252-X252</f>
        <v>0</v>
      </c>
      <c r="AR252" s="31">
        <f t="shared" ref="AR252:AR254" si="272">ROUND(AQ252,-2)</f>
        <v>0</v>
      </c>
      <c r="AS252" s="213"/>
      <c r="AT252" s="47"/>
      <c r="AU252" s="47"/>
      <c r="AV252" s="31"/>
      <c r="AW252" s="31"/>
      <c r="AX252" s="31"/>
      <c r="AY252" s="31"/>
      <c r="AZ252" s="31"/>
      <c r="BA252" s="31"/>
      <c r="BB252" s="31"/>
      <c r="BC252" s="31"/>
      <c r="BD252" s="51"/>
      <c r="BE252" s="31"/>
      <c r="BF252" s="216"/>
      <c r="BG252" s="216"/>
    </row>
    <row r="253" spans="1:59" ht="13.5" hidden="1" customHeight="1">
      <c r="A253" s="7"/>
      <c r="B253" s="224">
        <v>98</v>
      </c>
      <c r="C253" s="48"/>
      <c r="D253" s="29" t="s">
        <v>1059</v>
      </c>
      <c r="E253" s="27" t="s">
        <v>57</v>
      </c>
      <c r="F253" s="28"/>
      <c r="G253" s="27" t="s">
        <v>83</v>
      </c>
      <c r="H253" s="29" t="s">
        <v>32</v>
      </c>
      <c r="I253" s="20">
        <v>3150000</v>
      </c>
      <c r="J253" s="20">
        <v>0</v>
      </c>
      <c r="K253" s="20">
        <v>0</v>
      </c>
      <c r="L253" s="20">
        <v>0</v>
      </c>
      <c r="M253" s="20">
        <v>0</v>
      </c>
      <c r="N253" s="36">
        <v>31</v>
      </c>
      <c r="O253" s="61"/>
      <c r="P253" s="20">
        <f t="shared" si="260"/>
        <v>0</v>
      </c>
      <c r="Q253" s="20"/>
      <c r="R253" s="20">
        <f t="shared" si="261"/>
        <v>3150000</v>
      </c>
      <c r="S253" s="20">
        <f t="shared" si="262"/>
        <v>3150000</v>
      </c>
      <c r="T253" s="20">
        <f t="shared" si="263"/>
        <v>0</v>
      </c>
      <c r="U253" s="20">
        <v>259867</v>
      </c>
      <c r="V253" s="204">
        <v>0</v>
      </c>
      <c r="W253" s="20">
        <f t="shared" si="264"/>
        <v>0</v>
      </c>
      <c r="X253" s="20">
        <v>0</v>
      </c>
      <c r="Y253" s="20">
        <f t="shared" si="265"/>
        <v>3150000</v>
      </c>
      <c r="Z253" s="214">
        <v>0</v>
      </c>
      <c r="AA253" s="214">
        <v>0</v>
      </c>
      <c r="AB253" s="214">
        <v>0</v>
      </c>
      <c r="AC253" s="214">
        <v>0</v>
      </c>
      <c r="AD253" s="215">
        <v>0</v>
      </c>
      <c r="AE253" s="20">
        <f t="shared" si="266"/>
        <v>0</v>
      </c>
      <c r="AF253" s="20">
        <v>0</v>
      </c>
      <c r="AG253" s="20">
        <v>0</v>
      </c>
      <c r="AH253" s="20">
        <v>0</v>
      </c>
      <c r="AI253" s="70">
        <v>0</v>
      </c>
      <c r="AJ253" s="69">
        <v>0</v>
      </c>
      <c r="AK253" s="69">
        <f t="shared" si="123"/>
        <v>0</v>
      </c>
      <c r="AL253" s="20">
        <v>0</v>
      </c>
      <c r="AM253" s="20">
        <f t="shared" si="267"/>
        <v>0</v>
      </c>
      <c r="AN253" s="20">
        <f t="shared" si="268"/>
        <v>3150000</v>
      </c>
      <c r="AO253" s="20">
        <f t="shared" si="269"/>
        <v>0</v>
      </c>
      <c r="AP253" s="20">
        <f t="shared" si="270"/>
        <v>3150000</v>
      </c>
      <c r="AQ253" s="20">
        <f t="shared" si="271"/>
        <v>3150000</v>
      </c>
      <c r="AR253" s="31">
        <f t="shared" si="272"/>
        <v>3150000</v>
      </c>
      <c r="AS253" s="216"/>
      <c r="AT253" s="30"/>
      <c r="AU253" s="30"/>
      <c r="AV253" s="20"/>
      <c r="AW253" s="20"/>
      <c r="AX253" s="20"/>
      <c r="AY253" s="20"/>
      <c r="AZ253" s="20"/>
      <c r="BA253" s="20"/>
      <c r="BB253" s="20"/>
      <c r="BC253" s="20"/>
      <c r="BD253" s="37"/>
      <c r="BE253" s="20"/>
      <c r="BF253" s="216"/>
      <c r="BG253" s="216"/>
    </row>
    <row r="254" spans="1:59" ht="13.5" hidden="1" customHeight="1">
      <c r="A254" s="7"/>
      <c r="B254" s="224">
        <v>99</v>
      </c>
      <c r="C254" s="48"/>
      <c r="D254" s="29" t="s">
        <v>605</v>
      </c>
      <c r="E254" s="27" t="s">
        <v>57</v>
      </c>
      <c r="F254" s="28" t="s">
        <v>606</v>
      </c>
      <c r="G254" s="27" t="s">
        <v>607</v>
      </c>
      <c r="H254" s="29" t="s">
        <v>32</v>
      </c>
      <c r="I254" s="20">
        <v>4000000</v>
      </c>
      <c r="J254" s="20">
        <v>0</v>
      </c>
      <c r="K254" s="20">
        <v>0</v>
      </c>
      <c r="L254" s="20">
        <v>0</v>
      </c>
      <c r="M254" s="20">
        <v>0</v>
      </c>
      <c r="N254" s="36"/>
      <c r="O254" s="61"/>
      <c r="P254" s="20">
        <f t="shared" si="260"/>
        <v>0</v>
      </c>
      <c r="Q254" s="20"/>
      <c r="R254" s="20">
        <f t="shared" si="261"/>
        <v>4000000</v>
      </c>
      <c r="S254" s="20">
        <f t="shared" si="262"/>
        <v>4000000</v>
      </c>
      <c r="T254" s="20">
        <f t="shared" si="263"/>
        <v>0</v>
      </c>
      <c r="U254" s="20">
        <v>259867</v>
      </c>
      <c r="V254" s="36"/>
      <c r="W254" s="20">
        <f t="shared" si="264"/>
        <v>0</v>
      </c>
      <c r="X254" s="20">
        <v>0</v>
      </c>
      <c r="Y254" s="20">
        <f t="shared" si="265"/>
        <v>4000000</v>
      </c>
      <c r="Z254" s="36"/>
      <c r="AA254" s="36"/>
      <c r="AB254" s="36"/>
      <c r="AC254" s="36"/>
      <c r="AD254" s="30">
        <v>0</v>
      </c>
      <c r="AE254" s="20">
        <f t="shared" si="266"/>
        <v>0</v>
      </c>
      <c r="AF254" s="20">
        <v>0</v>
      </c>
      <c r="AG254" s="20">
        <v>0</v>
      </c>
      <c r="AH254" s="20">
        <v>0</v>
      </c>
      <c r="AI254" s="70">
        <v>0</v>
      </c>
      <c r="AJ254" s="69">
        <v>0</v>
      </c>
      <c r="AK254" s="69">
        <f t="shared" si="123"/>
        <v>0</v>
      </c>
      <c r="AL254" s="20">
        <v>0</v>
      </c>
      <c r="AM254" s="20">
        <f t="shared" si="267"/>
        <v>0</v>
      </c>
      <c r="AN254" s="20">
        <f t="shared" si="268"/>
        <v>4000000</v>
      </c>
      <c r="AO254" s="20">
        <f t="shared" si="269"/>
        <v>0</v>
      </c>
      <c r="AP254" s="20">
        <f t="shared" si="270"/>
        <v>4000000</v>
      </c>
      <c r="AQ254" s="20">
        <f t="shared" si="271"/>
        <v>4000000</v>
      </c>
      <c r="AR254" s="31">
        <f t="shared" si="272"/>
        <v>4000000</v>
      </c>
      <c r="AS254" s="216"/>
      <c r="AT254" s="30"/>
      <c r="AU254" s="30"/>
      <c r="AV254" s="20"/>
      <c r="AW254" s="20"/>
      <c r="AX254" s="20"/>
      <c r="AY254" s="20"/>
      <c r="AZ254" s="20"/>
      <c r="BA254" s="20"/>
      <c r="BB254" s="20"/>
      <c r="BC254" s="20"/>
      <c r="BD254" s="37"/>
      <c r="BE254" s="20"/>
      <c r="BF254" s="216"/>
      <c r="BG254" s="216"/>
    </row>
    <row r="255" spans="1:59" ht="15.75" hidden="1" customHeight="1">
      <c r="A255" s="113"/>
      <c r="B255" s="224">
        <v>99</v>
      </c>
      <c r="C255" s="453" t="s">
        <v>84</v>
      </c>
      <c r="D255" s="411"/>
      <c r="E255" s="106"/>
      <c r="F255" s="102"/>
      <c r="G255" s="106"/>
      <c r="H255" s="107"/>
      <c r="I255" s="108" t="s">
        <v>1060</v>
      </c>
      <c r="J255" s="108" t="s">
        <v>1061</v>
      </c>
      <c r="K255" s="108" t="s">
        <v>1062</v>
      </c>
      <c r="L255" s="108" t="s">
        <v>1063</v>
      </c>
      <c r="M255" s="129"/>
      <c r="N255" s="109">
        <v>1.774</v>
      </c>
      <c r="O255" s="109">
        <v>2.306</v>
      </c>
      <c r="P255" s="108" t="s">
        <v>1064</v>
      </c>
      <c r="Q255" s="129"/>
      <c r="R255" s="108" t="s">
        <v>1065</v>
      </c>
      <c r="S255" s="108" t="s">
        <v>1066</v>
      </c>
      <c r="T255" s="108">
        <v>0</v>
      </c>
      <c r="U255" s="129"/>
      <c r="V255" s="109">
        <f ca="1">SUM(V156:V253)</f>
        <v>141</v>
      </c>
      <c r="W255" s="108" t="s">
        <v>1067</v>
      </c>
      <c r="X255" s="108">
        <v>3</v>
      </c>
      <c r="Y255" s="108" t="s">
        <v>1068</v>
      </c>
      <c r="Z255" s="109">
        <f t="shared" ref="Z255:AC255" ca="1" si="273">SUM(Z156:Z253)</f>
        <v>15</v>
      </c>
      <c r="AA255" s="109">
        <f t="shared" ca="1" si="273"/>
        <v>32</v>
      </c>
      <c r="AB255" s="109">
        <f t="shared" ca="1" si="273"/>
        <v>19</v>
      </c>
      <c r="AC255" s="109">
        <f t="shared" ca="1" si="273"/>
        <v>4</v>
      </c>
      <c r="AD255" s="109"/>
      <c r="AE255" s="108" t="s">
        <v>1069</v>
      </c>
      <c r="AF255" s="108" t="s">
        <v>1070</v>
      </c>
      <c r="AG255" s="108" t="s">
        <v>1071</v>
      </c>
      <c r="AH255" s="108" t="s">
        <v>1028</v>
      </c>
      <c r="AI255" s="108" t="e">
        <f t="shared" ref="AI255:AK255" si="274">SUM(AI156:AI254)</f>
        <v>#REF!</v>
      </c>
      <c r="AJ255" s="108">
        <f t="shared" si="274"/>
        <v>250000</v>
      </c>
      <c r="AK255" s="108" t="e">
        <f t="shared" si="274"/>
        <v>#REF!</v>
      </c>
      <c r="AL255" s="108">
        <v>0</v>
      </c>
      <c r="AM255" s="108" t="s">
        <v>1072</v>
      </c>
      <c r="AN255" s="108" t="s">
        <v>1073</v>
      </c>
      <c r="AO255" s="108" t="s">
        <v>1074</v>
      </c>
      <c r="AP255" s="108" t="s">
        <v>1075</v>
      </c>
      <c r="AQ255" s="108" t="s">
        <v>1076</v>
      </c>
      <c r="AR255" s="108" t="s">
        <v>1077</v>
      </c>
      <c r="AS255" s="113"/>
      <c r="AT255" s="113"/>
      <c r="AU255" s="110"/>
      <c r="AV255" s="110"/>
      <c r="AW255" s="111"/>
      <c r="AX255" s="110"/>
      <c r="AY255" s="110"/>
      <c r="AZ255" s="110"/>
      <c r="BA255" s="110"/>
      <c r="BB255" s="110"/>
      <c r="BC255" s="110"/>
      <c r="BD255" s="217"/>
      <c r="BE255" s="110"/>
      <c r="BF255" s="142"/>
      <c r="BG255" s="142"/>
    </row>
    <row r="256" spans="1:59" ht="15.75" hidden="1" customHeight="1">
      <c r="A256" s="113"/>
      <c r="B256" s="142"/>
      <c r="C256" s="116"/>
      <c r="D256" s="117"/>
      <c r="E256" s="117"/>
      <c r="F256" s="145"/>
      <c r="G256" s="216"/>
      <c r="H256" s="117" t="s">
        <v>1136</v>
      </c>
      <c r="I256" s="141"/>
      <c r="J256" s="141"/>
      <c r="K256" s="218">
        <v>95</v>
      </c>
      <c r="L256" s="133">
        <v>92</v>
      </c>
      <c r="M256" s="141"/>
      <c r="N256" s="141"/>
      <c r="O256" s="118"/>
      <c r="P256" s="118">
        <v>0</v>
      </c>
      <c r="Q256" s="118"/>
      <c r="R256" s="141"/>
      <c r="S256" s="141"/>
      <c r="T256" s="141"/>
      <c r="U256" s="141"/>
      <c r="V256" s="459"/>
      <c r="W256" s="430"/>
      <c r="X256" s="430"/>
      <c r="Y256" s="430"/>
      <c r="Z256" s="428"/>
      <c r="AA256" s="141"/>
      <c r="AB256" s="118"/>
      <c r="AC256" s="118"/>
      <c r="AD256" s="118">
        <f ca="1">SUM(Z255:AC255)</f>
        <v>70</v>
      </c>
      <c r="AE256" s="118">
        <v>67</v>
      </c>
      <c r="AF256" s="141"/>
      <c r="AG256" s="218">
        <v>95</v>
      </c>
      <c r="AH256" s="133">
        <v>92</v>
      </c>
      <c r="AI256" s="72"/>
      <c r="AJ256" s="141"/>
      <c r="AK256" s="141"/>
      <c r="AL256" s="141"/>
      <c r="AM256" s="141"/>
      <c r="AN256" s="141"/>
      <c r="AO256" s="141"/>
      <c r="AP256" s="141"/>
      <c r="AQ256" s="141"/>
      <c r="AR256" s="219" t="s">
        <v>1078</v>
      </c>
      <c r="AS256" s="142"/>
      <c r="AT256" s="142"/>
      <c r="AU256" s="141"/>
      <c r="AV256" s="141"/>
      <c r="AW256" s="118"/>
      <c r="AX256" s="141"/>
      <c r="AY256" s="141"/>
      <c r="AZ256" s="141"/>
      <c r="BA256" s="141"/>
      <c r="BB256" s="141"/>
      <c r="BC256" s="141"/>
      <c r="BD256" s="144"/>
      <c r="BE256" s="141"/>
      <c r="BF256" s="142"/>
      <c r="BG256" s="142"/>
    </row>
    <row r="257" spans="1:59" ht="15.75" customHeight="1">
      <c r="A257" s="113"/>
      <c r="B257" s="142"/>
      <c r="C257" s="116"/>
      <c r="D257" s="117"/>
      <c r="E257" s="117"/>
      <c r="F257" s="116"/>
      <c r="G257" s="117"/>
      <c r="H257" s="117"/>
      <c r="I257" s="141"/>
      <c r="J257" s="141"/>
      <c r="K257" s="141"/>
      <c r="L257" s="141"/>
      <c r="M257" s="141"/>
      <c r="N257" s="141"/>
      <c r="O257" s="118"/>
      <c r="P257" s="118"/>
      <c r="Q257" s="118"/>
      <c r="R257" s="141"/>
      <c r="S257" s="141"/>
      <c r="T257" s="141"/>
      <c r="U257" s="141"/>
      <c r="V257" s="141"/>
      <c r="W257" s="141"/>
      <c r="X257" s="118"/>
      <c r="Y257" s="141"/>
      <c r="Z257" s="141"/>
      <c r="AA257" s="141"/>
      <c r="AB257" s="118"/>
      <c r="AC257" s="118"/>
      <c r="AD257" s="118"/>
      <c r="AE257" s="118"/>
      <c r="AF257" s="118"/>
      <c r="AG257" s="141"/>
      <c r="AH257" s="141"/>
      <c r="AI257" s="141"/>
      <c r="AJ257" s="141"/>
      <c r="AK257" s="141"/>
      <c r="AL257" s="141"/>
      <c r="AM257" s="141"/>
      <c r="AN257" s="141"/>
      <c r="AO257" s="141"/>
      <c r="AP257" s="141"/>
      <c r="AQ257" s="141"/>
      <c r="AR257" s="141"/>
      <c r="AS257" s="142"/>
      <c r="AT257" s="142"/>
      <c r="AU257" s="141"/>
      <c r="AV257" s="141"/>
      <c r="AW257" s="118"/>
      <c r="AX257" s="141"/>
      <c r="AY257" s="141"/>
      <c r="AZ257" s="141"/>
      <c r="BA257" s="141"/>
      <c r="BB257" s="141"/>
      <c r="BC257" s="141"/>
      <c r="BD257" s="144"/>
      <c r="BE257" s="141"/>
      <c r="BF257" s="142"/>
      <c r="BG257" s="142"/>
    </row>
    <row r="258" spans="1:59" ht="15.75" hidden="1" customHeight="1">
      <c r="A258" s="113"/>
      <c r="B258" s="147"/>
      <c r="C258" s="145"/>
      <c r="D258" s="146"/>
      <c r="E258" s="147"/>
      <c r="F258" s="145"/>
      <c r="G258" s="146"/>
      <c r="H258" s="147"/>
      <c r="I258" s="148"/>
      <c r="J258" s="90">
        <v>273.76400000000001</v>
      </c>
      <c r="K258" s="149">
        <v>141.47999999999999</v>
      </c>
      <c r="L258" s="148"/>
      <c r="M258" s="148"/>
      <c r="N258" s="148"/>
      <c r="O258" s="130"/>
      <c r="P258" s="130"/>
      <c r="Q258" s="148"/>
      <c r="R258" s="148"/>
      <c r="S258" s="148"/>
      <c r="T258" s="148"/>
      <c r="U258" s="148"/>
      <c r="V258" s="148"/>
      <c r="W258" s="130"/>
      <c r="X258" s="148"/>
      <c r="Y258" s="148"/>
      <c r="Z258" s="130"/>
      <c r="AA258" s="130"/>
      <c r="AB258" s="130"/>
      <c r="AC258" s="130"/>
      <c r="AD258" s="148"/>
      <c r="AE258" s="90">
        <v>379.87400000000002</v>
      </c>
      <c r="AF258" s="149">
        <v>176.85</v>
      </c>
      <c r="AG258" s="148"/>
      <c r="AH258" s="148"/>
      <c r="AI258" s="148"/>
      <c r="AJ258" s="148"/>
      <c r="AK258" s="148"/>
      <c r="AL258" s="148"/>
      <c r="AM258" s="148"/>
      <c r="AN258" s="148"/>
      <c r="AO258" s="148"/>
      <c r="AP258" s="148"/>
      <c r="AQ258" s="148"/>
      <c r="AR258" s="72"/>
      <c r="AS258" s="113"/>
      <c r="AT258" s="113"/>
      <c r="AU258" s="148"/>
      <c r="AV258" s="148"/>
      <c r="AW258" s="130"/>
      <c r="AX258" s="148"/>
      <c r="AY258" s="148"/>
      <c r="AZ258" s="148"/>
      <c r="BA258" s="148"/>
      <c r="BB258" s="148"/>
      <c r="BC258" s="148"/>
      <c r="BD258" s="150"/>
      <c r="BE258" s="148"/>
      <c r="BF258" s="147"/>
      <c r="BG258" s="147"/>
    </row>
    <row r="259" spans="1:59" ht="15.75" hidden="1" customHeight="1">
      <c r="A259" s="113"/>
      <c r="B259" s="147"/>
      <c r="C259" s="145"/>
      <c r="D259" s="146"/>
      <c r="E259" s="147"/>
      <c r="F259" s="145"/>
      <c r="G259" s="146"/>
      <c r="H259" s="146"/>
      <c r="I259" s="148"/>
      <c r="J259" s="148"/>
      <c r="K259" s="148"/>
      <c r="L259" s="148"/>
      <c r="M259" s="148"/>
      <c r="N259" s="148"/>
      <c r="O259" s="148"/>
      <c r="P259" s="130"/>
      <c r="Q259" s="130"/>
      <c r="R259" s="148"/>
      <c r="S259" s="148"/>
      <c r="T259" s="148"/>
      <c r="U259" s="148"/>
      <c r="V259" s="148"/>
      <c r="W259" s="148"/>
      <c r="X259" s="130"/>
      <c r="Y259" s="148"/>
      <c r="Z259" s="148"/>
      <c r="AA259" s="148"/>
      <c r="AB259" s="130"/>
      <c r="AC259" s="130"/>
      <c r="AD259" s="130"/>
      <c r="AE259" s="130"/>
      <c r="AF259" s="130"/>
      <c r="AG259" s="148"/>
      <c r="AH259" s="148"/>
      <c r="AI259" s="148"/>
      <c r="AJ259" s="148"/>
      <c r="AK259" s="148"/>
      <c r="AL259" s="148"/>
      <c r="AM259" s="148"/>
      <c r="AN259" s="148"/>
      <c r="AO259" s="148"/>
      <c r="AP259" s="148"/>
      <c r="AQ259" s="148"/>
      <c r="AR259" s="148"/>
      <c r="AS259" s="147"/>
      <c r="AT259" s="147"/>
      <c r="AU259" s="148"/>
      <c r="AV259" s="148"/>
      <c r="AW259" s="130"/>
      <c r="AX259" s="148"/>
      <c r="AY259" s="148"/>
      <c r="AZ259" s="148"/>
      <c r="BA259" s="148"/>
      <c r="BB259" s="148"/>
      <c r="BC259" s="148"/>
      <c r="BD259" s="150"/>
      <c r="BE259" s="148"/>
      <c r="BF259" s="147"/>
      <c r="BG259" s="147"/>
    </row>
    <row r="260" spans="1:59" ht="15.75" hidden="1" customHeight="1">
      <c r="A260" s="113"/>
      <c r="B260" s="117"/>
      <c r="C260" s="116"/>
      <c r="D260" s="117"/>
      <c r="E260" s="117"/>
      <c r="F260" s="116"/>
      <c r="G260" s="117"/>
      <c r="H260" s="117"/>
      <c r="I260" s="118"/>
      <c r="J260" s="90">
        <v>220.709</v>
      </c>
      <c r="K260" s="149">
        <v>141.47999999999999</v>
      </c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90">
        <v>326.81900000000002</v>
      </c>
      <c r="AH260" s="149">
        <v>176.85</v>
      </c>
      <c r="AI260" s="118"/>
      <c r="AJ260" s="118"/>
      <c r="AK260" s="118"/>
      <c r="AL260" s="118"/>
      <c r="AM260" s="118"/>
      <c r="AN260" s="72"/>
      <c r="AO260" s="118"/>
      <c r="AP260" s="118"/>
      <c r="AQ260" s="118"/>
      <c r="AR260" s="118"/>
      <c r="AS260" s="117"/>
      <c r="AT260" s="117"/>
      <c r="AU260" s="118"/>
      <c r="AV260" s="118"/>
      <c r="AW260" s="118"/>
      <c r="AX260" s="118"/>
      <c r="AY260" s="118"/>
      <c r="AZ260" s="118"/>
      <c r="BA260" s="118"/>
      <c r="BB260" s="118"/>
      <c r="BC260" s="118"/>
      <c r="BD260" s="220"/>
      <c r="BE260" s="118"/>
      <c r="BF260" s="117"/>
      <c r="BG260" s="117"/>
    </row>
    <row r="261" spans="1:59" ht="15.75" hidden="1" customHeight="1">
      <c r="A261" s="113"/>
      <c r="B261" s="440" t="s">
        <v>20</v>
      </c>
      <c r="C261" s="452" t="s">
        <v>21</v>
      </c>
      <c r="D261" s="151" t="s">
        <v>22</v>
      </c>
      <c r="E261" s="456" t="s">
        <v>23</v>
      </c>
      <c r="F261" s="411"/>
      <c r="G261" s="440" t="s">
        <v>24</v>
      </c>
      <c r="H261" s="441" t="s">
        <v>4</v>
      </c>
      <c r="I261" s="445" t="s">
        <v>259</v>
      </c>
      <c r="J261" s="410"/>
      <c r="K261" s="410"/>
      <c r="L261" s="410"/>
      <c r="M261" s="410"/>
      <c r="N261" s="410"/>
      <c r="O261" s="410"/>
      <c r="P261" s="410"/>
      <c r="Q261" s="410"/>
      <c r="R261" s="410"/>
      <c r="S261" s="410"/>
      <c r="T261" s="410"/>
      <c r="U261" s="410"/>
      <c r="V261" s="410"/>
      <c r="W261" s="410"/>
      <c r="X261" s="410"/>
      <c r="Y261" s="411"/>
      <c r="Z261" s="445" t="s">
        <v>260</v>
      </c>
      <c r="AA261" s="410"/>
      <c r="AB261" s="410"/>
      <c r="AC261" s="410"/>
      <c r="AD261" s="410"/>
      <c r="AE261" s="410"/>
      <c r="AF261" s="410"/>
      <c r="AG261" s="410"/>
      <c r="AH261" s="410"/>
      <c r="AI261" s="410"/>
      <c r="AJ261" s="410"/>
      <c r="AK261" s="410"/>
      <c r="AL261" s="410"/>
      <c r="AM261" s="411"/>
      <c r="AN261" s="433" t="s">
        <v>261</v>
      </c>
      <c r="AO261" s="433" t="s">
        <v>262</v>
      </c>
      <c r="AP261" s="433" t="s">
        <v>1022</v>
      </c>
      <c r="AQ261" s="433" t="s">
        <v>1023</v>
      </c>
      <c r="AR261" s="434" t="s">
        <v>1024</v>
      </c>
      <c r="AS261" s="113"/>
      <c r="AT261" s="449" t="s">
        <v>262</v>
      </c>
      <c r="AU261" s="410"/>
      <c r="AV261" s="410"/>
      <c r="AW261" s="410"/>
      <c r="AX261" s="410"/>
      <c r="AY261" s="410"/>
      <c r="AZ261" s="410"/>
      <c r="BA261" s="410"/>
      <c r="BB261" s="410"/>
      <c r="BC261" s="410"/>
      <c r="BD261" s="410"/>
      <c r="BE261" s="411"/>
      <c r="BF261" s="113"/>
      <c r="BG261" s="113"/>
    </row>
    <row r="262" spans="1:59" ht="15.75" hidden="1" customHeight="1">
      <c r="A262" s="113"/>
      <c r="B262" s="413"/>
      <c r="C262" s="413"/>
      <c r="D262" s="159"/>
      <c r="E262" s="448" t="s">
        <v>26</v>
      </c>
      <c r="F262" s="457" t="s">
        <v>27</v>
      </c>
      <c r="G262" s="413"/>
      <c r="H262" s="413"/>
      <c r="I262" s="447" t="s">
        <v>1025</v>
      </c>
      <c r="J262" s="451" t="s">
        <v>266</v>
      </c>
      <c r="K262" s="411"/>
      <c r="L262" s="445" t="s">
        <v>267</v>
      </c>
      <c r="M262" s="410"/>
      <c r="N262" s="410"/>
      <c r="O262" s="410"/>
      <c r="P262" s="411"/>
      <c r="Q262" s="221"/>
      <c r="R262" s="446" t="s">
        <v>268</v>
      </c>
      <c r="S262" s="410"/>
      <c r="T262" s="411"/>
      <c r="U262" s="445" t="s">
        <v>269</v>
      </c>
      <c r="V262" s="410"/>
      <c r="W262" s="411"/>
      <c r="X262" s="450" t="s">
        <v>270</v>
      </c>
      <c r="Y262" s="447" t="s">
        <v>271</v>
      </c>
      <c r="Z262" s="445" t="s">
        <v>272</v>
      </c>
      <c r="AA262" s="410"/>
      <c r="AB262" s="410"/>
      <c r="AC262" s="410"/>
      <c r="AD262" s="410"/>
      <c r="AE262" s="411"/>
      <c r="AF262" s="451" t="s">
        <v>266</v>
      </c>
      <c r="AG262" s="411"/>
      <c r="AH262" s="450" t="s">
        <v>273</v>
      </c>
      <c r="AI262" s="446" t="s">
        <v>274</v>
      </c>
      <c r="AJ262" s="410"/>
      <c r="AK262" s="411"/>
      <c r="AL262" s="450" t="s">
        <v>275</v>
      </c>
      <c r="AM262" s="447" t="s">
        <v>271</v>
      </c>
      <c r="AN262" s="413"/>
      <c r="AO262" s="413"/>
      <c r="AP262" s="413"/>
      <c r="AQ262" s="413"/>
      <c r="AR262" s="413"/>
      <c r="AS262" s="113"/>
      <c r="AT262" s="448" t="s">
        <v>4</v>
      </c>
      <c r="AU262" s="447" t="s">
        <v>276</v>
      </c>
      <c r="AV262" s="447" t="s">
        <v>277</v>
      </c>
      <c r="AW262" s="447" t="s">
        <v>278</v>
      </c>
      <c r="AX262" s="447" t="s">
        <v>269</v>
      </c>
      <c r="AY262" s="447" t="s">
        <v>270</v>
      </c>
      <c r="AZ262" s="445" t="s">
        <v>266</v>
      </c>
      <c r="BA262" s="410"/>
      <c r="BB262" s="411"/>
      <c r="BC262" s="447" t="s">
        <v>261</v>
      </c>
      <c r="BD262" s="448" t="s">
        <v>279</v>
      </c>
      <c r="BE262" s="447" t="s">
        <v>262</v>
      </c>
      <c r="BF262" s="113"/>
      <c r="BG262" s="113"/>
    </row>
    <row r="263" spans="1:59" ht="15.75" hidden="1" customHeight="1">
      <c r="A263" s="113"/>
      <c r="B263" s="414"/>
      <c r="C263" s="414"/>
      <c r="D263" s="92"/>
      <c r="E263" s="414"/>
      <c r="F263" s="414"/>
      <c r="G263" s="414"/>
      <c r="H263" s="414"/>
      <c r="I263" s="414"/>
      <c r="J263" s="172" t="s">
        <v>280</v>
      </c>
      <c r="K263" s="172" t="s">
        <v>281</v>
      </c>
      <c r="L263" s="173" t="s">
        <v>282</v>
      </c>
      <c r="M263" s="173" t="s">
        <v>283</v>
      </c>
      <c r="N263" s="172" t="s">
        <v>284</v>
      </c>
      <c r="O263" s="174" t="s">
        <v>285</v>
      </c>
      <c r="P263" s="173" t="s">
        <v>286</v>
      </c>
      <c r="Q263" s="165"/>
      <c r="R263" s="165" t="s">
        <v>282</v>
      </c>
      <c r="S263" s="165" t="s">
        <v>287</v>
      </c>
      <c r="T263" s="165" t="s">
        <v>288</v>
      </c>
      <c r="U263" s="173" t="s">
        <v>289</v>
      </c>
      <c r="V263" s="172" t="s">
        <v>290</v>
      </c>
      <c r="W263" s="173" t="s">
        <v>286</v>
      </c>
      <c r="X263" s="414"/>
      <c r="Y263" s="414"/>
      <c r="Z263" s="172" t="s">
        <v>291</v>
      </c>
      <c r="AA263" s="172" t="s">
        <v>292</v>
      </c>
      <c r="AB263" s="172" t="s">
        <v>293</v>
      </c>
      <c r="AC263" s="172" t="s">
        <v>280</v>
      </c>
      <c r="AD263" s="172" t="s">
        <v>294</v>
      </c>
      <c r="AE263" s="173" t="s">
        <v>286</v>
      </c>
      <c r="AF263" s="172" t="s">
        <v>280</v>
      </c>
      <c r="AG263" s="172" t="s">
        <v>281</v>
      </c>
      <c r="AH263" s="414"/>
      <c r="AI263" s="165" t="s">
        <v>295</v>
      </c>
      <c r="AJ263" s="165" t="s">
        <v>296</v>
      </c>
      <c r="AK263" s="165" t="s">
        <v>297</v>
      </c>
      <c r="AL263" s="414"/>
      <c r="AM263" s="414"/>
      <c r="AN263" s="414"/>
      <c r="AO263" s="414"/>
      <c r="AP263" s="414"/>
      <c r="AQ263" s="414"/>
      <c r="AR263" s="414"/>
      <c r="AS263" s="113"/>
      <c r="AT263" s="414"/>
      <c r="AU263" s="414"/>
      <c r="AV263" s="414"/>
      <c r="AW263" s="414"/>
      <c r="AX263" s="414"/>
      <c r="AY263" s="414"/>
      <c r="AZ263" s="173" t="s">
        <v>298</v>
      </c>
      <c r="BA263" s="173" t="s">
        <v>299</v>
      </c>
      <c r="BB263" s="173" t="s">
        <v>281</v>
      </c>
      <c r="BC263" s="414"/>
      <c r="BD263" s="414"/>
      <c r="BE263" s="414"/>
      <c r="BF263" s="113"/>
      <c r="BG263" s="113"/>
    </row>
    <row r="264" spans="1:59" ht="15.75" hidden="1" customHeight="1">
      <c r="A264" s="113"/>
      <c r="B264" s="60">
        <v>1</v>
      </c>
      <c r="C264" s="68" t="s">
        <v>1079</v>
      </c>
      <c r="D264" s="66"/>
      <c r="E264" s="67"/>
      <c r="F264" s="68"/>
      <c r="G264" s="67" t="s">
        <v>31</v>
      </c>
      <c r="H264" s="92"/>
      <c r="I264" s="169"/>
      <c r="J264" s="222"/>
      <c r="K264" s="222"/>
      <c r="L264" s="169"/>
      <c r="M264" s="169"/>
      <c r="N264" s="125">
        <v>0</v>
      </c>
      <c r="O264" s="223">
        <v>22</v>
      </c>
      <c r="P264" s="169"/>
      <c r="Q264" s="169"/>
      <c r="R264" s="70">
        <v>0</v>
      </c>
      <c r="S264" s="70">
        <v>0</v>
      </c>
      <c r="T264" s="70">
        <v>0</v>
      </c>
      <c r="U264" s="70">
        <v>0</v>
      </c>
      <c r="V264" s="125"/>
      <c r="W264" s="70">
        <v>0</v>
      </c>
      <c r="X264" s="169"/>
      <c r="Y264" s="70">
        <v>0</v>
      </c>
      <c r="Z264" s="125"/>
      <c r="AA264" s="125"/>
      <c r="AB264" s="125"/>
      <c r="AC264" s="125"/>
      <c r="AD264" s="125"/>
      <c r="AE264" s="169"/>
      <c r="AF264" s="169"/>
      <c r="AG264" s="169"/>
      <c r="AH264" s="70">
        <v>0</v>
      </c>
      <c r="AI264" s="169"/>
      <c r="AJ264" s="169"/>
      <c r="AK264" s="169"/>
      <c r="AL264" s="70">
        <v>0</v>
      </c>
      <c r="AM264" s="169"/>
      <c r="AN264" s="70">
        <v>0</v>
      </c>
      <c r="AO264" s="70">
        <v>0</v>
      </c>
      <c r="AP264" s="70">
        <v>0</v>
      </c>
      <c r="AQ264" s="70">
        <v>0</v>
      </c>
      <c r="AR264" s="70">
        <v>0</v>
      </c>
      <c r="AS264" s="113"/>
      <c r="AT264" s="224" t="s">
        <v>17</v>
      </c>
      <c r="AU264" s="125" t="s">
        <v>15</v>
      </c>
      <c r="AV264" s="70">
        <v>0</v>
      </c>
      <c r="AW264" s="70">
        <v>0</v>
      </c>
      <c r="AX264" s="70">
        <v>0</v>
      </c>
      <c r="AY264" s="70">
        <v>0</v>
      </c>
      <c r="AZ264" s="70">
        <v>0</v>
      </c>
      <c r="BA264" s="70">
        <v>0</v>
      </c>
      <c r="BB264" s="70">
        <v>0</v>
      </c>
      <c r="BC264" s="70">
        <v>0</v>
      </c>
      <c r="BD264" s="101" t="s">
        <v>1026</v>
      </c>
      <c r="BE264" s="70">
        <v>0</v>
      </c>
      <c r="BF264" s="113"/>
      <c r="BG264" s="113"/>
    </row>
    <row r="265" spans="1:59" ht="15.75" hidden="1" customHeight="1">
      <c r="A265" s="113"/>
      <c r="B265" s="60">
        <v>2</v>
      </c>
      <c r="C265" s="124" t="s">
        <v>252</v>
      </c>
      <c r="D265" s="66" t="s">
        <v>253</v>
      </c>
      <c r="E265" s="67" t="s">
        <v>57</v>
      </c>
      <c r="F265" s="68" t="s">
        <v>254</v>
      </c>
      <c r="G265" s="67" t="s">
        <v>31</v>
      </c>
      <c r="H265" s="92" t="s">
        <v>450</v>
      </c>
      <c r="I265" s="70" t="s">
        <v>1080</v>
      </c>
      <c r="J265" s="169"/>
      <c r="K265" s="169"/>
      <c r="L265" s="169"/>
      <c r="M265" s="169"/>
      <c r="N265" s="125">
        <v>9</v>
      </c>
      <c r="O265" s="223">
        <v>22</v>
      </c>
      <c r="P265" s="169"/>
      <c r="Q265" s="169"/>
      <c r="R265" s="70" t="s">
        <v>1080</v>
      </c>
      <c r="S265" s="70" t="s">
        <v>1080</v>
      </c>
      <c r="T265" s="70">
        <v>0</v>
      </c>
      <c r="U265" s="70">
        <v>147.375</v>
      </c>
      <c r="V265" s="125">
        <v>3</v>
      </c>
      <c r="W265" s="70">
        <v>442.125</v>
      </c>
      <c r="X265" s="169"/>
      <c r="Y265" s="70" t="s">
        <v>1081</v>
      </c>
      <c r="Z265" s="125"/>
      <c r="AA265" s="125"/>
      <c r="AB265" s="125"/>
      <c r="AC265" s="125"/>
      <c r="AD265" s="125"/>
      <c r="AE265" s="169"/>
      <c r="AF265" s="169"/>
      <c r="AG265" s="169"/>
      <c r="AH265" s="70">
        <v>0</v>
      </c>
      <c r="AI265" s="169"/>
      <c r="AJ265" s="169"/>
      <c r="AK265" s="169"/>
      <c r="AL265" s="70">
        <v>0</v>
      </c>
      <c r="AM265" s="70">
        <v>0</v>
      </c>
      <c r="AN265" s="70" t="s">
        <v>1081</v>
      </c>
      <c r="AO265" s="70">
        <v>0</v>
      </c>
      <c r="AP265" s="70" t="s">
        <v>1081</v>
      </c>
      <c r="AQ265" s="70" t="s">
        <v>1081</v>
      </c>
      <c r="AR265" s="70" t="s">
        <v>1082</v>
      </c>
      <c r="AS265" s="113"/>
      <c r="AT265" s="224" t="s">
        <v>13</v>
      </c>
      <c r="AU265" s="125" t="s">
        <v>10</v>
      </c>
      <c r="AV265" s="70" t="s">
        <v>1080</v>
      </c>
      <c r="AW265" s="70">
        <v>0</v>
      </c>
      <c r="AX265" s="70">
        <v>442.125</v>
      </c>
      <c r="AY265" s="70">
        <v>0</v>
      </c>
      <c r="AZ265" s="70">
        <v>0</v>
      </c>
      <c r="BA265" s="70">
        <v>0</v>
      </c>
      <c r="BB265" s="70">
        <v>0</v>
      </c>
      <c r="BC265" s="70" t="s">
        <v>1081</v>
      </c>
      <c r="BD265" s="101" t="s">
        <v>1026</v>
      </c>
      <c r="BE265" s="70">
        <v>0</v>
      </c>
      <c r="BF265" s="113"/>
      <c r="BG265" s="113"/>
    </row>
    <row r="266" spans="1:59" ht="15.75" hidden="1" customHeight="1">
      <c r="A266" s="113"/>
      <c r="B266" s="60">
        <v>3</v>
      </c>
      <c r="C266" s="124" t="s">
        <v>1083</v>
      </c>
      <c r="D266" s="66" t="s">
        <v>1084</v>
      </c>
      <c r="E266" s="67" t="s">
        <v>57</v>
      </c>
      <c r="F266" s="68" t="s">
        <v>1085</v>
      </c>
      <c r="G266" s="67" t="s">
        <v>31</v>
      </c>
      <c r="H266" s="92" t="s">
        <v>602</v>
      </c>
      <c r="I266" s="70" t="s">
        <v>1086</v>
      </c>
      <c r="J266" s="169"/>
      <c r="K266" s="169"/>
      <c r="L266" s="169"/>
      <c r="M266" s="169"/>
      <c r="N266" s="125">
        <v>10</v>
      </c>
      <c r="O266" s="223">
        <v>22</v>
      </c>
      <c r="P266" s="169"/>
      <c r="Q266" s="169"/>
      <c r="R266" s="70" t="s">
        <v>1086</v>
      </c>
      <c r="S266" s="70" t="s">
        <v>1086</v>
      </c>
      <c r="T266" s="70">
        <v>0</v>
      </c>
      <c r="U266" s="70">
        <v>147.375</v>
      </c>
      <c r="V266" s="125">
        <v>5</v>
      </c>
      <c r="W266" s="70">
        <v>736.875</v>
      </c>
      <c r="X266" s="169"/>
      <c r="Y266" s="70" t="s">
        <v>1087</v>
      </c>
      <c r="Z266" s="125"/>
      <c r="AA266" s="125"/>
      <c r="AB266" s="125"/>
      <c r="AC266" s="125"/>
      <c r="AD266" s="125"/>
      <c r="AE266" s="169"/>
      <c r="AF266" s="169"/>
      <c r="AG266" s="169"/>
      <c r="AH266" s="70">
        <v>0</v>
      </c>
      <c r="AI266" s="169"/>
      <c r="AJ266" s="169"/>
      <c r="AK266" s="169"/>
      <c r="AL266" s="70">
        <v>0</v>
      </c>
      <c r="AM266" s="70">
        <v>0</v>
      </c>
      <c r="AN266" s="70" t="s">
        <v>1087</v>
      </c>
      <c r="AO266" s="169"/>
      <c r="AP266" s="70" t="s">
        <v>1087</v>
      </c>
      <c r="AQ266" s="70" t="s">
        <v>1087</v>
      </c>
      <c r="AR266" s="70" t="s">
        <v>1088</v>
      </c>
      <c r="AS266" s="113"/>
      <c r="AT266" s="224"/>
      <c r="AU266" s="125"/>
      <c r="AV266" s="169"/>
      <c r="AW266" s="169"/>
      <c r="AX266" s="169"/>
      <c r="AY266" s="169"/>
      <c r="AZ266" s="169"/>
      <c r="BA266" s="169"/>
      <c r="BB266" s="169"/>
      <c r="BC266" s="169"/>
      <c r="BD266" s="225"/>
      <c r="BE266" s="169"/>
      <c r="BF266" s="113"/>
      <c r="BG266" s="113"/>
    </row>
    <row r="267" spans="1:59" ht="15.75" hidden="1" customHeight="1">
      <c r="A267" s="113"/>
      <c r="B267" s="60">
        <v>4</v>
      </c>
      <c r="C267" s="124" t="s">
        <v>975</v>
      </c>
      <c r="D267" s="66" t="s">
        <v>976</v>
      </c>
      <c r="E267" s="67" t="s">
        <v>57</v>
      </c>
      <c r="F267" s="68" t="s">
        <v>977</v>
      </c>
      <c r="G267" s="67" t="s">
        <v>31</v>
      </c>
      <c r="H267" s="92" t="s">
        <v>450</v>
      </c>
      <c r="I267" s="70" t="s">
        <v>1089</v>
      </c>
      <c r="J267" s="169"/>
      <c r="K267" s="169"/>
      <c r="L267" s="169"/>
      <c r="M267" s="169"/>
      <c r="N267" s="125">
        <v>8</v>
      </c>
      <c r="O267" s="223">
        <v>22</v>
      </c>
      <c r="P267" s="169"/>
      <c r="Q267" s="169"/>
      <c r="R267" s="70" t="s">
        <v>1089</v>
      </c>
      <c r="S267" s="70" t="s">
        <v>1089</v>
      </c>
      <c r="T267" s="70">
        <v>0</v>
      </c>
      <c r="U267" s="70">
        <v>147.375</v>
      </c>
      <c r="V267" s="125">
        <v>3</v>
      </c>
      <c r="W267" s="70">
        <v>442.125</v>
      </c>
      <c r="X267" s="169"/>
      <c r="Y267" s="70" t="s">
        <v>1090</v>
      </c>
      <c r="Z267" s="125"/>
      <c r="AA267" s="125"/>
      <c r="AB267" s="125"/>
      <c r="AC267" s="125"/>
      <c r="AD267" s="125"/>
      <c r="AE267" s="169"/>
      <c r="AF267" s="169"/>
      <c r="AG267" s="169"/>
      <c r="AH267" s="70">
        <v>0</v>
      </c>
      <c r="AI267" s="169"/>
      <c r="AJ267" s="169"/>
      <c r="AK267" s="169"/>
      <c r="AL267" s="70">
        <v>0</v>
      </c>
      <c r="AM267" s="70">
        <v>0</v>
      </c>
      <c r="AN267" s="70" t="s">
        <v>1090</v>
      </c>
      <c r="AO267" s="70">
        <v>0</v>
      </c>
      <c r="AP267" s="70" t="s">
        <v>1090</v>
      </c>
      <c r="AQ267" s="70" t="s">
        <v>1090</v>
      </c>
      <c r="AR267" s="70" t="s">
        <v>1091</v>
      </c>
      <c r="AS267" s="113"/>
      <c r="AT267" s="224" t="s">
        <v>13</v>
      </c>
      <c r="AU267" s="125" t="s">
        <v>10</v>
      </c>
      <c r="AV267" s="70" t="s">
        <v>1089</v>
      </c>
      <c r="AW267" s="70">
        <v>0</v>
      </c>
      <c r="AX267" s="70">
        <v>442.125</v>
      </c>
      <c r="AY267" s="70">
        <v>0</v>
      </c>
      <c r="AZ267" s="70">
        <v>0</v>
      </c>
      <c r="BA267" s="70">
        <v>0</v>
      </c>
      <c r="BB267" s="70">
        <v>0</v>
      </c>
      <c r="BC267" s="70" t="s">
        <v>1090</v>
      </c>
      <c r="BD267" s="101" t="s">
        <v>1026</v>
      </c>
      <c r="BE267" s="70">
        <v>0</v>
      </c>
      <c r="BF267" s="113"/>
      <c r="BG267" s="113"/>
    </row>
    <row r="268" spans="1:59" ht="15.75" hidden="1" customHeight="1">
      <c r="A268" s="113"/>
      <c r="B268" s="60">
        <v>5</v>
      </c>
      <c r="C268" s="124" t="s">
        <v>1092</v>
      </c>
      <c r="D268" s="66" t="s">
        <v>1093</v>
      </c>
      <c r="E268" s="67" t="s">
        <v>1094</v>
      </c>
      <c r="F268" s="68" t="s">
        <v>1095</v>
      </c>
      <c r="G268" s="67" t="s">
        <v>31</v>
      </c>
      <c r="H268" s="92" t="s">
        <v>602</v>
      </c>
      <c r="I268" s="70" t="s">
        <v>1096</v>
      </c>
      <c r="J268" s="169"/>
      <c r="K268" s="169"/>
      <c r="L268" s="169"/>
      <c r="M268" s="169"/>
      <c r="N268" s="125">
        <v>15</v>
      </c>
      <c r="O268" s="223">
        <v>22</v>
      </c>
      <c r="P268" s="169"/>
      <c r="Q268" s="169"/>
      <c r="R268" s="70" t="s">
        <v>1096</v>
      </c>
      <c r="S268" s="70" t="s">
        <v>1096</v>
      </c>
      <c r="T268" s="70">
        <v>0</v>
      </c>
      <c r="U268" s="70">
        <v>147.375</v>
      </c>
      <c r="V268" s="125">
        <v>9</v>
      </c>
      <c r="W268" s="70" t="s">
        <v>1097</v>
      </c>
      <c r="X268" s="169"/>
      <c r="Y268" s="70" t="s">
        <v>1098</v>
      </c>
      <c r="Z268" s="125"/>
      <c r="AA268" s="125"/>
      <c r="AB268" s="125"/>
      <c r="AC268" s="125"/>
      <c r="AD268" s="125"/>
      <c r="AE268" s="169"/>
      <c r="AF268" s="169"/>
      <c r="AG268" s="169"/>
      <c r="AH268" s="70">
        <v>0</v>
      </c>
      <c r="AI268" s="169"/>
      <c r="AJ268" s="169"/>
      <c r="AK268" s="169"/>
      <c r="AL268" s="70">
        <v>0</v>
      </c>
      <c r="AM268" s="70">
        <v>0</v>
      </c>
      <c r="AN268" s="70" t="s">
        <v>1098</v>
      </c>
      <c r="AO268" s="169"/>
      <c r="AP268" s="70" t="s">
        <v>1098</v>
      </c>
      <c r="AQ268" s="70" t="s">
        <v>1098</v>
      </c>
      <c r="AR268" s="70" t="s">
        <v>1099</v>
      </c>
      <c r="AS268" s="113"/>
      <c r="AT268" s="224"/>
      <c r="AU268" s="125"/>
      <c r="AV268" s="169"/>
      <c r="AW268" s="169"/>
      <c r="AX268" s="169"/>
      <c r="AY268" s="169"/>
      <c r="AZ268" s="169"/>
      <c r="BA268" s="169"/>
      <c r="BB268" s="169"/>
      <c r="BC268" s="169"/>
      <c r="BD268" s="225"/>
      <c r="BE268" s="169"/>
      <c r="BF268" s="113"/>
      <c r="BG268" s="113"/>
    </row>
    <row r="269" spans="1:59" ht="15.75" hidden="1" customHeight="1">
      <c r="A269" s="113"/>
      <c r="B269" s="60">
        <v>6</v>
      </c>
      <c r="C269" s="124" t="s">
        <v>255</v>
      </c>
      <c r="D269" s="66" t="s">
        <v>256</v>
      </c>
      <c r="E269" s="67" t="s">
        <v>57</v>
      </c>
      <c r="F269" s="68" t="s">
        <v>257</v>
      </c>
      <c r="G269" s="67" t="s">
        <v>31</v>
      </c>
      <c r="H269" s="92" t="s">
        <v>450</v>
      </c>
      <c r="I269" s="70" t="s">
        <v>1100</v>
      </c>
      <c r="J269" s="169"/>
      <c r="K269" s="169"/>
      <c r="L269" s="169"/>
      <c r="M269" s="169"/>
      <c r="N269" s="125">
        <v>7</v>
      </c>
      <c r="O269" s="223">
        <v>22</v>
      </c>
      <c r="P269" s="169"/>
      <c r="Q269" s="169"/>
      <c r="R269" s="70" t="s">
        <v>1100</v>
      </c>
      <c r="S269" s="70" t="s">
        <v>1100</v>
      </c>
      <c r="T269" s="70">
        <v>0</v>
      </c>
      <c r="U269" s="70">
        <v>147.375</v>
      </c>
      <c r="V269" s="125">
        <v>3</v>
      </c>
      <c r="W269" s="70">
        <v>442.125</v>
      </c>
      <c r="X269" s="169"/>
      <c r="Y269" s="70" t="s">
        <v>1101</v>
      </c>
      <c r="Z269" s="125"/>
      <c r="AA269" s="125"/>
      <c r="AB269" s="125"/>
      <c r="AC269" s="125"/>
      <c r="AD269" s="125"/>
      <c r="AE269" s="169"/>
      <c r="AF269" s="169"/>
      <c r="AG269" s="169"/>
      <c r="AH269" s="70">
        <v>0</v>
      </c>
      <c r="AI269" s="169"/>
      <c r="AJ269" s="169"/>
      <c r="AK269" s="169"/>
      <c r="AL269" s="70">
        <v>0</v>
      </c>
      <c r="AM269" s="70">
        <v>0</v>
      </c>
      <c r="AN269" s="70" t="s">
        <v>1101</v>
      </c>
      <c r="AO269" s="70">
        <v>0</v>
      </c>
      <c r="AP269" s="70" t="s">
        <v>1101</v>
      </c>
      <c r="AQ269" s="70" t="s">
        <v>1101</v>
      </c>
      <c r="AR269" s="70" t="s">
        <v>1102</v>
      </c>
      <c r="AS269" s="113"/>
      <c r="AT269" s="91" t="s">
        <v>13</v>
      </c>
      <c r="AU269" s="226" t="s">
        <v>10</v>
      </c>
      <c r="AV269" s="227" t="s">
        <v>1100</v>
      </c>
      <c r="AW269" s="227">
        <v>0</v>
      </c>
      <c r="AX269" s="227">
        <v>442.125</v>
      </c>
      <c r="AY269" s="227">
        <v>0</v>
      </c>
      <c r="AZ269" s="227">
        <v>0</v>
      </c>
      <c r="BA269" s="227">
        <v>0</v>
      </c>
      <c r="BB269" s="227">
        <v>0</v>
      </c>
      <c r="BC269" s="227" t="s">
        <v>1101</v>
      </c>
      <c r="BD269" s="228" t="s">
        <v>1026</v>
      </c>
      <c r="BE269" s="227">
        <v>0</v>
      </c>
      <c r="BF269" s="113"/>
      <c r="BG269" s="113"/>
    </row>
    <row r="270" spans="1:59" ht="15.75" hidden="1" customHeight="1">
      <c r="A270" s="113"/>
      <c r="B270" s="60">
        <v>7</v>
      </c>
      <c r="C270" s="124" t="s">
        <v>1103</v>
      </c>
      <c r="D270" s="66" t="s">
        <v>1104</v>
      </c>
      <c r="E270" s="67" t="s">
        <v>1094</v>
      </c>
      <c r="F270" s="68" t="s">
        <v>1105</v>
      </c>
      <c r="G270" s="67" t="s">
        <v>31</v>
      </c>
      <c r="H270" s="92" t="s">
        <v>602</v>
      </c>
      <c r="I270" s="70" t="s">
        <v>1106</v>
      </c>
      <c r="J270" s="169"/>
      <c r="K270" s="169"/>
      <c r="L270" s="169"/>
      <c r="M270" s="169"/>
      <c r="N270" s="125">
        <v>13</v>
      </c>
      <c r="O270" s="223">
        <v>22</v>
      </c>
      <c r="P270" s="169"/>
      <c r="Q270" s="169"/>
      <c r="R270" s="70" t="s">
        <v>1106</v>
      </c>
      <c r="S270" s="70" t="s">
        <v>1106</v>
      </c>
      <c r="T270" s="70">
        <v>0</v>
      </c>
      <c r="U270" s="70">
        <v>147.375</v>
      </c>
      <c r="V270" s="125">
        <v>3</v>
      </c>
      <c r="W270" s="70">
        <v>442.125</v>
      </c>
      <c r="X270" s="169"/>
      <c r="Y270" s="70" t="s">
        <v>1107</v>
      </c>
      <c r="Z270" s="125"/>
      <c r="AA270" s="125"/>
      <c r="AB270" s="125"/>
      <c r="AC270" s="125"/>
      <c r="AD270" s="125"/>
      <c r="AE270" s="169"/>
      <c r="AF270" s="169"/>
      <c r="AG270" s="169"/>
      <c r="AH270" s="70">
        <v>0</v>
      </c>
      <c r="AI270" s="169"/>
      <c r="AJ270" s="169"/>
      <c r="AK270" s="169"/>
      <c r="AL270" s="70">
        <v>0</v>
      </c>
      <c r="AM270" s="70">
        <v>0</v>
      </c>
      <c r="AN270" s="70" t="s">
        <v>1107</v>
      </c>
      <c r="AO270" s="169"/>
      <c r="AP270" s="70" t="s">
        <v>1107</v>
      </c>
      <c r="AQ270" s="70" t="s">
        <v>1107</v>
      </c>
      <c r="AR270" s="70" t="s">
        <v>1108</v>
      </c>
      <c r="AS270" s="113"/>
      <c r="AT270" s="84"/>
      <c r="AU270" s="229"/>
      <c r="AV270" s="158"/>
      <c r="AW270" s="158"/>
      <c r="AX270" s="158"/>
      <c r="AY270" s="158"/>
      <c r="AZ270" s="158"/>
      <c r="BA270" s="158"/>
      <c r="BB270" s="158"/>
      <c r="BC270" s="158"/>
      <c r="BD270" s="230"/>
      <c r="BE270" s="158"/>
      <c r="BF270" s="113"/>
      <c r="BG270" s="113"/>
    </row>
    <row r="271" spans="1:59" ht="15.75" hidden="1" customHeight="1">
      <c r="A271" s="113"/>
      <c r="B271" s="253">
        <v>4</v>
      </c>
      <c r="C271" s="453" t="s">
        <v>258</v>
      </c>
      <c r="D271" s="411"/>
      <c r="E271" s="106"/>
      <c r="F271" s="102"/>
      <c r="G271" s="106"/>
      <c r="H271" s="231"/>
      <c r="I271" s="169"/>
      <c r="J271" s="133">
        <v>0</v>
      </c>
      <c r="K271" s="133">
        <v>0</v>
      </c>
      <c r="L271" s="133">
        <v>0</v>
      </c>
      <c r="M271" s="232"/>
      <c r="N271" s="173">
        <v>62</v>
      </c>
      <c r="O271" s="173">
        <v>154</v>
      </c>
      <c r="P271" s="133">
        <v>0</v>
      </c>
      <c r="Q271" s="232"/>
      <c r="R271" s="133" t="s">
        <v>1109</v>
      </c>
      <c r="S271" s="133" t="s">
        <v>1109</v>
      </c>
      <c r="T271" s="133">
        <v>0</v>
      </c>
      <c r="U271" s="232"/>
      <c r="V271" s="173">
        <v>26</v>
      </c>
      <c r="W271" s="133" t="s">
        <v>1110</v>
      </c>
      <c r="X271" s="133">
        <v>0</v>
      </c>
      <c r="Y271" s="133" t="s">
        <v>1111</v>
      </c>
      <c r="Z271" s="173">
        <v>0</v>
      </c>
      <c r="AA271" s="173">
        <v>0</v>
      </c>
      <c r="AB271" s="173">
        <v>0</v>
      </c>
      <c r="AC271" s="173">
        <v>0</v>
      </c>
      <c r="AD271" s="173">
        <v>0</v>
      </c>
      <c r="AE271" s="133">
        <v>0</v>
      </c>
      <c r="AF271" s="133">
        <v>0</v>
      </c>
      <c r="AG271" s="133">
        <v>0</v>
      </c>
      <c r="AH271" s="133">
        <v>0</v>
      </c>
      <c r="AI271" s="133">
        <v>0</v>
      </c>
      <c r="AJ271" s="133">
        <v>0</v>
      </c>
      <c r="AK271" s="133">
        <v>0</v>
      </c>
      <c r="AL271" s="133">
        <v>0</v>
      </c>
      <c r="AM271" s="133">
        <v>0</v>
      </c>
      <c r="AN271" s="133" t="s">
        <v>1111</v>
      </c>
      <c r="AO271" s="133">
        <v>0</v>
      </c>
      <c r="AP271" s="133" t="s">
        <v>1111</v>
      </c>
      <c r="AQ271" s="133" t="s">
        <v>1111</v>
      </c>
      <c r="AR271" s="133" t="s">
        <v>1112</v>
      </c>
      <c r="AS271" s="113"/>
      <c r="AT271" s="113"/>
      <c r="AU271" s="141"/>
      <c r="AV271" s="141"/>
      <c r="AW271" s="118"/>
      <c r="AX271" s="141"/>
      <c r="AY271" s="141"/>
      <c r="AZ271" s="141"/>
      <c r="BA271" s="141"/>
      <c r="BB271" s="141"/>
      <c r="BC271" s="141"/>
      <c r="BD271" s="144"/>
      <c r="BE271" s="141"/>
      <c r="BF271" s="142"/>
      <c r="BG271" s="142"/>
    </row>
    <row r="272" spans="1:59" ht="15.75" hidden="1" customHeight="1">
      <c r="A272" s="113"/>
      <c r="B272" s="117"/>
      <c r="C272" s="116"/>
      <c r="D272" s="117"/>
      <c r="E272" s="117"/>
      <c r="F272" s="116"/>
      <c r="G272" s="117"/>
      <c r="H272" s="142"/>
      <c r="I272" s="219" t="s">
        <v>1048</v>
      </c>
      <c r="J272" s="141"/>
      <c r="K272" s="141"/>
      <c r="L272" s="141"/>
      <c r="M272" s="141"/>
      <c r="N272" s="118" t="s">
        <v>1113</v>
      </c>
      <c r="O272" s="118"/>
      <c r="P272" s="141"/>
      <c r="Q272" s="141"/>
      <c r="R272" s="141"/>
      <c r="S272" s="141"/>
      <c r="T272" s="141"/>
      <c r="U272" s="141"/>
      <c r="V272" s="118"/>
      <c r="W272" s="141"/>
      <c r="X272" s="141"/>
      <c r="Y272" s="141"/>
      <c r="Z272" s="118"/>
      <c r="AA272" s="118"/>
      <c r="AB272" s="118"/>
      <c r="AC272" s="118"/>
      <c r="AD272" s="118"/>
      <c r="AE272" s="141"/>
      <c r="AF272" s="141"/>
      <c r="AG272" s="141"/>
      <c r="AH272" s="141"/>
      <c r="AI272" s="141"/>
      <c r="AJ272" s="141"/>
      <c r="AK272" s="141"/>
      <c r="AL272" s="141"/>
      <c r="AM272" s="141"/>
      <c r="AN272" s="141"/>
      <c r="AO272" s="141"/>
      <c r="AP272" s="141"/>
      <c r="AQ272" s="141"/>
      <c r="AR272" s="141"/>
      <c r="AS272" s="113"/>
      <c r="AT272" s="113"/>
      <c r="AU272" s="141"/>
      <c r="AV272" s="141"/>
      <c r="AW272" s="118"/>
      <c r="AX272" s="141"/>
      <c r="AY272" s="141"/>
      <c r="AZ272" s="141"/>
      <c r="BA272" s="141"/>
      <c r="BB272" s="141"/>
      <c r="BC272" s="141"/>
      <c r="BD272" s="144"/>
      <c r="BE272" s="141"/>
      <c r="BF272" s="142"/>
      <c r="BG272" s="142"/>
    </row>
    <row r="273" spans="1:59" ht="15.75" hidden="1" customHeight="1">
      <c r="A273" s="113"/>
      <c r="B273" s="117"/>
      <c r="C273" s="233"/>
      <c r="D273" s="117"/>
      <c r="E273" s="117"/>
      <c r="F273" s="116"/>
      <c r="G273" s="117"/>
      <c r="H273" s="142"/>
      <c r="I273" s="141"/>
      <c r="J273" s="141"/>
      <c r="K273" s="141"/>
      <c r="L273" s="141"/>
      <c r="M273" s="141"/>
      <c r="N273" s="118"/>
      <c r="O273" s="118"/>
      <c r="P273" s="141"/>
      <c r="Q273" s="141"/>
      <c r="R273" s="141"/>
      <c r="S273" s="141"/>
      <c r="T273" s="141"/>
      <c r="U273" s="141"/>
      <c r="V273" s="118"/>
      <c r="W273" s="141"/>
      <c r="X273" s="141"/>
      <c r="Y273" s="141"/>
      <c r="Z273" s="118"/>
      <c r="AA273" s="118"/>
      <c r="AB273" s="118"/>
      <c r="AC273" s="118"/>
      <c r="AD273" s="118"/>
      <c r="AE273" s="141"/>
      <c r="AF273" s="141"/>
      <c r="AG273" s="141"/>
      <c r="AH273" s="141"/>
      <c r="AI273" s="141"/>
      <c r="AJ273" s="141"/>
      <c r="AK273" s="141"/>
      <c r="AL273" s="141"/>
      <c r="AM273" s="141"/>
      <c r="AN273" s="141"/>
      <c r="AO273" s="141"/>
      <c r="AP273" s="141"/>
      <c r="AQ273" s="141"/>
      <c r="AR273" s="141"/>
      <c r="AS273" s="113"/>
      <c r="AT273" s="113"/>
      <c r="AU273" s="141"/>
      <c r="AV273" s="141"/>
      <c r="AW273" s="118"/>
      <c r="AX273" s="141"/>
      <c r="AY273" s="141"/>
      <c r="AZ273" s="141"/>
      <c r="BA273" s="141"/>
      <c r="BB273" s="141"/>
      <c r="BC273" s="141"/>
      <c r="BD273" s="144"/>
      <c r="BE273" s="141"/>
      <c r="BF273" s="142"/>
      <c r="BG273" s="142"/>
    </row>
    <row r="274" spans="1:59" ht="15.75" customHeight="1">
      <c r="A274" s="113"/>
      <c r="B274" s="440" t="s">
        <v>20</v>
      </c>
      <c r="C274" s="452" t="s">
        <v>21</v>
      </c>
      <c r="D274" s="440" t="s">
        <v>22</v>
      </c>
      <c r="E274" s="456" t="s">
        <v>23</v>
      </c>
      <c r="F274" s="411"/>
      <c r="G274" s="440" t="s">
        <v>24</v>
      </c>
      <c r="H274" s="441" t="s">
        <v>4</v>
      </c>
      <c r="I274" s="445" t="s">
        <v>259</v>
      </c>
      <c r="J274" s="410"/>
      <c r="K274" s="410"/>
      <c r="L274" s="410"/>
      <c r="M274" s="410"/>
      <c r="N274" s="410"/>
      <c r="O274" s="410"/>
      <c r="P274" s="410"/>
      <c r="Q274" s="410"/>
      <c r="R274" s="410"/>
      <c r="S274" s="410"/>
      <c r="T274" s="410"/>
      <c r="U274" s="410"/>
      <c r="V274" s="410"/>
      <c r="W274" s="410"/>
      <c r="X274" s="410"/>
      <c r="Y274" s="411"/>
      <c r="Z274" s="445" t="s">
        <v>260</v>
      </c>
      <c r="AA274" s="410"/>
      <c r="AB274" s="410"/>
      <c r="AC274" s="410"/>
      <c r="AD274" s="410"/>
      <c r="AE274" s="410"/>
      <c r="AF274" s="410"/>
      <c r="AG274" s="410"/>
      <c r="AH274" s="410"/>
      <c r="AI274" s="410"/>
      <c r="AJ274" s="410"/>
      <c r="AK274" s="410"/>
      <c r="AL274" s="410"/>
      <c r="AM274" s="411"/>
      <c r="AN274" s="433" t="s">
        <v>261</v>
      </c>
      <c r="AO274" s="433" t="s">
        <v>262</v>
      </c>
      <c r="AP274" s="433" t="s">
        <v>1022</v>
      </c>
      <c r="AQ274" s="433" t="s">
        <v>1023</v>
      </c>
      <c r="AR274" s="434" t="s">
        <v>1024</v>
      </c>
      <c r="AS274" s="113"/>
      <c r="AT274" s="449" t="s">
        <v>262</v>
      </c>
      <c r="AU274" s="410"/>
      <c r="AV274" s="410"/>
      <c r="AW274" s="410"/>
      <c r="AX274" s="410"/>
      <c r="AY274" s="410"/>
      <c r="AZ274" s="410"/>
      <c r="BA274" s="410"/>
      <c r="BB274" s="410"/>
      <c r="BC274" s="410"/>
      <c r="BD274" s="410"/>
      <c r="BE274" s="411"/>
      <c r="BF274" s="142"/>
      <c r="BG274" s="142"/>
    </row>
    <row r="275" spans="1:59" ht="15.75" customHeight="1">
      <c r="A275" s="113"/>
      <c r="B275" s="413"/>
      <c r="C275" s="413"/>
      <c r="D275" s="413"/>
      <c r="E275" s="448" t="s">
        <v>26</v>
      </c>
      <c r="F275" s="457" t="s">
        <v>27</v>
      </c>
      <c r="G275" s="413"/>
      <c r="H275" s="413"/>
      <c r="I275" s="447" t="s">
        <v>1025</v>
      </c>
      <c r="J275" s="451" t="s">
        <v>266</v>
      </c>
      <c r="K275" s="411"/>
      <c r="L275" s="445" t="s">
        <v>267</v>
      </c>
      <c r="M275" s="410"/>
      <c r="N275" s="410"/>
      <c r="O275" s="410"/>
      <c r="P275" s="411"/>
      <c r="Q275" s="221"/>
      <c r="R275" s="446" t="s">
        <v>268</v>
      </c>
      <c r="S275" s="410"/>
      <c r="T275" s="411"/>
      <c r="U275" s="445" t="s">
        <v>269</v>
      </c>
      <c r="V275" s="410"/>
      <c r="W275" s="411"/>
      <c r="X275" s="450" t="s">
        <v>270</v>
      </c>
      <c r="Y275" s="447" t="s">
        <v>271</v>
      </c>
      <c r="Z275" s="445" t="s">
        <v>272</v>
      </c>
      <c r="AA275" s="410"/>
      <c r="AB275" s="410"/>
      <c r="AC275" s="410"/>
      <c r="AD275" s="410"/>
      <c r="AE275" s="411"/>
      <c r="AF275" s="451" t="s">
        <v>266</v>
      </c>
      <c r="AG275" s="411"/>
      <c r="AH275" s="450" t="s">
        <v>273</v>
      </c>
      <c r="AI275" s="446" t="s">
        <v>274</v>
      </c>
      <c r="AJ275" s="410"/>
      <c r="AK275" s="411"/>
      <c r="AL275" s="450" t="s">
        <v>275</v>
      </c>
      <c r="AM275" s="447" t="s">
        <v>271</v>
      </c>
      <c r="AN275" s="413"/>
      <c r="AO275" s="413"/>
      <c r="AP275" s="413"/>
      <c r="AQ275" s="413"/>
      <c r="AR275" s="413"/>
      <c r="AS275" s="113"/>
      <c r="AT275" s="448" t="s">
        <v>4</v>
      </c>
      <c r="AU275" s="447" t="s">
        <v>276</v>
      </c>
      <c r="AV275" s="447" t="s">
        <v>277</v>
      </c>
      <c r="AW275" s="447" t="s">
        <v>278</v>
      </c>
      <c r="AX275" s="447" t="s">
        <v>269</v>
      </c>
      <c r="AY275" s="447" t="s">
        <v>270</v>
      </c>
      <c r="AZ275" s="445" t="s">
        <v>266</v>
      </c>
      <c r="BA275" s="410"/>
      <c r="BB275" s="411"/>
      <c r="BC275" s="447" t="s">
        <v>261</v>
      </c>
      <c r="BD275" s="448" t="s">
        <v>279</v>
      </c>
      <c r="BE275" s="447" t="s">
        <v>262</v>
      </c>
      <c r="BF275" s="142"/>
      <c r="BG275" s="142"/>
    </row>
    <row r="276" spans="1:59" ht="15.75" customHeight="1">
      <c r="A276" s="113"/>
      <c r="B276" s="414"/>
      <c r="C276" s="414"/>
      <c r="D276" s="414"/>
      <c r="E276" s="414"/>
      <c r="F276" s="414"/>
      <c r="G276" s="414"/>
      <c r="H276" s="414"/>
      <c r="I276" s="414"/>
      <c r="J276" s="172" t="s">
        <v>280</v>
      </c>
      <c r="K276" s="172" t="s">
        <v>281</v>
      </c>
      <c r="L276" s="173" t="s">
        <v>282</v>
      </c>
      <c r="M276" s="173" t="s">
        <v>283</v>
      </c>
      <c r="N276" s="172" t="s">
        <v>284</v>
      </c>
      <c r="O276" s="172" t="s">
        <v>285</v>
      </c>
      <c r="P276" s="173" t="s">
        <v>286</v>
      </c>
      <c r="Q276" s="165"/>
      <c r="R276" s="165" t="s">
        <v>282</v>
      </c>
      <c r="S276" s="165" t="s">
        <v>287</v>
      </c>
      <c r="T276" s="165" t="s">
        <v>288</v>
      </c>
      <c r="U276" s="173" t="s">
        <v>289</v>
      </c>
      <c r="V276" s="172" t="s">
        <v>290</v>
      </c>
      <c r="W276" s="173" t="s">
        <v>286</v>
      </c>
      <c r="X276" s="414"/>
      <c r="Y276" s="414"/>
      <c r="Z276" s="172" t="s">
        <v>291</v>
      </c>
      <c r="AA276" s="172" t="s">
        <v>292</v>
      </c>
      <c r="AB276" s="172" t="s">
        <v>293</v>
      </c>
      <c r="AC276" s="172" t="s">
        <v>280</v>
      </c>
      <c r="AD276" s="172" t="s">
        <v>294</v>
      </c>
      <c r="AE276" s="173" t="s">
        <v>286</v>
      </c>
      <c r="AF276" s="172" t="s">
        <v>280</v>
      </c>
      <c r="AG276" s="172" t="s">
        <v>281</v>
      </c>
      <c r="AH276" s="414"/>
      <c r="AI276" s="165" t="s">
        <v>295</v>
      </c>
      <c r="AJ276" s="165" t="s">
        <v>296</v>
      </c>
      <c r="AK276" s="165" t="s">
        <v>297</v>
      </c>
      <c r="AL276" s="414"/>
      <c r="AM276" s="414"/>
      <c r="AN276" s="414"/>
      <c r="AO276" s="414"/>
      <c r="AP276" s="414"/>
      <c r="AQ276" s="414"/>
      <c r="AR276" s="414"/>
      <c r="AS276" s="113"/>
      <c r="AT276" s="414"/>
      <c r="AU276" s="414"/>
      <c r="AV276" s="414"/>
      <c r="AW276" s="414"/>
      <c r="AX276" s="414"/>
      <c r="AY276" s="414"/>
      <c r="AZ276" s="173" t="s">
        <v>298</v>
      </c>
      <c r="BA276" s="173" t="s">
        <v>299</v>
      </c>
      <c r="BB276" s="173" t="s">
        <v>281</v>
      </c>
      <c r="BC276" s="414"/>
      <c r="BD276" s="414"/>
      <c r="BE276" s="414"/>
      <c r="BF276" s="142"/>
      <c r="BG276" s="142"/>
    </row>
    <row r="277" spans="1:59" ht="15.75" customHeight="1">
      <c r="A277" s="113"/>
      <c r="B277" s="224">
        <v>1</v>
      </c>
      <c r="C277" s="234" t="s">
        <v>1019</v>
      </c>
      <c r="D277" s="92" t="s">
        <v>1114</v>
      </c>
      <c r="E277" s="101" t="s">
        <v>57</v>
      </c>
      <c r="F277" s="99" t="s">
        <v>1020</v>
      </c>
      <c r="G277" s="101" t="s">
        <v>31</v>
      </c>
      <c r="H277" s="92" t="s">
        <v>32</v>
      </c>
      <c r="I277" s="312">
        <f t="shared" ref="I277:I279" si="275">IF(H277="FULL - EXISTING",5729876,5729876/O277*N277)</f>
        <v>5729876</v>
      </c>
      <c r="J277" s="315">
        <v>316.20499999999998</v>
      </c>
      <c r="K277" s="315">
        <v>202.69499999999999</v>
      </c>
      <c r="L277" s="169"/>
      <c r="M277" s="169"/>
      <c r="N277" s="125">
        <f ca="1">IFERROR(__xludf.DUMMYFUNCTION("VLOOKUP(C277,IMPORTRANGE(""https://docs.google.com/spreadsheets/d/1ZLN5T8y7NSBIP1rvSj6TTUR_vTQbRwUKSt8zZJ_EfE4/edit?gid=857914639#gid=857914639"",""SCHEDULE_KPM52_JAN26""),35,0)"),21)</f>
        <v>21</v>
      </c>
      <c r="O277" s="125">
        <f ca="1">IFERROR(__xludf.DUMMYFUNCTION("VLOOKUP(C277,IMPORTRANGE(""https://docs.google.com/spreadsheets/d/1ZLN5T8y7NSBIP1rvSj6TTUR_vTQbRwUKSt8zZJ_EfE4/edit?gid=857914639#gid=857914639"",""SCHEDULE_KPM52_JAN26""),34,0)"),21)</f>
        <v>21</v>
      </c>
      <c r="P277" s="70">
        <v>0</v>
      </c>
      <c r="Q277" s="169"/>
      <c r="R277" s="312">
        <f t="shared" ref="R277:R279" si="276">I277+J277+K277+L277</f>
        <v>5730394.9000000004</v>
      </c>
      <c r="S277" s="312">
        <f t="shared" ref="S277:S279" si="277">I277+J277+K277+P277</f>
        <v>5730394.9000000004</v>
      </c>
      <c r="T277" s="70">
        <f t="shared" ref="T277:T279" si="278">IF(R277-S277&lt;0,R277-S277,0)</f>
        <v>0</v>
      </c>
      <c r="U277" s="312">
        <v>147375</v>
      </c>
      <c r="V277" s="125">
        <f ca="1">IFERROR(__xludf.DUMMYFUNCTION("VLOOKUP(C277,IMPORTRANGE(""https://https://https://docs.google.com/spreadsheets/d/1Yr1FAmXgLLqQ-3kIS51oZtMz3yMaX2Ds6wSFcRcBQls/edit?gid=1881310774#gid=1881310774"",""SCHEDULE_KPM52_DES25""),36,0)"),0)</f>
        <v>0</v>
      </c>
      <c r="W277" s="70">
        <f t="shared" ref="W277:W279" ca="1" si="279">U277*V277</f>
        <v>0</v>
      </c>
      <c r="X277" s="70">
        <v>0</v>
      </c>
      <c r="Y277" s="312">
        <f t="shared" ref="Y277:Y279" ca="1" si="280">I277+J277+K277+P277+W277+X277</f>
        <v>5730394.9000000004</v>
      </c>
      <c r="Z277" s="125">
        <f ca="1">IFERROR(__xludf.DUMMYFUNCTION("VLOOKUP(C277,IMPORTRANGE(""https://docs.google.com/spreadsheets/d/1ZLN5T8y7NSBIP1rvSj6TTUR_vTQbRwUKSt8zZJ_EfE4/edit?gid=857914639#gid=857914639"",""SCHEDULE_KPM52_JAN26""),38,0)+VLOOKUP(C277,IMPORTRANGE(""https://docs.google.com/spreadsheets/d/1ZLN5T8y7NS"&amp;"BIP1rvSj6TTUR_vTQbRwUKSt8zZJ_EfE4/edit?gid=857914639#gid=857914639"",""SCHEDULE_KPM52_JAN26""),39,0)"),0)</f>
        <v>0</v>
      </c>
      <c r="AA277" s="125">
        <f ca="1">IFERROR(__xludf.DUMMYFUNCTION("VLOOKUP(C277,IMPORTRANGE(""https://docs.google.com/spreadsheets/d/1ZLN5T8y7NSBIP1rvSj6TTUR_vTQbRwUKSt8zZJ_EfE4/edit?gid=857914639#gid=857914639"",""SCHEDULE_KPM52_JAN26""),40,0)"),0)</f>
        <v>0</v>
      </c>
      <c r="AB277" s="125">
        <f ca="1">IFERROR(__xludf.DUMMYFUNCTION("VLOOKUP(C277,IMPORTRANGE(""https://docs.google.com/spreadsheets/d/1ZLN5T8y7NSBIP1rvSj6TTUR_vTQbRwUKSt8zZJ_EfE4/edit?gid=857914639#gid=857914639"",""SCHEDULE_KPM52_JAN26""),41,0)"),0)</f>
        <v>0</v>
      </c>
      <c r="AC277" s="125">
        <f ca="1">IFERROR(__xludf.DUMMYFUNCTION("VLOOKUP(C277,IMPORTRANGE(""https://docs.google.com/spreadsheets/d/1ZLN5T8y7NSBIP1rvSj6TTUR_vTQbRwUKSt8zZJ_EfE4/edit?gid=857914639#gid=857914639"",""SCHEDULE_KPM52_JAN26""),42,0)"),0)</f>
        <v>0</v>
      </c>
      <c r="AD277" s="125">
        <f ca="1">IFERROR(__xludf.DUMMYFUNCTION("VLOOKUP(C277,IMPORTRANGE(""https://docs.google.com/spreadsheets/d/1ZLN5T8y7NSBIP1rvSj6TTUR_vTQbRwUKSt8zZJ_EfE4/edit?gid=857914639#gid=857914639"",""SCHEDULE_KPM52_JAN26""),43,0)"),0)</f>
        <v>0</v>
      </c>
      <c r="AE277" s="70">
        <v>0</v>
      </c>
      <c r="AF277" s="313">
        <v>468468</v>
      </c>
      <c r="AG277" s="313">
        <v>253500</v>
      </c>
      <c r="AH277" s="70">
        <v>0</v>
      </c>
      <c r="AI277" s="169"/>
      <c r="AJ277" s="169"/>
      <c r="AK277" s="169"/>
      <c r="AL277" s="70">
        <v>0</v>
      </c>
      <c r="AM277" s="312">
        <f t="shared" ref="AM277:AM279" si="281">AE277+AF277+AG277+AH277+AJ277+AL277</f>
        <v>721968</v>
      </c>
      <c r="AN277" s="326">
        <f t="shared" ref="AN277:AN279" ca="1" si="282">Y277-AM277</f>
        <v>5008426.9000000004</v>
      </c>
      <c r="AO277" s="70">
        <f t="shared" ref="AO277:AO279" ca="1" si="283">BE277</f>
        <v>0</v>
      </c>
      <c r="AP277" s="312">
        <f t="shared" ref="AP277:AP279" ca="1" si="284">AN277-AO277</f>
        <v>5008426.9000000004</v>
      </c>
      <c r="AQ277" s="312">
        <f t="shared" ref="AQ277:AQ279" ca="1" si="285">AP277-X277</f>
        <v>5008426.9000000004</v>
      </c>
      <c r="AR277" s="312">
        <f t="shared" ref="AR277:AR279" ca="1" si="286">IF(AQ277&gt;0,ROUND(AQ277,-2),0)</f>
        <v>5008400</v>
      </c>
      <c r="AS277" s="113"/>
      <c r="AT277" s="224" t="s">
        <v>17</v>
      </c>
      <c r="AU277" s="125" t="s">
        <v>15</v>
      </c>
      <c r="AV277" s="70">
        <f t="shared" ref="AV277:AV279" si="287">I277</f>
        <v>5729876</v>
      </c>
      <c r="AW277" s="70">
        <f t="shared" ref="AW277:AW279" si="288">P277</f>
        <v>0</v>
      </c>
      <c r="AX277" s="70">
        <f t="shared" ref="AX277:AX279" ca="1" si="289">W277</f>
        <v>0</v>
      </c>
      <c r="AY277" s="70">
        <v>0</v>
      </c>
      <c r="AZ277" s="70">
        <f t="shared" ref="AZ277:AZ279" si="290">IF(J277=0,0,AV277*0.24%)</f>
        <v>13751.702399999998</v>
      </c>
      <c r="BA277" s="70">
        <f t="shared" ref="BA277:BA279" si="291">IF(J277=0,0,AV277*0.3%)</f>
        <v>17189.628000000001</v>
      </c>
      <c r="BB277" s="70">
        <f t="shared" ref="BB277:BB279" si="292">IF(K277=0,0,AV277*4%)</f>
        <v>229195.04</v>
      </c>
      <c r="BC277" s="70">
        <f t="shared" ref="BC277:BC279" ca="1" si="293">SUM(AV277:BB277)</f>
        <v>5990012.3703999994</v>
      </c>
      <c r="BD277" s="225">
        <f ca="1">IF(AU277="C",VLOOKUP(BC277,TER!$J$4:$L$50,3,TRUE),IF(AU277="B",VLOOKUP(BC277,TER!$F$4:$H$50,3,TRUE),IF(AU277="A",VLOOKUP(BC277,TER!$B$4:$D$50,3,TRUE),"ERROR")))</f>
        <v>0</v>
      </c>
      <c r="BE277" s="70">
        <f t="shared" ref="BE277:BE279" ca="1" si="294">BC277*BD277</f>
        <v>0</v>
      </c>
      <c r="BF277" s="113"/>
      <c r="BG277" s="113"/>
    </row>
    <row r="278" spans="1:59" ht="15.75" customHeight="1">
      <c r="A278" s="113"/>
      <c r="B278" s="224">
        <v>2</v>
      </c>
      <c r="C278" s="209" t="s">
        <v>252</v>
      </c>
      <c r="D278" s="92" t="s">
        <v>1115</v>
      </c>
      <c r="E278" s="101" t="s">
        <v>57</v>
      </c>
      <c r="F278" s="99" t="s">
        <v>1021</v>
      </c>
      <c r="G278" s="101" t="s">
        <v>31</v>
      </c>
      <c r="H278" s="92" t="s">
        <v>32</v>
      </c>
      <c r="I278" s="312">
        <f t="shared" si="275"/>
        <v>5729876</v>
      </c>
      <c r="J278" s="315">
        <v>316.20499999999998</v>
      </c>
      <c r="K278" s="315">
        <v>202.69499999999999</v>
      </c>
      <c r="L278" s="169"/>
      <c r="M278" s="169"/>
      <c r="N278" s="125">
        <f ca="1">IFERROR(__xludf.DUMMYFUNCTION("VLOOKUP(C278,IMPORTRANGE(""https://docs.google.com/spreadsheets/d/1ZLN5T8y7NSBIP1rvSj6TTUR_vTQbRwUKSt8zZJ_EfE4/edit?gid=857914639#gid=857914639"",""SCHEDULE_KPM52_JAN26""),35,0)"),21)</f>
        <v>21</v>
      </c>
      <c r="O278" s="125">
        <f ca="1">IFERROR(__xludf.DUMMYFUNCTION("VLOOKUP(C278,IMPORTRANGE(""https://docs.google.com/spreadsheets/d/1ZLN5T8y7NSBIP1rvSj6TTUR_vTQbRwUKSt8zZJ_EfE4/edit?gid=857914639#gid=857914639"",""SCHEDULE_KPM52_JAN26""),34,0)"),21)</f>
        <v>21</v>
      </c>
      <c r="P278" s="70">
        <v>0</v>
      </c>
      <c r="Q278" s="169"/>
      <c r="R278" s="312">
        <f t="shared" si="276"/>
        <v>5730394.9000000004</v>
      </c>
      <c r="S278" s="312">
        <f t="shared" si="277"/>
        <v>5730394.9000000004</v>
      </c>
      <c r="T278" s="70">
        <f t="shared" si="278"/>
        <v>0</v>
      </c>
      <c r="U278" s="312">
        <v>147375</v>
      </c>
      <c r="V278" s="125">
        <f ca="1">IFERROR(__xludf.DUMMYFUNCTION("VLOOKUP(C278,IMPORTRANGE(""https://https://https://docs.google.com/spreadsheets/d/1Yr1FAmXgLLqQ-3kIS51oZtMz3yMaX2Ds6wSFcRcBQls/edit?gid=1881310774#gid=1881310774"",""SCHEDULE_KPM52_DES25""),36,0)"),0)</f>
        <v>0</v>
      </c>
      <c r="W278" s="70">
        <f t="shared" ca="1" si="279"/>
        <v>0</v>
      </c>
      <c r="X278" s="70">
        <v>0</v>
      </c>
      <c r="Y278" s="312">
        <f t="shared" ca="1" si="280"/>
        <v>5730394.9000000004</v>
      </c>
      <c r="Z278" s="125">
        <f ca="1">IFERROR(__xludf.DUMMYFUNCTION("VLOOKUP(C278,IMPORTRANGE(""https://docs.google.com/spreadsheets/d/1ZLN5T8y7NSBIP1rvSj6TTUR_vTQbRwUKSt8zZJ_EfE4/edit?gid=857914639#gid=857914639"",""SCHEDULE_KPM52_JAN26""),38,0)+VLOOKUP(C278,IMPORTRANGE(""https://docs.google.com/spreadsheets/d/1ZLN5T8y7NS"&amp;"BIP1rvSj6TTUR_vTQbRwUKSt8zZJ_EfE4/edit?gid=857914639#gid=857914639"",""SCHEDULE_KPM52_JAN26""),39,0)"),0)</f>
        <v>0</v>
      </c>
      <c r="AA278" s="125">
        <f ca="1">IFERROR(__xludf.DUMMYFUNCTION("VLOOKUP(C278,IMPORTRANGE(""https://docs.google.com/spreadsheets/d/1ZLN5T8y7NSBIP1rvSj6TTUR_vTQbRwUKSt8zZJ_EfE4/edit?gid=857914639#gid=857914639"",""SCHEDULE_KPM52_JAN26""),40,0)"),0)</f>
        <v>0</v>
      </c>
      <c r="AB278" s="125">
        <f ca="1">IFERROR(__xludf.DUMMYFUNCTION("VLOOKUP(C278,IMPORTRANGE(""https://docs.google.com/spreadsheets/d/1ZLN5T8y7NSBIP1rvSj6TTUR_vTQbRwUKSt8zZJ_EfE4/edit?gid=857914639#gid=857914639"",""SCHEDULE_KPM52_JAN26""),41,0)"),0)</f>
        <v>0</v>
      </c>
      <c r="AC278" s="125">
        <f ca="1">IFERROR(__xludf.DUMMYFUNCTION("VLOOKUP(C278,IMPORTRANGE(""https://docs.google.com/spreadsheets/d/1ZLN5T8y7NSBIP1rvSj6TTUR_vTQbRwUKSt8zZJ_EfE4/edit?gid=857914639#gid=857914639"",""SCHEDULE_KPM52_JAN26""),42,0)"),0)</f>
        <v>0</v>
      </c>
      <c r="AD278" s="125">
        <f ca="1">IFERROR(__xludf.DUMMYFUNCTION("VLOOKUP(C278,IMPORTRANGE(""https://docs.google.com/spreadsheets/d/1ZLN5T8y7NSBIP1rvSj6TTUR_vTQbRwUKSt8zZJ_EfE4/edit?gid=857914639#gid=857914639"",""SCHEDULE_KPM52_JAN26""),43,0)"),0)</f>
        <v>0</v>
      </c>
      <c r="AE278" s="70">
        <v>0</v>
      </c>
      <c r="AF278" s="313">
        <v>468468</v>
      </c>
      <c r="AG278" s="313">
        <v>253500</v>
      </c>
      <c r="AH278" s="70">
        <v>0</v>
      </c>
      <c r="AI278" s="169"/>
      <c r="AJ278" s="169"/>
      <c r="AK278" s="169"/>
      <c r="AL278" s="70">
        <v>0</v>
      </c>
      <c r="AM278" s="312">
        <f t="shared" si="281"/>
        <v>721968</v>
      </c>
      <c r="AN278" s="326">
        <f t="shared" ca="1" si="282"/>
        <v>5008426.9000000004</v>
      </c>
      <c r="AO278" s="70">
        <f t="shared" ca="1" si="283"/>
        <v>44925.092777999991</v>
      </c>
      <c r="AP278" s="312">
        <f t="shared" ca="1" si="284"/>
        <v>4963501.8072220003</v>
      </c>
      <c r="AQ278" s="312">
        <f t="shared" ca="1" si="285"/>
        <v>4963501.8072220003</v>
      </c>
      <c r="AR278" s="312">
        <f t="shared" ca="1" si="286"/>
        <v>4963500</v>
      </c>
      <c r="AS278" s="113"/>
      <c r="AT278" s="224" t="s">
        <v>13</v>
      </c>
      <c r="AU278" s="125" t="s">
        <v>10</v>
      </c>
      <c r="AV278" s="70">
        <f t="shared" si="287"/>
        <v>5729876</v>
      </c>
      <c r="AW278" s="70">
        <f t="shared" si="288"/>
        <v>0</v>
      </c>
      <c r="AX278" s="70">
        <f t="shared" ca="1" si="289"/>
        <v>0</v>
      </c>
      <c r="AY278" s="70">
        <v>0</v>
      </c>
      <c r="AZ278" s="70">
        <f t="shared" si="290"/>
        <v>13751.702399999998</v>
      </c>
      <c r="BA278" s="70">
        <f t="shared" si="291"/>
        <v>17189.628000000001</v>
      </c>
      <c r="BB278" s="70">
        <f t="shared" si="292"/>
        <v>229195.04</v>
      </c>
      <c r="BC278" s="70">
        <f t="shared" ca="1" si="293"/>
        <v>5990012.3703999994</v>
      </c>
      <c r="BD278" s="225">
        <f ca="1">IF(AU278="C",VLOOKUP(BC278,TER!$J$4:$L$50,3,TRUE),IF(AU278="B",VLOOKUP(BC278,TER!$F$4:$H$50,3,TRUE),IF(AU278="A",VLOOKUP(BC278,TER!$B$4:$D$50,3,TRUE),"ERROR")))</f>
        <v>7.4999999999999997E-3</v>
      </c>
      <c r="BE278" s="70">
        <f t="shared" ca="1" si="294"/>
        <v>44925.092777999991</v>
      </c>
      <c r="BF278" s="72"/>
      <c r="BG278" s="72"/>
    </row>
    <row r="279" spans="1:59" ht="15.75" customHeight="1">
      <c r="A279" s="113"/>
      <c r="B279" s="224">
        <v>3</v>
      </c>
      <c r="C279" s="209" t="s">
        <v>975</v>
      </c>
      <c r="D279" s="92" t="s">
        <v>1116</v>
      </c>
      <c r="E279" s="101" t="s">
        <v>57</v>
      </c>
      <c r="F279" s="99" t="s">
        <v>1018</v>
      </c>
      <c r="G279" s="99" t="s">
        <v>31</v>
      </c>
      <c r="H279" s="92" t="s">
        <v>32</v>
      </c>
      <c r="I279" s="312">
        <f t="shared" si="275"/>
        <v>5729876</v>
      </c>
      <c r="J279" s="315">
        <v>316.20499999999998</v>
      </c>
      <c r="K279" s="315">
        <v>202.69499999999999</v>
      </c>
      <c r="L279" s="92"/>
      <c r="M279" s="169"/>
      <c r="N279" s="125">
        <f ca="1">IFERROR(__xludf.DUMMYFUNCTION("VLOOKUP(C279,IMPORTRANGE(""https://docs.google.com/spreadsheets/d/1ZLN5T8y7NSBIP1rvSj6TTUR_vTQbRwUKSt8zZJ_EfE4/edit?gid=857914639#gid=857914639"",""SCHEDULE_KPM52_JAN26""),35,0)"),20)</f>
        <v>20</v>
      </c>
      <c r="O279" s="125">
        <f ca="1">IFERROR(__xludf.DUMMYFUNCTION("VLOOKUP(C279,IMPORTRANGE(""https://docs.google.com/spreadsheets/d/1ZLN5T8y7NSBIP1rvSj6TTUR_vTQbRwUKSt8zZJ_EfE4/edit?gid=857914639#gid=857914639"",""SCHEDULE_KPM52_JAN26""),34,0)"),20)</f>
        <v>20</v>
      </c>
      <c r="P279" s="70">
        <v>0</v>
      </c>
      <c r="Q279" s="169"/>
      <c r="R279" s="312">
        <f t="shared" si="276"/>
        <v>5730394.9000000004</v>
      </c>
      <c r="S279" s="312">
        <f t="shared" si="277"/>
        <v>5730394.9000000004</v>
      </c>
      <c r="T279" s="70">
        <f t="shared" si="278"/>
        <v>0</v>
      </c>
      <c r="U279" s="312">
        <v>147375</v>
      </c>
      <c r="V279" s="125">
        <f ca="1">IFERROR(__xludf.DUMMYFUNCTION("VLOOKUP(C279,IMPORTRANGE(""https://https://https://docs.google.com/spreadsheets/d/1Yr1FAmXgLLqQ-3kIS51oZtMz3yMaX2Ds6wSFcRcBQls/edit?gid=1881310774#gid=1881310774"",""SCHEDULE_KPM52_DES25""),36,0)"),0)</f>
        <v>0</v>
      </c>
      <c r="W279" s="70">
        <f t="shared" ca="1" si="279"/>
        <v>0</v>
      </c>
      <c r="X279" s="70">
        <v>0</v>
      </c>
      <c r="Y279" s="312">
        <f t="shared" ca="1" si="280"/>
        <v>5730394.9000000004</v>
      </c>
      <c r="Z279" s="125">
        <f ca="1">IFERROR(__xludf.DUMMYFUNCTION("VLOOKUP(C279,IMPORTRANGE(""https://docs.google.com/spreadsheets/d/1ZLN5T8y7NSBIP1rvSj6TTUR_vTQbRwUKSt8zZJ_EfE4/edit?gid=857914639#gid=857914639"",""SCHEDULE_KPM52_JAN26""),38,0)+VLOOKUP(C279,IMPORTRANGE(""https://docs.google.com/spreadsheets/d/1ZLN5T8y7NS"&amp;"BIP1rvSj6TTUR_vTQbRwUKSt8zZJ_EfE4/edit?gid=857914639#gid=857914639"",""SCHEDULE_KPM52_JAN26""),39,0)"),0)</f>
        <v>0</v>
      </c>
      <c r="AA279" s="125">
        <f ca="1">IFERROR(__xludf.DUMMYFUNCTION("VLOOKUP(C279,IMPORTRANGE(""https://docs.google.com/spreadsheets/d/1ZLN5T8y7NSBIP1rvSj6TTUR_vTQbRwUKSt8zZJ_EfE4/edit?gid=857914639#gid=857914639"",""SCHEDULE_KPM52_JAN26""),40,0)"),0)</f>
        <v>0</v>
      </c>
      <c r="AB279" s="125">
        <f ca="1">IFERROR(__xludf.DUMMYFUNCTION("VLOOKUP(C279,IMPORTRANGE(""https://docs.google.com/spreadsheets/d/1ZLN5T8y7NSBIP1rvSj6TTUR_vTQbRwUKSt8zZJ_EfE4/edit?gid=857914639#gid=857914639"",""SCHEDULE_KPM52_JAN26""),41,0)"),0)</f>
        <v>0</v>
      </c>
      <c r="AC279" s="125">
        <f ca="1">IFERROR(__xludf.DUMMYFUNCTION("VLOOKUP(C279,IMPORTRANGE(""https://docs.google.com/spreadsheets/d/1ZLN5T8y7NSBIP1rvSj6TTUR_vTQbRwUKSt8zZJ_EfE4/edit?gid=857914639#gid=857914639"",""SCHEDULE_KPM52_JAN26""),42,0)"),0)</f>
        <v>0</v>
      </c>
      <c r="AD279" s="125">
        <f ca="1">IFERROR(__xludf.DUMMYFUNCTION("VLOOKUP(C279,IMPORTRANGE(""https://docs.google.com/spreadsheets/d/1ZLN5T8y7NSBIP1rvSj6TTUR_vTQbRwUKSt8zZJ_EfE4/edit?gid=857914639#gid=857914639"",""SCHEDULE_KPM52_JAN26""),43,0)"),0)</f>
        <v>0</v>
      </c>
      <c r="AE279" s="70">
        <v>0</v>
      </c>
      <c r="AF279" s="313">
        <v>468468</v>
      </c>
      <c r="AG279" s="313">
        <v>253500</v>
      </c>
      <c r="AH279" s="70">
        <v>0</v>
      </c>
      <c r="AI279" s="169"/>
      <c r="AJ279" s="169"/>
      <c r="AK279" s="169"/>
      <c r="AL279" s="70">
        <v>0</v>
      </c>
      <c r="AM279" s="312">
        <f t="shared" si="281"/>
        <v>721968</v>
      </c>
      <c r="AN279" s="326">
        <f t="shared" ca="1" si="282"/>
        <v>5008426.9000000004</v>
      </c>
      <c r="AO279" s="70">
        <f t="shared" ca="1" si="283"/>
        <v>44925.092777999991</v>
      </c>
      <c r="AP279" s="312">
        <f t="shared" ca="1" si="284"/>
        <v>4963501.8072220003</v>
      </c>
      <c r="AQ279" s="312">
        <f t="shared" ca="1" si="285"/>
        <v>4963501.8072220003</v>
      </c>
      <c r="AR279" s="312">
        <f t="shared" ca="1" si="286"/>
        <v>4963500</v>
      </c>
      <c r="AS279" s="72"/>
      <c r="AT279" s="235" t="s">
        <v>13</v>
      </c>
      <c r="AU279" s="125" t="s">
        <v>10</v>
      </c>
      <c r="AV279" s="70">
        <f t="shared" si="287"/>
        <v>5729876</v>
      </c>
      <c r="AW279" s="70">
        <f t="shared" si="288"/>
        <v>0</v>
      </c>
      <c r="AX279" s="70">
        <f t="shared" ca="1" si="289"/>
        <v>0</v>
      </c>
      <c r="AY279" s="70">
        <v>0</v>
      </c>
      <c r="AZ279" s="70">
        <f t="shared" si="290"/>
        <v>13751.702399999998</v>
      </c>
      <c r="BA279" s="70">
        <f t="shared" si="291"/>
        <v>17189.628000000001</v>
      </c>
      <c r="BB279" s="70">
        <f t="shared" si="292"/>
        <v>229195.04</v>
      </c>
      <c r="BC279" s="70">
        <f t="shared" ca="1" si="293"/>
        <v>5990012.3703999994</v>
      </c>
      <c r="BD279" s="225">
        <f ca="1">IF(AU279="C",VLOOKUP(BC279,TER!$J$4:$L$50,3,TRUE),IF(AU279="B",VLOOKUP(BC279,TER!$F$4:$H$50,3,TRUE),IF(AU279="A",VLOOKUP(BC279,TER!$B$4:$D$50,3,TRUE),"ERROR")))</f>
        <v>7.4999999999999997E-3</v>
      </c>
      <c r="BE279" s="70">
        <f t="shared" ca="1" si="294"/>
        <v>44925.092777999991</v>
      </c>
      <c r="BF279" s="72"/>
      <c r="BG279" s="72"/>
    </row>
    <row r="280" spans="1:59" ht="15.75" customHeight="1">
      <c r="A280" s="113"/>
      <c r="B280" s="256">
        <v>3</v>
      </c>
      <c r="C280" s="456" t="s">
        <v>1117</v>
      </c>
      <c r="D280" s="411"/>
      <c r="E280" s="170"/>
      <c r="F280" s="171"/>
      <c r="G280" s="171"/>
      <c r="H280" s="231"/>
      <c r="I280" s="327">
        <f t="shared" ref="I280:K280" si="295">SUM(I277:I279)</f>
        <v>17189628</v>
      </c>
      <c r="J280" s="328">
        <f t="shared" si="295"/>
        <v>948.61500000000001</v>
      </c>
      <c r="K280" s="328">
        <f t="shared" si="295"/>
        <v>608.08500000000004</v>
      </c>
      <c r="L280" s="133">
        <v>0</v>
      </c>
      <c r="M280" s="232"/>
      <c r="N280" s="173">
        <f t="shared" ref="N280:O280" ca="1" si="296">SUM(N277:N279)</f>
        <v>62</v>
      </c>
      <c r="O280" s="173">
        <f t="shared" ca="1" si="296"/>
        <v>62</v>
      </c>
      <c r="P280" s="133">
        <v>0</v>
      </c>
      <c r="Q280" s="232"/>
      <c r="R280" s="329">
        <f t="shared" ref="R280:T280" si="297">SUM(R277:R279)</f>
        <v>17191184.700000003</v>
      </c>
      <c r="S280" s="329">
        <f t="shared" si="297"/>
        <v>17191184.700000003</v>
      </c>
      <c r="T280" s="133">
        <f t="shared" si="297"/>
        <v>0</v>
      </c>
      <c r="U280" s="232"/>
      <c r="V280" s="173">
        <f t="shared" ref="V280:W280" ca="1" si="298">SUM(V277:V279)</f>
        <v>0</v>
      </c>
      <c r="W280" s="133">
        <f t="shared" ca="1" si="298"/>
        <v>0</v>
      </c>
      <c r="X280" s="133">
        <v>0</v>
      </c>
      <c r="Y280" s="329">
        <f ca="1">SUM(Y277:Y279)</f>
        <v>17191184.700000003</v>
      </c>
      <c r="Z280" s="173">
        <v>0</v>
      </c>
      <c r="AA280" s="173">
        <f t="shared" ref="AA280:AD280" ca="1" si="299">SUM(AA277:AA279)</f>
        <v>0</v>
      </c>
      <c r="AB280" s="173">
        <f t="shared" ca="1" si="299"/>
        <v>0</v>
      </c>
      <c r="AC280" s="173">
        <f t="shared" ca="1" si="299"/>
        <v>0</v>
      </c>
      <c r="AD280" s="173">
        <f t="shared" ca="1" si="299"/>
        <v>0</v>
      </c>
      <c r="AE280" s="133">
        <v>0</v>
      </c>
      <c r="AF280" s="329">
        <f t="shared" ref="AF280:AG280" si="300">SUM(AF277:AF279)</f>
        <v>1405404</v>
      </c>
      <c r="AG280" s="329">
        <f t="shared" si="300"/>
        <v>760500</v>
      </c>
      <c r="AH280" s="133">
        <v>0</v>
      </c>
      <c r="AI280" s="133">
        <v>0</v>
      </c>
      <c r="AJ280" s="133">
        <v>0</v>
      </c>
      <c r="AK280" s="133">
        <v>0</v>
      </c>
      <c r="AL280" s="133">
        <v>0</v>
      </c>
      <c r="AM280" s="329">
        <f>SUM(AM277:AM279)</f>
        <v>2165904</v>
      </c>
      <c r="AN280" s="329">
        <v>0</v>
      </c>
      <c r="AO280" s="133">
        <f t="shared" ref="AO280:AR280" ca="1" si="301">SUM(AO277:AO279)</f>
        <v>89850.185555999982</v>
      </c>
      <c r="AP280" s="329">
        <f t="shared" ca="1" si="301"/>
        <v>14935430.514444001</v>
      </c>
      <c r="AQ280" s="329">
        <f t="shared" ca="1" si="301"/>
        <v>14935430.514444001</v>
      </c>
      <c r="AR280" s="329">
        <f t="shared" ca="1" si="301"/>
        <v>14935400</v>
      </c>
      <c r="AS280" s="72"/>
      <c r="AT280" s="72"/>
      <c r="AU280" s="141"/>
      <c r="AV280" s="141"/>
      <c r="AW280" s="118"/>
      <c r="AX280" s="141"/>
      <c r="AY280" s="141"/>
      <c r="AZ280" s="141"/>
      <c r="BA280" s="141"/>
      <c r="BB280" s="141"/>
      <c r="BC280" s="141"/>
      <c r="BD280" s="141"/>
      <c r="BE280" s="141"/>
      <c r="BF280" s="72"/>
      <c r="BG280" s="72"/>
    </row>
    <row r="281" spans="1:59" ht="15.75" customHeight="1">
      <c r="A281" s="216"/>
      <c r="B281" s="12"/>
      <c r="C281" s="12"/>
      <c r="D281" s="13"/>
      <c r="E281" s="12"/>
      <c r="F281" s="13"/>
      <c r="G281" s="13"/>
      <c r="H281" s="12"/>
      <c r="I281" s="18"/>
      <c r="J281" s="16"/>
      <c r="K281" s="16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 t="s">
        <v>1343</v>
      </c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6"/>
      <c r="AH281" s="16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216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</row>
    <row r="282" spans="1:59" ht="15.75" hidden="1" customHeight="1">
      <c r="A282" s="216"/>
      <c r="B282" s="412" t="s">
        <v>20</v>
      </c>
      <c r="C282" s="417" t="s">
        <v>21</v>
      </c>
      <c r="D282" s="9" t="s">
        <v>22</v>
      </c>
      <c r="E282" s="10" t="s">
        <v>23</v>
      </c>
      <c r="F282" s="236"/>
      <c r="G282" s="9" t="s">
        <v>24</v>
      </c>
      <c r="H282" s="466" t="s">
        <v>4</v>
      </c>
      <c r="I282" s="461" t="s">
        <v>259</v>
      </c>
      <c r="J282" s="429"/>
      <c r="K282" s="429"/>
      <c r="L282" s="429"/>
      <c r="M282" s="429"/>
      <c r="N282" s="429"/>
      <c r="O282" s="429"/>
      <c r="P282" s="429"/>
      <c r="Q282" s="429"/>
      <c r="R282" s="429"/>
      <c r="S282" s="429"/>
      <c r="T282" s="429"/>
      <c r="U282" s="429"/>
      <c r="V282" s="429"/>
      <c r="W282" s="429"/>
      <c r="X282" s="429"/>
      <c r="Y282" s="429"/>
      <c r="Z282" s="461"/>
      <c r="AA282" s="429"/>
      <c r="AB282" s="429"/>
      <c r="AC282" s="429"/>
      <c r="AD282" s="429"/>
      <c r="AE282" s="429"/>
      <c r="AF282" s="429"/>
      <c r="AG282" s="429"/>
      <c r="AH282" s="429"/>
      <c r="AI282" s="429"/>
      <c r="AJ282" s="429"/>
      <c r="AK282" s="429"/>
      <c r="AL282" s="429"/>
      <c r="AM282" s="429"/>
      <c r="AN282" s="464" t="s">
        <v>261</v>
      </c>
      <c r="AO282" s="418" t="s">
        <v>262</v>
      </c>
      <c r="AP282" s="418" t="s">
        <v>263</v>
      </c>
      <c r="AQ282" s="418" t="s">
        <v>264</v>
      </c>
      <c r="AR282" s="422" t="s">
        <v>265</v>
      </c>
      <c r="AS282" s="216"/>
      <c r="AT282" s="22" t="s">
        <v>262</v>
      </c>
      <c r="AU282" s="237"/>
      <c r="AV282" s="237"/>
      <c r="AW282" s="237"/>
      <c r="AX282" s="237"/>
      <c r="AY282" s="237"/>
      <c r="AZ282" s="237"/>
      <c r="BA282" s="237"/>
      <c r="BB282" s="237"/>
      <c r="BC282" s="237"/>
      <c r="BD282" s="237"/>
      <c r="BE282" s="238"/>
      <c r="BF282" s="216"/>
      <c r="BG282" s="216"/>
    </row>
    <row r="283" spans="1:59" ht="15.75" hidden="1" customHeight="1">
      <c r="A283" s="216"/>
      <c r="B283" s="413"/>
      <c r="C283" s="413"/>
      <c r="D283" s="239"/>
      <c r="E283" s="9" t="s">
        <v>26</v>
      </c>
      <c r="F283" s="11" t="s">
        <v>27</v>
      </c>
      <c r="G283" s="239"/>
      <c r="H283" s="419"/>
      <c r="I283" s="461" t="s">
        <v>25</v>
      </c>
      <c r="J283" s="462" t="s">
        <v>266</v>
      </c>
      <c r="K283" s="429"/>
      <c r="L283" s="461" t="s">
        <v>267</v>
      </c>
      <c r="M283" s="429"/>
      <c r="N283" s="429"/>
      <c r="O283" s="429"/>
      <c r="P283" s="429"/>
      <c r="Q283" s="56"/>
      <c r="R283" s="463" t="s">
        <v>268</v>
      </c>
      <c r="S283" s="429"/>
      <c r="T283" s="429"/>
      <c r="U283" s="461" t="s">
        <v>269</v>
      </c>
      <c r="V283" s="429"/>
      <c r="W283" s="429"/>
      <c r="X283" s="462" t="s">
        <v>270</v>
      </c>
      <c r="Y283" s="461" t="s">
        <v>271</v>
      </c>
      <c r="Z283" s="461"/>
      <c r="AA283" s="429"/>
      <c r="AB283" s="429"/>
      <c r="AC283" s="429"/>
      <c r="AD283" s="429"/>
      <c r="AE283" s="429"/>
      <c r="AF283" s="330"/>
      <c r="AG283" s="330"/>
      <c r="AH283" s="462"/>
      <c r="AI283" s="463"/>
      <c r="AJ283" s="429"/>
      <c r="AK283" s="429"/>
      <c r="AL283" s="462"/>
      <c r="AM283" s="461"/>
      <c r="AN283" s="460"/>
      <c r="AO283" s="413"/>
      <c r="AP283" s="413"/>
      <c r="AQ283" s="413"/>
      <c r="AR283" s="413"/>
      <c r="AS283" s="216"/>
      <c r="AT283" s="17" t="s">
        <v>4</v>
      </c>
      <c r="AU283" s="17" t="s">
        <v>276</v>
      </c>
      <c r="AV283" s="17" t="s">
        <v>277</v>
      </c>
      <c r="AW283" s="17" t="s">
        <v>278</v>
      </c>
      <c r="AX283" s="17" t="s">
        <v>269</v>
      </c>
      <c r="AY283" s="17" t="s">
        <v>270</v>
      </c>
      <c r="AZ283" s="22" t="s">
        <v>266</v>
      </c>
      <c r="BA283" s="237"/>
      <c r="BB283" s="238"/>
      <c r="BC283" s="17" t="s">
        <v>261</v>
      </c>
      <c r="BD283" s="17" t="s">
        <v>279</v>
      </c>
      <c r="BE283" s="17" t="s">
        <v>262</v>
      </c>
      <c r="BF283" s="216"/>
      <c r="BG283" s="216"/>
    </row>
    <row r="284" spans="1:59" ht="15.75" hidden="1" customHeight="1">
      <c r="A284" s="216"/>
      <c r="B284" s="414"/>
      <c r="C284" s="414"/>
      <c r="D284" s="240"/>
      <c r="E284" s="240"/>
      <c r="F284" s="241"/>
      <c r="G284" s="240"/>
      <c r="H284" s="420"/>
      <c r="I284" s="429"/>
      <c r="J284" s="330" t="s">
        <v>280</v>
      </c>
      <c r="K284" s="330" t="s">
        <v>281</v>
      </c>
      <c r="L284" s="18" t="s">
        <v>282</v>
      </c>
      <c r="M284" s="18" t="s">
        <v>283</v>
      </c>
      <c r="N284" s="330" t="s">
        <v>284</v>
      </c>
      <c r="O284" s="331" t="s">
        <v>285</v>
      </c>
      <c r="P284" s="18" t="s">
        <v>286</v>
      </c>
      <c r="Q284" s="56"/>
      <c r="R284" s="56" t="s">
        <v>282</v>
      </c>
      <c r="S284" s="56" t="s">
        <v>287</v>
      </c>
      <c r="T284" s="56" t="s">
        <v>288</v>
      </c>
      <c r="U284" s="18" t="s">
        <v>289</v>
      </c>
      <c r="V284" s="330" t="s">
        <v>290</v>
      </c>
      <c r="W284" s="18" t="s">
        <v>286</v>
      </c>
      <c r="X284" s="429"/>
      <c r="Y284" s="429"/>
      <c r="Z284" s="330"/>
      <c r="AA284" s="330"/>
      <c r="AB284" s="330"/>
      <c r="AC284" s="330"/>
      <c r="AD284" s="330"/>
      <c r="AE284" s="18"/>
      <c r="AF284" s="330"/>
      <c r="AG284" s="330"/>
      <c r="AH284" s="429"/>
      <c r="AI284" s="56"/>
      <c r="AJ284" s="56"/>
      <c r="AK284" s="56"/>
      <c r="AL284" s="429"/>
      <c r="AM284" s="429"/>
      <c r="AN284" s="428"/>
      <c r="AO284" s="414"/>
      <c r="AP284" s="414"/>
      <c r="AQ284" s="414"/>
      <c r="AR284" s="414"/>
      <c r="AS284" s="216"/>
      <c r="AT284" s="240"/>
      <c r="AU284" s="240"/>
      <c r="AV284" s="240"/>
      <c r="AW284" s="240"/>
      <c r="AX284" s="240"/>
      <c r="AY284" s="240"/>
      <c r="AZ284" s="25" t="s">
        <v>298</v>
      </c>
      <c r="BA284" s="25" t="s">
        <v>299</v>
      </c>
      <c r="BB284" s="25" t="s">
        <v>281</v>
      </c>
      <c r="BC284" s="240"/>
      <c r="BD284" s="240"/>
      <c r="BE284" s="240"/>
      <c r="BF284" s="216"/>
      <c r="BG284" s="216"/>
    </row>
    <row r="285" spans="1:59" ht="15.75" hidden="1" customHeight="1">
      <c r="A285" s="216"/>
      <c r="B285" s="27">
        <v>1</v>
      </c>
      <c r="C285" s="28" t="s">
        <v>85</v>
      </c>
      <c r="D285" s="29" t="s">
        <v>86</v>
      </c>
      <c r="E285" s="27" t="s">
        <v>57</v>
      </c>
      <c r="F285" s="28" t="s">
        <v>87</v>
      </c>
      <c r="G285" s="27" t="s">
        <v>31</v>
      </c>
      <c r="H285" s="332" t="s">
        <v>32</v>
      </c>
      <c r="I285" s="16">
        <f t="shared" ref="I285:I331" si="302">IF(H285="FULL - EXISTING",3715818,3715818/O285*N285)</f>
        <v>3715818</v>
      </c>
      <c r="J285" s="16">
        <v>231867.04320000001</v>
      </c>
      <c r="K285" s="16">
        <v>148632.72</v>
      </c>
      <c r="L285" s="333">
        <v>200000</v>
      </c>
      <c r="M285" s="333">
        <f t="shared" ref="M285:M286" si="303">(840000+420000)/21</f>
        <v>60000</v>
      </c>
      <c r="N285" s="21">
        <f ca="1">IFERROR(__xludf.DUMMYFUNCTION("VLOOKUP(C285,IMPORTRANGE(""https://docs.google.com/spreadsheets/d/1_8zosgvsKLSoAfUB7h2fjXw03wrKRz4qTHSb38JFhpE/edit?gid=2056509001#gid=2056509001"",""DATA_ABSEN_DES24""),39,0)"),19)</f>
        <v>19</v>
      </c>
      <c r="O285" s="334">
        <f ca="1">IFERROR(__xludf.DUMMYFUNCTION("VLOOKUP(C285,IMPORTRANGE(""https://docs.google.com/spreadsheets/d/1_8zosgvsKLSoAfUB7h2fjXw03wrKRz4qTHSb38JFhpE/edit?gid=2056509001#gid=2056509001"",""DATA_ABSEN_DES24""),40,0)"),30)</f>
        <v>30</v>
      </c>
      <c r="P285" s="16">
        <f t="shared" ref="P285:P331" ca="1" si="304">L285+(M285*N285)</f>
        <v>1340000</v>
      </c>
      <c r="Q285" s="16">
        <v>21</v>
      </c>
      <c r="R285" s="16">
        <f t="shared" ref="R285:R331" si="305">I285+J285+K285+L285+(M285*Q285)</f>
        <v>5556317.7631999999</v>
      </c>
      <c r="S285" s="16">
        <f t="shared" ref="S285:S331" ca="1" si="306">I285+J285+K285+P285</f>
        <v>5436317.7631999999</v>
      </c>
      <c r="T285" s="16">
        <f t="shared" ref="T285:T331" ca="1" si="307">IF(R285-S285&lt;0,R285-S285,0)</f>
        <v>0</v>
      </c>
      <c r="U285" s="16">
        <v>120000</v>
      </c>
      <c r="V285" s="8">
        <f ca="1">IFERROR(__xludf.DUMMYFUNCTION("VLOOKUP(C285,IMPORTRANGE(""https://docs.google.com/spreadsheets/d/1_8zosgvsKLSoAfUB7h2fjXw03wrKRz4qTHSb38JFhpE/edit?gid=2056509001#gid=2056509001"",""DATA_ABSEN_DES24""),42,0)"),0)</f>
        <v>0</v>
      </c>
      <c r="W285" s="16">
        <f t="shared" ref="W285:W331" ca="1" si="308">U285*V285</f>
        <v>0</v>
      </c>
      <c r="X285" s="16">
        <v>0</v>
      </c>
      <c r="Y285" s="16">
        <f t="shared" ref="Y285:Y331" ca="1" si="309">I285+J285+K285+P285+W285+X285</f>
        <v>5436317.7631999999</v>
      </c>
      <c r="Z285" s="21"/>
      <c r="AA285" s="21"/>
      <c r="AB285" s="21"/>
      <c r="AC285" s="21"/>
      <c r="AD285" s="21"/>
      <c r="AE285" s="16"/>
      <c r="AF285" s="16"/>
      <c r="AG285" s="16"/>
      <c r="AH285" s="16"/>
      <c r="AI285" s="16"/>
      <c r="AJ285" s="16"/>
      <c r="AK285" s="16"/>
      <c r="AL285" s="16"/>
      <c r="AM285" s="16"/>
      <c r="AN285" s="335">
        <f t="shared" ref="AN285:AN331" ca="1" si="310">Y285-AM285</f>
        <v>5436317.7631999999</v>
      </c>
      <c r="AO285" s="20">
        <f t="shared" ref="AO285:AO331" ca="1" si="311">BE285</f>
        <v>0</v>
      </c>
      <c r="AP285" s="20">
        <f t="shared" ref="AP285:AP331" ca="1" si="312">AN285-AO285</f>
        <v>5436317.7631999999</v>
      </c>
      <c r="AQ285" s="20">
        <f t="shared" ref="AQ285:AQ331" ca="1" si="313">AP285-X285</f>
        <v>5436317.7631999999</v>
      </c>
      <c r="AR285" s="20">
        <f t="shared" ref="AR285:AR331" ca="1" si="314">ROUND(AQ285,-2)</f>
        <v>5436300</v>
      </c>
      <c r="AS285" s="216"/>
      <c r="AT285" s="27" t="s">
        <v>18</v>
      </c>
      <c r="AU285" s="30" t="str">
        <f>VLOOKUP(AT285,TER!$R$2:$S$10,2,0)</f>
        <v>B</v>
      </c>
      <c r="AV285" s="20">
        <f t="shared" ref="AV285:AV331" si="315">I285</f>
        <v>3715818</v>
      </c>
      <c r="AW285" s="20">
        <f t="shared" ref="AW285:AW331" ca="1" si="316">P285</f>
        <v>1340000</v>
      </c>
      <c r="AX285" s="20">
        <f t="shared" ref="AX285:AY285" ca="1" si="317">W285</f>
        <v>0</v>
      </c>
      <c r="AY285" s="20">
        <f t="shared" si="317"/>
        <v>0</v>
      </c>
      <c r="AZ285" s="20">
        <f t="shared" ref="AZ285:AZ331" si="318">IF(J285=0,0,AV285*0.24%)</f>
        <v>8917.9631999999983</v>
      </c>
      <c r="BA285" s="20">
        <f t="shared" ref="BA285:BA331" si="319">IF(J285=0,0,AV285*0.3%)</f>
        <v>11147.454</v>
      </c>
      <c r="BB285" s="20">
        <f t="shared" ref="BB285:BB331" si="320">IF(K285=0,0,AV285*4%)</f>
        <v>148632.72</v>
      </c>
      <c r="BC285" s="20">
        <f t="shared" ref="BC285:BC331" ca="1" si="321">SUM(AV285:BB285)</f>
        <v>5224516.1371999998</v>
      </c>
      <c r="BD285" s="37">
        <f ca="1">IF(AU285="C",VLOOKUP(BC285,TER!$J$4:$L$50,3,TRUE),IF(AU285="B",VLOOKUP(BC285,TER!$F$4:$H$50,3,TRUE),IF(AU285="A",VLOOKUP(BC285,TER!$B$4:$D$50,3,TRUE),"ERROR")))</f>
        <v>0</v>
      </c>
      <c r="BE285" s="20">
        <f t="shared" ref="BE285:BE331" ca="1" si="322">BC285*BD285</f>
        <v>0</v>
      </c>
      <c r="BF285" s="216"/>
      <c r="BG285" s="216"/>
    </row>
    <row r="286" spans="1:59" ht="15.75" hidden="1" customHeight="1">
      <c r="A286" s="216"/>
      <c r="B286" s="27">
        <v>2</v>
      </c>
      <c r="C286" s="28" t="s">
        <v>88</v>
      </c>
      <c r="D286" s="29" t="s">
        <v>89</v>
      </c>
      <c r="E286" s="27" t="s">
        <v>57</v>
      </c>
      <c r="F286" s="28" t="s">
        <v>90</v>
      </c>
      <c r="G286" s="27" t="s">
        <v>31</v>
      </c>
      <c r="H286" s="332" t="s">
        <v>32</v>
      </c>
      <c r="I286" s="16">
        <f t="shared" si="302"/>
        <v>3715818</v>
      </c>
      <c r="J286" s="16">
        <v>231867.04320000001</v>
      </c>
      <c r="K286" s="16">
        <v>148632.72</v>
      </c>
      <c r="L286" s="333">
        <v>200000</v>
      </c>
      <c r="M286" s="333">
        <f t="shared" si="303"/>
        <v>60000</v>
      </c>
      <c r="N286" s="21">
        <f ca="1">IFERROR(__xludf.DUMMYFUNCTION("VLOOKUP(C286,IMPORTRANGE(""https://docs.google.com/spreadsheets/d/1_8zosgvsKLSoAfUB7h2fjXw03wrKRz4qTHSb38JFhpE/edit?gid=2056509001#gid=2056509001"",""DATA_ABSEN_DES24""),39,0)"),21)</f>
        <v>21</v>
      </c>
      <c r="O286" s="334">
        <f ca="1">IFERROR(__xludf.DUMMYFUNCTION("VLOOKUP(C286,IMPORTRANGE(""https://docs.google.com/spreadsheets/d/1_8zosgvsKLSoAfUB7h2fjXw03wrKRz4qTHSb38JFhpE/edit?gid=2056509001#gid=2056509001"",""DATA_ABSEN_DES24""),40,0)"),31)</f>
        <v>31</v>
      </c>
      <c r="P286" s="16">
        <f t="shared" ca="1" si="304"/>
        <v>1460000</v>
      </c>
      <c r="Q286" s="16">
        <v>21</v>
      </c>
      <c r="R286" s="16">
        <f t="shared" si="305"/>
        <v>5556317.7631999999</v>
      </c>
      <c r="S286" s="16">
        <f t="shared" ca="1" si="306"/>
        <v>5556317.7631999999</v>
      </c>
      <c r="T286" s="16">
        <f t="shared" ca="1" si="307"/>
        <v>0</v>
      </c>
      <c r="U286" s="16">
        <v>120000</v>
      </c>
      <c r="V286" s="8">
        <f ca="1">IFERROR(__xludf.DUMMYFUNCTION("VLOOKUP(C286,IMPORTRANGE(""https://docs.google.com/spreadsheets/d/1_8zosgvsKLSoAfUB7h2fjXw03wrKRz4qTHSb38JFhpE/edit?gid=2056509001#gid=2056509001"",""DATA_ABSEN_DES24""),42,0)"),0)</f>
        <v>0</v>
      </c>
      <c r="W286" s="16">
        <f t="shared" ca="1" si="308"/>
        <v>0</v>
      </c>
      <c r="X286" s="16">
        <v>0</v>
      </c>
      <c r="Y286" s="16">
        <f t="shared" ca="1" si="309"/>
        <v>5556317.7631999999</v>
      </c>
      <c r="Z286" s="21"/>
      <c r="AA286" s="21"/>
      <c r="AB286" s="21"/>
      <c r="AC286" s="21"/>
      <c r="AD286" s="21"/>
      <c r="AE286" s="16"/>
      <c r="AF286" s="16"/>
      <c r="AG286" s="16"/>
      <c r="AH286" s="16"/>
      <c r="AI286" s="16"/>
      <c r="AJ286" s="16"/>
      <c r="AK286" s="16"/>
      <c r="AL286" s="16"/>
      <c r="AM286" s="16"/>
      <c r="AN286" s="335">
        <f t="shared" ca="1" si="310"/>
        <v>5556317.7631999999</v>
      </c>
      <c r="AO286" s="20">
        <f t="shared" ca="1" si="311"/>
        <v>0</v>
      </c>
      <c r="AP286" s="20">
        <f t="shared" ca="1" si="312"/>
        <v>5556317.7631999999</v>
      </c>
      <c r="AQ286" s="20">
        <f t="shared" ca="1" si="313"/>
        <v>5556317.7631999999</v>
      </c>
      <c r="AR286" s="20">
        <f t="shared" ca="1" si="314"/>
        <v>5556300</v>
      </c>
      <c r="AS286" s="216"/>
      <c r="AT286" s="27" t="s">
        <v>17</v>
      </c>
      <c r="AU286" s="30" t="str">
        <f>VLOOKUP(AT286,TER!$R$2:$S$10,2,0)</f>
        <v>B</v>
      </c>
      <c r="AV286" s="20">
        <f t="shared" si="315"/>
        <v>3715818</v>
      </c>
      <c r="AW286" s="20">
        <f t="shared" ca="1" si="316"/>
        <v>1460000</v>
      </c>
      <c r="AX286" s="20">
        <f t="shared" ref="AX286:AY286" ca="1" si="323">W286</f>
        <v>0</v>
      </c>
      <c r="AY286" s="20">
        <f t="shared" si="323"/>
        <v>0</v>
      </c>
      <c r="AZ286" s="20">
        <f t="shared" si="318"/>
        <v>8917.9631999999983</v>
      </c>
      <c r="BA286" s="20">
        <f t="shared" si="319"/>
        <v>11147.454</v>
      </c>
      <c r="BB286" s="20">
        <f t="shared" si="320"/>
        <v>148632.72</v>
      </c>
      <c r="BC286" s="20">
        <f t="shared" ca="1" si="321"/>
        <v>5344516.1371999998</v>
      </c>
      <c r="BD286" s="37">
        <f ca="1">IF(AU286="C",VLOOKUP(BC286,TER!$J$4:$L$50,3,TRUE),IF(AU286="B",VLOOKUP(BC286,TER!$F$4:$H$50,3,TRUE),IF(AU286="A",VLOOKUP(BC286,TER!$B$4:$D$50,3,TRUE),"ERROR")))</f>
        <v>0</v>
      </c>
      <c r="BE286" s="20">
        <f t="shared" ca="1" si="322"/>
        <v>0</v>
      </c>
      <c r="BF286" s="216"/>
      <c r="BG286" s="216"/>
    </row>
    <row r="287" spans="1:59" ht="15.75" hidden="1" customHeight="1">
      <c r="A287" s="216"/>
      <c r="B287" s="27">
        <v>3</v>
      </c>
      <c r="C287" s="28" t="s">
        <v>91</v>
      </c>
      <c r="D287" s="29" t="s">
        <v>92</v>
      </c>
      <c r="E287" s="27" t="s">
        <v>57</v>
      </c>
      <c r="F287" s="28" t="s">
        <v>93</v>
      </c>
      <c r="G287" s="27" t="s">
        <v>94</v>
      </c>
      <c r="H287" s="332" t="s">
        <v>32</v>
      </c>
      <c r="I287" s="16">
        <f t="shared" si="302"/>
        <v>3715818</v>
      </c>
      <c r="J287" s="16">
        <v>231867.04320000001</v>
      </c>
      <c r="K287" s="16">
        <v>148632.72</v>
      </c>
      <c r="L287" s="336">
        <v>650000</v>
      </c>
      <c r="M287" s="336">
        <f>(1050000+525000)/21</f>
        <v>75000</v>
      </c>
      <c r="N287" s="21">
        <f ca="1">IFERROR(__xludf.DUMMYFUNCTION("VLOOKUP(C287,IMPORTRANGE(""https://docs.google.com/spreadsheets/d/1_8zosgvsKLSoAfUB7h2fjXw03wrKRz4qTHSb38JFhpE/edit?gid=2056509001#gid=2056509001"",""DATA_ABSEN_DES24""),39,0)"),21)</f>
        <v>21</v>
      </c>
      <c r="O287" s="334">
        <f ca="1">IFERROR(__xludf.DUMMYFUNCTION("VLOOKUP(C287,IMPORTRANGE(""https://docs.google.com/spreadsheets/d/1_8zosgvsKLSoAfUB7h2fjXw03wrKRz4qTHSb38JFhpE/edit?gid=2056509001#gid=2056509001"",""DATA_ABSEN_DES24""),40,0)"),31)</f>
        <v>31</v>
      </c>
      <c r="P287" s="16">
        <f t="shared" ca="1" si="304"/>
        <v>2225000</v>
      </c>
      <c r="Q287" s="16">
        <v>21</v>
      </c>
      <c r="R287" s="16">
        <f t="shared" si="305"/>
        <v>6321317.7631999999</v>
      </c>
      <c r="S287" s="16">
        <f t="shared" ca="1" si="306"/>
        <v>6321317.7631999999</v>
      </c>
      <c r="T287" s="16">
        <f t="shared" ca="1" si="307"/>
        <v>0</v>
      </c>
      <c r="U287" s="16">
        <v>120000</v>
      </c>
      <c r="V287" s="8">
        <f ca="1">IFERROR(__xludf.DUMMYFUNCTION("VLOOKUP(C287,IMPORTRANGE(""https://docs.google.com/spreadsheets/d/1_8zosgvsKLSoAfUB7h2fjXw03wrKRz4qTHSb38JFhpE/edit?gid=2056509001#gid=2056509001"",""DATA_ABSEN_DES24""),42,0)"),0)</f>
        <v>0</v>
      </c>
      <c r="W287" s="16">
        <f t="shared" ca="1" si="308"/>
        <v>0</v>
      </c>
      <c r="X287" s="16">
        <v>0</v>
      </c>
      <c r="Y287" s="16">
        <f t="shared" ca="1" si="309"/>
        <v>6321317.7631999999</v>
      </c>
      <c r="Z287" s="21"/>
      <c r="AA287" s="21"/>
      <c r="AB287" s="21"/>
      <c r="AC287" s="21"/>
      <c r="AD287" s="21"/>
      <c r="AE287" s="16"/>
      <c r="AF287" s="16"/>
      <c r="AG287" s="16"/>
      <c r="AH287" s="16"/>
      <c r="AI287" s="16"/>
      <c r="AJ287" s="16"/>
      <c r="AK287" s="16"/>
      <c r="AL287" s="16"/>
      <c r="AM287" s="16"/>
      <c r="AN287" s="335">
        <f t="shared" ca="1" si="310"/>
        <v>6321317.7631999999</v>
      </c>
      <c r="AO287" s="20">
        <f t="shared" ca="1" si="311"/>
        <v>0</v>
      </c>
      <c r="AP287" s="20">
        <f t="shared" ca="1" si="312"/>
        <v>6321317.7631999999</v>
      </c>
      <c r="AQ287" s="20">
        <f t="shared" ca="1" si="313"/>
        <v>6321317.7631999999</v>
      </c>
      <c r="AR287" s="20">
        <f t="shared" ca="1" si="314"/>
        <v>6321300</v>
      </c>
      <c r="AS287" s="216"/>
      <c r="AT287" s="27" t="s">
        <v>8</v>
      </c>
      <c r="AU287" s="30" t="str">
        <f>VLOOKUP(AT287,TER!$R$2:$S$10,2,0)</f>
        <v>C</v>
      </c>
      <c r="AV287" s="20">
        <f t="shared" si="315"/>
        <v>3715818</v>
      </c>
      <c r="AW287" s="20">
        <f t="shared" ca="1" si="316"/>
        <v>2225000</v>
      </c>
      <c r="AX287" s="20">
        <f t="shared" ref="AX287:AY287" ca="1" si="324">W287</f>
        <v>0</v>
      </c>
      <c r="AY287" s="20">
        <f t="shared" si="324"/>
        <v>0</v>
      </c>
      <c r="AZ287" s="20">
        <f t="shared" si="318"/>
        <v>8917.9631999999983</v>
      </c>
      <c r="BA287" s="20">
        <f t="shared" si="319"/>
        <v>11147.454</v>
      </c>
      <c r="BB287" s="20">
        <f t="shared" si="320"/>
        <v>148632.72</v>
      </c>
      <c r="BC287" s="20">
        <f t="shared" ca="1" si="321"/>
        <v>6109516.1371999998</v>
      </c>
      <c r="BD287" s="37">
        <f ca="1">IF(AU287="C",VLOOKUP(BC287,TER!$J$4:$L$50,3,TRUE),IF(AU287="B",VLOOKUP(BC287,TER!$F$4:$H$50,3,TRUE),IF(AU287="A",VLOOKUP(BC287,TER!$B$4:$D$50,3,TRUE),"ERROR")))</f>
        <v>0</v>
      </c>
      <c r="BE287" s="20">
        <f t="shared" ca="1" si="322"/>
        <v>0</v>
      </c>
      <c r="BF287" s="216"/>
      <c r="BG287" s="216"/>
    </row>
    <row r="288" spans="1:59" ht="15.75" hidden="1" customHeight="1">
      <c r="A288" s="216"/>
      <c r="B288" s="27">
        <v>4</v>
      </c>
      <c r="C288" s="28" t="s">
        <v>95</v>
      </c>
      <c r="D288" s="29" t="s">
        <v>96</v>
      </c>
      <c r="E288" s="27" t="s">
        <v>57</v>
      </c>
      <c r="F288" s="28" t="s">
        <v>97</v>
      </c>
      <c r="G288" s="27" t="s">
        <v>31</v>
      </c>
      <c r="H288" s="332" t="s">
        <v>32</v>
      </c>
      <c r="I288" s="16">
        <f t="shared" si="302"/>
        <v>3715818</v>
      </c>
      <c r="J288" s="16">
        <v>231867.04320000001</v>
      </c>
      <c r="K288" s="16">
        <v>148632.72</v>
      </c>
      <c r="L288" s="336">
        <v>200000</v>
      </c>
      <c r="M288" s="336">
        <f t="shared" ref="M288:M296" si="325">(840000+420000)/21</f>
        <v>60000</v>
      </c>
      <c r="N288" s="21">
        <f ca="1">IFERROR(__xludf.DUMMYFUNCTION("VLOOKUP(C288,IMPORTRANGE(""https://docs.google.com/spreadsheets/d/1_8zosgvsKLSoAfUB7h2fjXw03wrKRz4qTHSb38JFhpE/edit?gid=2056509001#gid=2056509001"",""DATA_ABSEN_DES24""),39,0)"),21)</f>
        <v>21</v>
      </c>
      <c r="O288" s="334">
        <f ca="1">IFERROR(__xludf.DUMMYFUNCTION("VLOOKUP(C288,IMPORTRANGE(""https://docs.google.com/spreadsheets/d/1_8zosgvsKLSoAfUB7h2fjXw03wrKRz4qTHSb38JFhpE/edit?gid=2056509001#gid=2056509001"",""DATA_ABSEN_DES24""),40,0)"),31)</f>
        <v>31</v>
      </c>
      <c r="P288" s="16">
        <f t="shared" ca="1" si="304"/>
        <v>1460000</v>
      </c>
      <c r="Q288" s="16">
        <v>21</v>
      </c>
      <c r="R288" s="16">
        <f t="shared" si="305"/>
        <v>5556317.7631999999</v>
      </c>
      <c r="S288" s="16">
        <f t="shared" ca="1" si="306"/>
        <v>5556317.7631999999</v>
      </c>
      <c r="T288" s="16">
        <f t="shared" ca="1" si="307"/>
        <v>0</v>
      </c>
      <c r="U288" s="16">
        <v>120000</v>
      </c>
      <c r="V288" s="8">
        <f ca="1">IFERROR(__xludf.DUMMYFUNCTION("VLOOKUP(C288,IMPORTRANGE(""https://docs.google.com/spreadsheets/d/1_8zosgvsKLSoAfUB7h2fjXw03wrKRz4qTHSb38JFhpE/edit?gid=2056509001#gid=2056509001"",""DATA_ABSEN_DES24""),42,0)"),0)</f>
        <v>0</v>
      </c>
      <c r="W288" s="16">
        <f t="shared" ca="1" si="308"/>
        <v>0</v>
      </c>
      <c r="X288" s="16">
        <v>0</v>
      </c>
      <c r="Y288" s="16">
        <f t="shared" ca="1" si="309"/>
        <v>5556317.7631999999</v>
      </c>
      <c r="Z288" s="21"/>
      <c r="AA288" s="21"/>
      <c r="AB288" s="21"/>
      <c r="AC288" s="21"/>
      <c r="AD288" s="21"/>
      <c r="AE288" s="16"/>
      <c r="AF288" s="16"/>
      <c r="AG288" s="16"/>
      <c r="AH288" s="16"/>
      <c r="AI288" s="16"/>
      <c r="AJ288" s="16"/>
      <c r="AK288" s="16"/>
      <c r="AL288" s="16"/>
      <c r="AM288" s="16"/>
      <c r="AN288" s="335">
        <f t="shared" ca="1" si="310"/>
        <v>5556317.7631999999</v>
      </c>
      <c r="AO288" s="20">
        <f t="shared" ca="1" si="311"/>
        <v>0</v>
      </c>
      <c r="AP288" s="20">
        <f t="shared" ca="1" si="312"/>
        <v>5556317.7631999999</v>
      </c>
      <c r="AQ288" s="20">
        <f t="shared" ca="1" si="313"/>
        <v>5556317.7631999999</v>
      </c>
      <c r="AR288" s="20">
        <f t="shared" ca="1" si="314"/>
        <v>5556300</v>
      </c>
      <c r="AS288" s="216"/>
      <c r="AT288" s="27" t="s">
        <v>9</v>
      </c>
      <c r="AU288" s="30" t="str">
        <f>VLOOKUP(AT288,TER!$R$2:$S$10,2,0)</f>
        <v>A</v>
      </c>
      <c r="AV288" s="20">
        <f t="shared" si="315"/>
        <v>3715818</v>
      </c>
      <c r="AW288" s="20">
        <f t="shared" ca="1" si="316"/>
        <v>1460000</v>
      </c>
      <c r="AX288" s="20">
        <f t="shared" ref="AX288:AY288" ca="1" si="326">W288</f>
        <v>0</v>
      </c>
      <c r="AY288" s="20">
        <f t="shared" si="326"/>
        <v>0</v>
      </c>
      <c r="AZ288" s="20">
        <f t="shared" si="318"/>
        <v>8917.9631999999983</v>
      </c>
      <c r="BA288" s="20">
        <f t="shared" si="319"/>
        <v>11147.454</v>
      </c>
      <c r="BB288" s="20">
        <f t="shared" si="320"/>
        <v>148632.72</v>
      </c>
      <c r="BC288" s="20">
        <f t="shared" ca="1" si="321"/>
        <v>5344516.1371999998</v>
      </c>
      <c r="BD288" s="37">
        <f ca="1">IF(AU288="C",VLOOKUP(BC288,TER!$J$4:$L$50,3,TRUE),IF(AU288="B",VLOOKUP(BC288,TER!$F$4:$H$50,3,TRUE),IF(AU288="A",VLOOKUP(BC288,TER!$B$4:$D$50,3,TRUE),"ERROR")))</f>
        <v>0</v>
      </c>
      <c r="BE288" s="20">
        <f t="shared" ca="1" si="322"/>
        <v>0</v>
      </c>
      <c r="BF288" s="216"/>
      <c r="BG288" s="216"/>
    </row>
    <row r="289" spans="1:59" ht="15.75" hidden="1" customHeight="1">
      <c r="A289" s="216"/>
      <c r="B289" s="27">
        <v>5</v>
      </c>
      <c r="C289" s="28" t="s">
        <v>98</v>
      </c>
      <c r="D289" s="29" t="s">
        <v>99</v>
      </c>
      <c r="E289" s="27" t="s">
        <v>57</v>
      </c>
      <c r="F289" s="28" t="s">
        <v>100</v>
      </c>
      <c r="G289" s="27" t="s">
        <v>31</v>
      </c>
      <c r="H289" s="332" t="s">
        <v>32</v>
      </c>
      <c r="I289" s="16">
        <f t="shared" si="302"/>
        <v>3715818</v>
      </c>
      <c r="J289" s="16">
        <v>231867.04320000001</v>
      </c>
      <c r="K289" s="16">
        <v>148632.72</v>
      </c>
      <c r="L289" s="333">
        <v>200000</v>
      </c>
      <c r="M289" s="333">
        <f t="shared" si="325"/>
        <v>60000</v>
      </c>
      <c r="N289" s="21">
        <f ca="1">IFERROR(__xludf.DUMMYFUNCTION("VLOOKUP(C289,IMPORTRANGE(""https://docs.google.com/spreadsheets/d/1_8zosgvsKLSoAfUB7h2fjXw03wrKRz4qTHSb38JFhpE/edit?gid=2056509001#gid=2056509001"",""DATA_ABSEN_DES24""),39,0)"),18)</f>
        <v>18</v>
      </c>
      <c r="O289" s="334">
        <f ca="1">IFERROR(__xludf.DUMMYFUNCTION("VLOOKUP(C289,IMPORTRANGE(""https://docs.google.com/spreadsheets/d/1_8zosgvsKLSoAfUB7h2fjXw03wrKRz4qTHSb38JFhpE/edit?gid=2056509001#gid=2056509001"",""DATA_ABSEN_DES24""),40,0)"),28)</f>
        <v>28</v>
      </c>
      <c r="P289" s="16">
        <f t="shared" ca="1" si="304"/>
        <v>1280000</v>
      </c>
      <c r="Q289" s="16">
        <v>21</v>
      </c>
      <c r="R289" s="16">
        <f t="shared" si="305"/>
        <v>5556317.7631999999</v>
      </c>
      <c r="S289" s="16">
        <f t="shared" ca="1" si="306"/>
        <v>5376317.7631999999</v>
      </c>
      <c r="T289" s="16">
        <f t="shared" ca="1" si="307"/>
        <v>0</v>
      </c>
      <c r="U289" s="16">
        <v>120000</v>
      </c>
      <c r="V289" s="8">
        <f ca="1">IFERROR(__xludf.DUMMYFUNCTION("VLOOKUP(C289,IMPORTRANGE(""https://docs.google.com/spreadsheets/d/1_8zosgvsKLSoAfUB7h2fjXw03wrKRz4qTHSb38JFhpE/edit?gid=2056509001#gid=2056509001"",""DATA_ABSEN_DES24""),42,0)"),0)</f>
        <v>0</v>
      </c>
      <c r="W289" s="16">
        <f t="shared" ca="1" si="308"/>
        <v>0</v>
      </c>
      <c r="X289" s="16">
        <v>0</v>
      </c>
      <c r="Y289" s="16">
        <f t="shared" ca="1" si="309"/>
        <v>5376317.7631999999</v>
      </c>
      <c r="Z289" s="21"/>
      <c r="AA289" s="21"/>
      <c r="AB289" s="21"/>
      <c r="AC289" s="21"/>
      <c r="AD289" s="21"/>
      <c r="AE289" s="16"/>
      <c r="AF289" s="16"/>
      <c r="AG289" s="16"/>
      <c r="AH289" s="16"/>
      <c r="AI289" s="16"/>
      <c r="AJ289" s="16"/>
      <c r="AK289" s="16"/>
      <c r="AL289" s="16"/>
      <c r="AM289" s="16"/>
      <c r="AN289" s="335">
        <f t="shared" ca="1" si="310"/>
        <v>5376317.7631999999</v>
      </c>
      <c r="AO289" s="20">
        <f t="shared" ca="1" si="311"/>
        <v>0</v>
      </c>
      <c r="AP289" s="20">
        <f t="shared" ca="1" si="312"/>
        <v>5376317.7631999999</v>
      </c>
      <c r="AQ289" s="20">
        <f t="shared" ca="1" si="313"/>
        <v>5376317.7631999999</v>
      </c>
      <c r="AR289" s="20">
        <f t="shared" ca="1" si="314"/>
        <v>5376300</v>
      </c>
      <c r="AS289" s="216"/>
      <c r="AT289" s="27" t="s">
        <v>9</v>
      </c>
      <c r="AU289" s="30" t="str">
        <f>VLOOKUP(AT289,TER!$R$2:$S$10,2,0)</f>
        <v>A</v>
      </c>
      <c r="AV289" s="20">
        <f t="shared" si="315"/>
        <v>3715818</v>
      </c>
      <c r="AW289" s="20">
        <f t="shared" ca="1" si="316"/>
        <v>1280000</v>
      </c>
      <c r="AX289" s="20">
        <f t="shared" ref="AX289:AY289" ca="1" si="327">W289</f>
        <v>0</v>
      </c>
      <c r="AY289" s="20">
        <f t="shared" si="327"/>
        <v>0</v>
      </c>
      <c r="AZ289" s="20">
        <f t="shared" si="318"/>
        <v>8917.9631999999983</v>
      </c>
      <c r="BA289" s="20">
        <f t="shared" si="319"/>
        <v>11147.454</v>
      </c>
      <c r="BB289" s="20">
        <f t="shared" si="320"/>
        <v>148632.72</v>
      </c>
      <c r="BC289" s="20">
        <f t="shared" ca="1" si="321"/>
        <v>5164516.1371999998</v>
      </c>
      <c r="BD289" s="37">
        <f ca="1">IF(AU289="C",VLOOKUP(BC289,TER!$J$4:$L$50,3,TRUE),IF(AU289="B",VLOOKUP(BC289,TER!$F$4:$H$50,3,TRUE),IF(AU289="A",VLOOKUP(BC289,TER!$B$4:$D$50,3,TRUE),"ERROR")))</f>
        <v>0</v>
      </c>
      <c r="BE289" s="20">
        <f t="shared" ca="1" si="322"/>
        <v>0</v>
      </c>
      <c r="BF289" s="216"/>
      <c r="BG289" s="216"/>
    </row>
    <row r="290" spans="1:59" ht="15.75" hidden="1" customHeight="1">
      <c r="A290" s="216"/>
      <c r="B290" s="27">
        <v>6</v>
      </c>
      <c r="C290" s="28" t="s">
        <v>101</v>
      </c>
      <c r="D290" s="29" t="s">
        <v>102</v>
      </c>
      <c r="E290" s="27" t="s">
        <v>57</v>
      </c>
      <c r="F290" s="28" t="s">
        <v>103</v>
      </c>
      <c r="G290" s="27" t="s">
        <v>31</v>
      </c>
      <c r="H290" s="332" t="s">
        <v>32</v>
      </c>
      <c r="I290" s="16">
        <f t="shared" si="302"/>
        <v>3715818</v>
      </c>
      <c r="J290" s="16">
        <v>231867.04320000001</v>
      </c>
      <c r="K290" s="16">
        <v>148632.72</v>
      </c>
      <c r="L290" s="333">
        <v>200000</v>
      </c>
      <c r="M290" s="333">
        <f t="shared" si="325"/>
        <v>60000</v>
      </c>
      <c r="N290" s="21">
        <f ca="1">IFERROR(__xludf.DUMMYFUNCTION("VLOOKUP(C290,IMPORTRANGE(""https://docs.google.com/spreadsheets/d/1_8zosgvsKLSoAfUB7h2fjXw03wrKRz4qTHSb38JFhpE/edit?gid=2056509001#gid=2056509001"",""DATA_ABSEN_DES24""),39,0)"),19)</f>
        <v>19</v>
      </c>
      <c r="O290" s="334">
        <f ca="1">IFERROR(__xludf.DUMMYFUNCTION("VLOOKUP(C290,IMPORTRANGE(""https://docs.google.com/spreadsheets/d/1_8zosgvsKLSoAfUB7h2fjXw03wrKRz4qTHSb38JFhpE/edit?gid=2056509001#gid=2056509001"",""DATA_ABSEN_DES24""),40,0)"),31)</f>
        <v>31</v>
      </c>
      <c r="P290" s="16">
        <f t="shared" ca="1" si="304"/>
        <v>1340000</v>
      </c>
      <c r="Q290" s="16">
        <v>21</v>
      </c>
      <c r="R290" s="16">
        <f t="shared" si="305"/>
        <v>5556317.7631999999</v>
      </c>
      <c r="S290" s="16">
        <f t="shared" ca="1" si="306"/>
        <v>5436317.7631999999</v>
      </c>
      <c r="T290" s="16">
        <f t="shared" ca="1" si="307"/>
        <v>0</v>
      </c>
      <c r="U290" s="16">
        <v>120000</v>
      </c>
      <c r="V290" s="8">
        <f ca="1">IFERROR(__xludf.DUMMYFUNCTION("VLOOKUP(C290,IMPORTRANGE(""https://docs.google.com/spreadsheets/d/1_8zosgvsKLSoAfUB7h2fjXw03wrKRz4qTHSb38JFhpE/edit?gid=2056509001#gid=2056509001"",""DATA_ABSEN_DES24""),42,0)"),0)</f>
        <v>0</v>
      </c>
      <c r="W290" s="16">
        <f t="shared" ca="1" si="308"/>
        <v>0</v>
      </c>
      <c r="X290" s="16">
        <v>0</v>
      </c>
      <c r="Y290" s="16">
        <f t="shared" ca="1" si="309"/>
        <v>5436317.7631999999</v>
      </c>
      <c r="Z290" s="21"/>
      <c r="AA290" s="21"/>
      <c r="AB290" s="21"/>
      <c r="AC290" s="21"/>
      <c r="AD290" s="21"/>
      <c r="AE290" s="16"/>
      <c r="AF290" s="16"/>
      <c r="AG290" s="16"/>
      <c r="AH290" s="16"/>
      <c r="AI290" s="16"/>
      <c r="AJ290" s="16"/>
      <c r="AK290" s="16"/>
      <c r="AL290" s="16"/>
      <c r="AM290" s="16"/>
      <c r="AN290" s="335">
        <f t="shared" ca="1" si="310"/>
        <v>5436317.7631999999</v>
      </c>
      <c r="AO290" s="20">
        <f t="shared" ca="1" si="311"/>
        <v>0</v>
      </c>
      <c r="AP290" s="20">
        <f t="shared" ca="1" si="312"/>
        <v>5436317.7631999999</v>
      </c>
      <c r="AQ290" s="20">
        <f t="shared" ca="1" si="313"/>
        <v>5436317.7631999999</v>
      </c>
      <c r="AR290" s="20">
        <f t="shared" ca="1" si="314"/>
        <v>5436300</v>
      </c>
      <c r="AS290" s="216"/>
      <c r="AT290" s="27" t="s">
        <v>9</v>
      </c>
      <c r="AU290" s="30" t="str">
        <f>VLOOKUP(AT290,TER!$R$2:$S$10,2,0)</f>
        <v>A</v>
      </c>
      <c r="AV290" s="20">
        <f t="shared" si="315"/>
        <v>3715818</v>
      </c>
      <c r="AW290" s="20">
        <f t="shared" ca="1" si="316"/>
        <v>1340000</v>
      </c>
      <c r="AX290" s="20">
        <f t="shared" ref="AX290:AY290" ca="1" si="328">W290</f>
        <v>0</v>
      </c>
      <c r="AY290" s="20">
        <f t="shared" si="328"/>
        <v>0</v>
      </c>
      <c r="AZ290" s="20">
        <f t="shared" si="318"/>
        <v>8917.9631999999983</v>
      </c>
      <c r="BA290" s="20">
        <f t="shared" si="319"/>
        <v>11147.454</v>
      </c>
      <c r="BB290" s="20">
        <f t="shared" si="320"/>
        <v>148632.72</v>
      </c>
      <c r="BC290" s="20">
        <f t="shared" ca="1" si="321"/>
        <v>5224516.1371999998</v>
      </c>
      <c r="BD290" s="37">
        <f ca="1">IF(AU290="C",VLOOKUP(BC290,TER!$J$4:$L$50,3,TRUE),IF(AU290="B",VLOOKUP(BC290,TER!$F$4:$H$50,3,TRUE),IF(AU290="A",VLOOKUP(BC290,TER!$B$4:$D$50,3,TRUE),"ERROR")))</f>
        <v>0</v>
      </c>
      <c r="BE290" s="20">
        <f t="shared" ca="1" si="322"/>
        <v>0</v>
      </c>
      <c r="BF290" s="216"/>
      <c r="BG290" s="216"/>
    </row>
    <row r="291" spans="1:59" ht="15.75" hidden="1" customHeight="1">
      <c r="A291" s="216"/>
      <c r="B291" s="27">
        <v>7</v>
      </c>
      <c r="C291" s="28" t="s">
        <v>104</v>
      </c>
      <c r="D291" s="29" t="s">
        <v>105</v>
      </c>
      <c r="E291" s="27" t="s">
        <v>57</v>
      </c>
      <c r="F291" s="28" t="s">
        <v>106</v>
      </c>
      <c r="G291" s="27" t="s">
        <v>31</v>
      </c>
      <c r="H291" s="332" t="s">
        <v>32</v>
      </c>
      <c r="I291" s="16">
        <f t="shared" si="302"/>
        <v>3715818</v>
      </c>
      <c r="J291" s="16">
        <v>231867.04320000001</v>
      </c>
      <c r="K291" s="16">
        <v>148632.72</v>
      </c>
      <c r="L291" s="333">
        <v>200000</v>
      </c>
      <c r="M291" s="333">
        <f t="shared" si="325"/>
        <v>60000</v>
      </c>
      <c r="N291" s="21">
        <f ca="1">IFERROR(__xludf.DUMMYFUNCTION("VLOOKUP(C291,IMPORTRANGE(""https://docs.google.com/spreadsheets/d/1_8zosgvsKLSoAfUB7h2fjXw03wrKRz4qTHSb38JFhpE/edit?gid=2056509001#gid=2056509001"",""DATA_ABSEN_DES24""),39,0)"),18)</f>
        <v>18</v>
      </c>
      <c r="O291" s="334">
        <f ca="1">IFERROR(__xludf.DUMMYFUNCTION("VLOOKUP(C291,IMPORTRANGE(""https://docs.google.com/spreadsheets/d/1_8zosgvsKLSoAfUB7h2fjXw03wrKRz4qTHSb38JFhpE/edit?gid=2056509001#gid=2056509001"",""DATA_ABSEN_DES24""),40,0)"),31)</f>
        <v>31</v>
      </c>
      <c r="P291" s="16">
        <f t="shared" ca="1" si="304"/>
        <v>1280000</v>
      </c>
      <c r="Q291" s="16">
        <v>21</v>
      </c>
      <c r="R291" s="16">
        <f t="shared" si="305"/>
        <v>5556317.7631999999</v>
      </c>
      <c r="S291" s="16">
        <f t="shared" ca="1" si="306"/>
        <v>5376317.7631999999</v>
      </c>
      <c r="T291" s="16">
        <f t="shared" ca="1" si="307"/>
        <v>0</v>
      </c>
      <c r="U291" s="16">
        <v>120000</v>
      </c>
      <c r="V291" s="8">
        <f ca="1">IFERROR(__xludf.DUMMYFUNCTION("VLOOKUP(C291,IMPORTRANGE(""https://docs.google.com/spreadsheets/d/1_8zosgvsKLSoAfUB7h2fjXw03wrKRz4qTHSb38JFhpE/edit?gid=2056509001#gid=2056509001"",""DATA_ABSEN_DES24""),42,0)"),0)</f>
        <v>0</v>
      </c>
      <c r="W291" s="16">
        <f t="shared" ca="1" si="308"/>
        <v>0</v>
      </c>
      <c r="X291" s="16">
        <v>0</v>
      </c>
      <c r="Y291" s="16">
        <f t="shared" ca="1" si="309"/>
        <v>5376317.7631999999</v>
      </c>
      <c r="Z291" s="21"/>
      <c r="AA291" s="21"/>
      <c r="AB291" s="21"/>
      <c r="AC291" s="21"/>
      <c r="AD291" s="21"/>
      <c r="AE291" s="16"/>
      <c r="AF291" s="16"/>
      <c r="AG291" s="16"/>
      <c r="AH291" s="16"/>
      <c r="AI291" s="16"/>
      <c r="AJ291" s="16"/>
      <c r="AK291" s="16"/>
      <c r="AL291" s="16"/>
      <c r="AM291" s="16"/>
      <c r="AN291" s="335">
        <f t="shared" ca="1" si="310"/>
        <v>5376317.7631999999</v>
      </c>
      <c r="AO291" s="20">
        <f t="shared" ca="1" si="311"/>
        <v>0</v>
      </c>
      <c r="AP291" s="20">
        <f t="shared" ca="1" si="312"/>
        <v>5376317.7631999999</v>
      </c>
      <c r="AQ291" s="20">
        <f t="shared" ca="1" si="313"/>
        <v>5376317.7631999999</v>
      </c>
      <c r="AR291" s="20">
        <f t="shared" ca="1" si="314"/>
        <v>5376300</v>
      </c>
      <c r="AS291" s="216"/>
      <c r="AT291" s="27" t="s">
        <v>8</v>
      </c>
      <c r="AU291" s="30" t="str">
        <f>VLOOKUP(AT291,TER!$R$2:$S$10,2,0)</f>
        <v>C</v>
      </c>
      <c r="AV291" s="20">
        <f t="shared" si="315"/>
        <v>3715818</v>
      </c>
      <c r="AW291" s="20">
        <f t="shared" ca="1" si="316"/>
        <v>1280000</v>
      </c>
      <c r="AX291" s="20">
        <f t="shared" ref="AX291:AY291" ca="1" si="329">W291</f>
        <v>0</v>
      </c>
      <c r="AY291" s="20">
        <f t="shared" si="329"/>
        <v>0</v>
      </c>
      <c r="AZ291" s="20">
        <f t="shared" si="318"/>
        <v>8917.9631999999983</v>
      </c>
      <c r="BA291" s="20">
        <f t="shared" si="319"/>
        <v>11147.454</v>
      </c>
      <c r="BB291" s="20">
        <f t="shared" si="320"/>
        <v>148632.72</v>
      </c>
      <c r="BC291" s="20">
        <f t="shared" ca="1" si="321"/>
        <v>5164516.1371999998</v>
      </c>
      <c r="BD291" s="37">
        <f ca="1">IF(AU291="C",VLOOKUP(BC291,TER!$J$4:$L$50,3,TRUE),IF(AU291="B",VLOOKUP(BC291,TER!$F$4:$H$50,3,TRUE),IF(AU291="A",VLOOKUP(BC291,TER!$B$4:$D$50,3,TRUE),"ERROR")))</f>
        <v>0</v>
      </c>
      <c r="BE291" s="20">
        <f t="shared" ca="1" si="322"/>
        <v>0</v>
      </c>
      <c r="BF291" s="216"/>
      <c r="BG291" s="216"/>
    </row>
    <row r="292" spans="1:59" ht="15.75" hidden="1" customHeight="1">
      <c r="A292" s="216"/>
      <c r="B292" s="27">
        <v>8</v>
      </c>
      <c r="C292" s="28" t="s">
        <v>107</v>
      </c>
      <c r="D292" s="29" t="s">
        <v>108</v>
      </c>
      <c r="E292" s="27" t="s">
        <v>57</v>
      </c>
      <c r="F292" s="28" t="s">
        <v>109</v>
      </c>
      <c r="G292" s="27" t="s">
        <v>31</v>
      </c>
      <c r="H292" s="332" t="s">
        <v>32</v>
      </c>
      <c r="I292" s="16">
        <f t="shared" si="302"/>
        <v>3715818</v>
      </c>
      <c r="J292" s="16">
        <v>231867.04320000001</v>
      </c>
      <c r="K292" s="16">
        <v>148632.72</v>
      </c>
      <c r="L292" s="333">
        <v>200000</v>
      </c>
      <c r="M292" s="333">
        <f t="shared" si="325"/>
        <v>60000</v>
      </c>
      <c r="N292" s="21">
        <f ca="1">IFERROR(__xludf.DUMMYFUNCTION("VLOOKUP(C292,IMPORTRANGE(""https://docs.google.com/spreadsheets/d/1_8zosgvsKLSoAfUB7h2fjXw03wrKRz4qTHSb38JFhpE/edit?gid=2056509001#gid=2056509001"",""DATA_ABSEN_DES24""),39,0)"),21)</f>
        <v>21</v>
      </c>
      <c r="O292" s="334">
        <f ca="1">IFERROR(__xludf.DUMMYFUNCTION("VLOOKUP(C292,IMPORTRANGE(""https://docs.google.com/spreadsheets/d/1_8zosgvsKLSoAfUB7h2fjXw03wrKRz4qTHSb38JFhpE/edit?gid=2056509001#gid=2056509001"",""DATA_ABSEN_DES24""),40,0)"),31)</f>
        <v>31</v>
      </c>
      <c r="P292" s="16">
        <f t="shared" ca="1" si="304"/>
        <v>1460000</v>
      </c>
      <c r="Q292" s="16">
        <v>21</v>
      </c>
      <c r="R292" s="16">
        <f t="shared" si="305"/>
        <v>5556317.7631999999</v>
      </c>
      <c r="S292" s="16">
        <f t="shared" ca="1" si="306"/>
        <v>5556317.7631999999</v>
      </c>
      <c r="T292" s="16">
        <f t="shared" ca="1" si="307"/>
        <v>0</v>
      </c>
      <c r="U292" s="16">
        <v>120000</v>
      </c>
      <c r="V292" s="8">
        <f ca="1">IFERROR(__xludf.DUMMYFUNCTION("VLOOKUP(C292,IMPORTRANGE(""https://docs.google.com/spreadsheets/d/1_8zosgvsKLSoAfUB7h2fjXw03wrKRz4qTHSb38JFhpE/edit?gid=2056509001#gid=2056509001"",""DATA_ABSEN_DES24""),42,0)"),0)</f>
        <v>0</v>
      </c>
      <c r="W292" s="16">
        <f t="shared" ca="1" si="308"/>
        <v>0</v>
      </c>
      <c r="X292" s="16">
        <v>0</v>
      </c>
      <c r="Y292" s="16">
        <f t="shared" ca="1" si="309"/>
        <v>5556317.7631999999</v>
      </c>
      <c r="Z292" s="21"/>
      <c r="AA292" s="21"/>
      <c r="AB292" s="21"/>
      <c r="AC292" s="21"/>
      <c r="AD292" s="21"/>
      <c r="AE292" s="16"/>
      <c r="AF292" s="16"/>
      <c r="AG292" s="16"/>
      <c r="AH292" s="16"/>
      <c r="AI292" s="16"/>
      <c r="AJ292" s="16"/>
      <c r="AK292" s="16"/>
      <c r="AL292" s="16"/>
      <c r="AM292" s="16"/>
      <c r="AN292" s="335">
        <f t="shared" ca="1" si="310"/>
        <v>5556317.7631999999</v>
      </c>
      <c r="AO292" s="20">
        <f t="shared" ca="1" si="311"/>
        <v>0</v>
      </c>
      <c r="AP292" s="20">
        <f t="shared" ca="1" si="312"/>
        <v>5556317.7631999999</v>
      </c>
      <c r="AQ292" s="20">
        <f t="shared" ca="1" si="313"/>
        <v>5556317.7631999999</v>
      </c>
      <c r="AR292" s="20">
        <f t="shared" ca="1" si="314"/>
        <v>5556300</v>
      </c>
      <c r="AS292" s="216"/>
      <c r="AT292" s="27" t="s">
        <v>18</v>
      </c>
      <c r="AU292" s="30" t="str">
        <f>VLOOKUP(AT292,TER!$R$2:$S$10,2,0)</f>
        <v>B</v>
      </c>
      <c r="AV292" s="20">
        <f t="shared" si="315"/>
        <v>3715818</v>
      </c>
      <c r="AW292" s="20">
        <f t="shared" ca="1" si="316"/>
        <v>1460000</v>
      </c>
      <c r="AX292" s="20">
        <f t="shared" ref="AX292:AY292" ca="1" si="330">W292</f>
        <v>0</v>
      </c>
      <c r="AY292" s="20">
        <f t="shared" si="330"/>
        <v>0</v>
      </c>
      <c r="AZ292" s="20">
        <f t="shared" si="318"/>
        <v>8917.9631999999983</v>
      </c>
      <c r="BA292" s="20">
        <f t="shared" si="319"/>
        <v>11147.454</v>
      </c>
      <c r="BB292" s="20">
        <f t="shared" si="320"/>
        <v>148632.72</v>
      </c>
      <c r="BC292" s="20">
        <f t="shared" ca="1" si="321"/>
        <v>5344516.1371999998</v>
      </c>
      <c r="BD292" s="37">
        <f ca="1">IF(AU292="C",VLOOKUP(BC292,TER!$J$4:$L$50,3,TRUE),IF(AU292="B",VLOOKUP(BC292,TER!$F$4:$H$50,3,TRUE),IF(AU292="A",VLOOKUP(BC292,TER!$B$4:$D$50,3,TRUE),"ERROR")))</f>
        <v>0</v>
      </c>
      <c r="BE292" s="20">
        <f t="shared" ca="1" si="322"/>
        <v>0</v>
      </c>
      <c r="BF292" s="216"/>
      <c r="BG292" s="216"/>
    </row>
    <row r="293" spans="1:59" ht="15.75" hidden="1" customHeight="1">
      <c r="A293" s="216"/>
      <c r="B293" s="27">
        <v>9</v>
      </c>
      <c r="C293" s="28" t="s">
        <v>110</v>
      </c>
      <c r="D293" s="29" t="s">
        <v>111</v>
      </c>
      <c r="E293" s="27" t="s">
        <v>57</v>
      </c>
      <c r="F293" s="28" t="s">
        <v>112</v>
      </c>
      <c r="G293" s="27" t="s">
        <v>31</v>
      </c>
      <c r="H293" s="332" t="s">
        <v>32</v>
      </c>
      <c r="I293" s="16">
        <f t="shared" si="302"/>
        <v>3715818</v>
      </c>
      <c r="J293" s="16">
        <v>231867.04320000001</v>
      </c>
      <c r="K293" s="16">
        <v>148632.72</v>
      </c>
      <c r="L293" s="333">
        <v>200000</v>
      </c>
      <c r="M293" s="333">
        <f t="shared" si="325"/>
        <v>60000</v>
      </c>
      <c r="N293" s="21">
        <f ca="1">IFERROR(__xludf.DUMMYFUNCTION("VLOOKUP(C293,IMPORTRANGE(""https://docs.google.com/spreadsheets/d/1_8zosgvsKLSoAfUB7h2fjXw03wrKRz4qTHSb38JFhpE/edit?gid=2056509001#gid=2056509001"",""DATA_ABSEN_DES24""),39,0)"),21)</f>
        <v>21</v>
      </c>
      <c r="O293" s="334">
        <f ca="1">IFERROR(__xludf.DUMMYFUNCTION("VLOOKUP(C293,IMPORTRANGE(""https://docs.google.com/spreadsheets/d/1_8zosgvsKLSoAfUB7h2fjXw03wrKRz4qTHSb38JFhpE/edit?gid=2056509001#gid=2056509001"",""DATA_ABSEN_DES24""),40,0)"),31)</f>
        <v>31</v>
      </c>
      <c r="P293" s="16">
        <f t="shared" ca="1" si="304"/>
        <v>1460000</v>
      </c>
      <c r="Q293" s="16">
        <v>21</v>
      </c>
      <c r="R293" s="16">
        <f t="shared" si="305"/>
        <v>5556317.7631999999</v>
      </c>
      <c r="S293" s="16">
        <f t="shared" ca="1" si="306"/>
        <v>5556317.7631999999</v>
      </c>
      <c r="T293" s="16">
        <f t="shared" ca="1" si="307"/>
        <v>0</v>
      </c>
      <c r="U293" s="16">
        <v>120000</v>
      </c>
      <c r="V293" s="8">
        <f ca="1">IFERROR(__xludf.DUMMYFUNCTION("VLOOKUP(C293,IMPORTRANGE(""https://docs.google.com/spreadsheets/d/1_8zosgvsKLSoAfUB7h2fjXw03wrKRz4qTHSb38JFhpE/edit?gid=2056509001#gid=2056509001"",""DATA_ABSEN_DES24""),42,0)"),0)</f>
        <v>0</v>
      </c>
      <c r="W293" s="16">
        <f t="shared" ca="1" si="308"/>
        <v>0</v>
      </c>
      <c r="X293" s="16">
        <v>0</v>
      </c>
      <c r="Y293" s="16">
        <f t="shared" ca="1" si="309"/>
        <v>5556317.7631999999</v>
      </c>
      <c r="Z293" s="21"/>
      <c r="AA293" s="21"/>
      <c r="AB293" s="21"/>
      <c r="AC293" s="21"/>
      <c r="AD293" s="21"/>
      <c r="AE293" s="16"/>
      <c r="AF293" s="16"/>
      <c r="AG293" s="16"/>
      <c r="AH293" s="16"/>
      <c r="AI293" s="16"/>
      <c r="AJ293" s="16"/>
      <c r="AK293" s="16"/>
      <c r="AL293" s="16"/>
      <c r="AM293" s="16"/>
      <c r="AN293" s="335">
        <f t="shared" ca="1" si="310"/>
        <v>5556317.7631999999</v>
      </c>
      <c r="AO293" s="20">
        <f t="shared" ca="1" si="311"/>
        <v>0</v>
      </c>
      <c r="AP293" s="20">
        <f t="shared" ca="1" si="312"/>
        <v>5556317.7631999999</v>
      </c>
      <c r="AQ293" s="20">
        <f t="shared" ca="1" si="313"/>
        <v>5556317.7631999999</v>
      </c>
      <c r="AR293" s="20">
        <f t="shared" ca="1" si="314"/>
        <v>5556300</v>
      </c>
      <c r="AS293" s="216"/>
      <c r="AT293" s="27" t="s">
        <v>9</v>
      </c>
      <c r="AU293" s="30" t="str">
        <f>VLOOKUP(AT293,TER!$R$2:$S$10,2,0)</f>
        <v>A</v>
      </c>
      <c r="AV293" s="20">
        <f t="shared" si="315"/>
        <v>3715818</v>
      </c>
      <c r="AW293" s="20">
        <f t="shared" ca="1" si="316"/>
        <v>1460000</v>
      </c>
      <c r="AX293" s="20">
        <f t="shared" ref="AX293:AY293" ca="1" si="331">W293</f>
        <v>0</v>
      </c>
      <c r="AY293" s="20">
        <f t="shared" si="331"/>
        <v>0</v>
      </c>
      <c r="AZ293" s="20">
        <f t="shared" si="318"/>
        <v>8917.9631999999983</v>
      </c>
      <c r="BA293" s="20">
        <f t="shared" si="319"/>
        <v>11147.454</v>
      </c>
      <c r="BB293" s="20">
        <f t="shared" si="320"/>
        <v>148632.72</v>
      </c>
      <c r="BC293" s="20">
        <f t="shared" ca="1" si="321"/>
        <v>5344516.1371999998</v>
      </c>
      <c r="BD293" s="37">
        <f ca="1">IF(AU293="C",VLOOKUP(BC293,TER!$J$4:$L$50,3,TRUE),IF(AU293="B",VLOOKUP(BC293,TER!$F$4:$H$50,3,TRUE),IF(AU293="A",VLOOKUP(BC293,TER!$B$4:$D$50,3,TRUE),"ERROR")))</f>
        <v>0</v>
      </c>
      <c r="BE293" s="20">
        <f t="shared" ca="1" si="322"/>
        <v>0</v>
      </c>
      <c r="BF293" s="216"/>
      <c r="BG293" s="216"/>
    </row>
    <row r="294" spans="1:59" ht="15.75" hidden="1" customHeight="1">
      <c r="A294" s="216"/>
      <c r="B294" s="27">
        <v>10</v>
      </c>
      <c r="C294" s="28" t="s">
        <v>113</v>
      </c>
      <c r="D294" s="29" t="s">
        <v>114</v>
      </c>
      <c r="E294" s="27" t="s">
        <v>57</v>
      </c>
      <c r="F294" s="28" t="s">
        <v>115</v>
      </c>
      <c r="G294" s="27" t="s">
        <v>31</v>
      </c>
      <c r="H294" s="332" t="s">
        <v>32</v>
      </c>
      <c r="I294" s="16">
        <f t="shared" si="302"/>
        <v>3715818</v>
      </c>
      <c r="J294" s="16">
        <v>231867.04320000001</v>
      </c>
      <c r="K294" s="16">
        <v>148632.72</v>
      </c>
      <c r="L294" s="333">
        <v>200000</v>
      </c>
      <c r="M294" s="333">
        <f t="shared" si="325"/>
        <v>60000</v>
      </c>
      <c r="N294" s="21">
        <f ca="1">IFERROR(__xludf.DUMMYFUNCTION("VLOOKUP(C294,IMPORTRANGE(""https://docs.google.com/spreadsheets/d/1_8zosgvsKLSoAfUB7h2fjXw03wrKRz4qTHSb38JFhpE/edit?gid=2056509001#gid=2056509001"",""DATA_ABSEN_DES24""),39,0)"),21)</f>
        <v>21</v>
      </c>
      <c r="O294" s="334">
        <f ca="1">IFERROR(__xludf.DUMMYFUNCTION("VLOOKUP(C294,IMPORTRANGE(""https://docs.google.com/spreadsheets/d/1_8zosgvsKLSoAfUB7h2fjXw03wrKRz4qTHSb38JFhpE/edit?gid=2056509001#gid=2056509001"",""DATA_ABSEN_DES24""),40,0)"),31)</f>
        <v>31</v>
      </c>
      <c r="P294" s="16">
        <f t="shared" ca="1" si="304"/>
        <v>1460000</v>
      </c>
      <c r="Q294" s="16">
        <v>21</v>
      </c>
      <c r="R294" s="16">
        <f t="shared" si="305"/>
        <v>5556317.7631999999</v>
      </c>
      <c r="S294" s="16">
        <f t="shared" ca="1" si="306"/>
        <v>5556317.7631999999</v>
      </c>
      <c r="T294" s="16">
        <f t="shared" ca="1" si="307"/>
        <v>0</v>
      </c>
      <c r="U294" s="16">
        <v>120000</v>
      </c>
      <c r="V294" s="8">
        <f ca="1">IFERROR(__xludf.DUMMYFUNCTION("VLOOKUP(C294,IMPORTRANGE(""https://docs.google.com/spreadsheets/d/1_8zosgvsKLSoAfUB7h2fjXw03wrKRz4qTHSb38JFhpE/edit?gid=2056509001#gid=2056509001"",""DATA_ABSEN_DES24""),42,0)"),0)</f>
        <v>0</v>
      </c>
      <c r="W294" s="16">
        <f t="shared" ca="1" si="308"/>
        <v>0</v>
      </c>
      <c r="X294" s="16">
        <v>0</v>
      </c>
      <c r="Y294" s="16">
        <f t="shared" ca="1" si="309"/>
        <v>5556317.7631999999</v>
      </c>
      <c r="Z294" s="21"/>
      <c r="AA294" s="21"/>
      <c r="AB294" s="21"/>
      <c r="AC294" s="21"/>
      <c r="AD294" s="21"/>
      <c r="AE294" s="16"/>
      <c r="AF294" s="16"/>
      <c r="AG294" s="16"/>
      <c r="AH294" s="16"/>
      <c r="AI294" s="16"/>
      <c r="AJ294" s="16"/>
      <c r="AK294" s="16"/>
      <c r="AL294" s="16"/>
      <c r="AM294" s="16"/>
      <c r="AN294" s="335">
        <f t="shared" ca="1" si="310"/>
        <v>5556317.7631999999</v>
      </c>
      <c r="AO294" s="20">
        <f t="shared" ca="1" si="311"/>
        <v>0</v>
      </c>
      <c r="AP294" s="20">
        <f t="shared" ca="1" si="312"/>
        <v>5556317.7631999999</v>
      </c>
      <c r="AQ294" s="20">
        <f t="shared" ca="1" si="313"/>
        <v>5556317.7631999999</v>
      </c>
      <c r="AR294" s="20">
        <f t="shared" ca="1" si="314"/>
        <v>5556300</v>
      </c>
      <c r="AS294" s="216"/>
      <c r="AT294" s="27" t="s">
        <v>8</v>
      </c>
      <c r="AU294" s="30" t="str">
        <f>VLOOKUP(AT294,TER!$R$2:$S$10,2,0)</f>
        <v>C</v>
      </c>
      <c r="AV294" s="20">
        <f t="shared" si="315"/>
        <v>3715818</v>
      </c>
      <c r="AW294" s="20">
        <f t="shared" ca="1" si="316"/>
        <v>1460000</v>
      </c>
      <c r="AX294" s="20">
        <f t="shared" ref="AX294:AY294" ca="1" si="332">W294</f>
        <v>0</v>
      </c>
      <c r="AY294" s="20">
        <f t="shared" si="332"/>
        <v>0</v>
      </c>
      <c r="AZ294" s="20">
        <f t="shared" si="318"/>
        <v>8917.9631999999983</v>
      </c>
      <c r="BA294" s="20">
        <f t="shared" si="319"/>
        <v>11147.454</v>
      </c>
      <c r="BB294" s="20">
        <f t="shared" si="320"/>
        <v>148632.72</v>
      </c>
      <c r="BC294" s="20">
        <f t="shared" ca="1" si="321"/>
        <v>5344516.1371999998</v>
      </c>
      <c r="BD294" s="37">
        <f ca="1">IF(AU294="C",VLOOKUP(BC294,TER!$J$4:$L$50,3,TRUE),IF(AU294="B",VLOOKUP(BC294,TER!$F$4:$H$50,3,TRUE),IF(AU294="A",VLOOKUP(BC294,TER!$B$4:$D$50,3,TRUE),"ERROR")))</f>
        <v>0</v>
      </c>
      <c r="BE294" s="20">
        <f t="shared" ca="1" si="322"/>
        <v>0</v>
      </c>
      <c r="BF294" s="216"/>
      <c r="BG294" s="216"/>
    </row>
    <row r="295" spans="1:59" ht="15.75" hidden="1" customHeight="1">
      <c r="A295" s="216"/>
      <c r="B295" s="27">
        <v>11</v>
      </c>
      <c r="C295" s="28" t="s">
        <v>116</v>
      </c>
      <c r="D295" s="29" t="s">
        <v>117</v>
      </c>
      <c r="E295" s="27" t="s">
        <v>57</v>
      </c>
      <c r="F295" s="28" t="s">
        <v>118</v>
      </c>
      <c r="G295" s="27" t="s">
        <v>31</v>
      </c>
      <c r="H295" s="332" t="s">
        <v>32</v>
      </c>
      <c r="I295" s="16">
        <f t="shared" si="302"/>
        <v>3715818</v>
      </c>
      <c r="J295" s="16">
        <v>231867.04320000001</v>
      </c>
      <c r="K295" s="16">
        <v>148632.72</v>
      </c>
      <c r="L295" s="333">
        <v>200000</v>
      </c>
      <c r="M295" s="333">
        <f t="shared" si="325"/>
        <v>60000</v>
      </c>
      <c r="N295" s="21">
        <f ca="1">IFERROR(__xludf.DUMMYFUNCTION("VLOOKUP(C295,IMPORTRANGE(""https://docs.google.com/spreadsheets/d/1_8zosgvsKLSoAfUB7h2fjXw03wrKRz4qTHSb38JFhpE/edit?gid=2056509001#gid=2056509001"",""DATA_ABSEN_DES24""),39,0)"),20)</f>
        <v>20</v>
      </c>
      <c r="O295" s="334">
        <f ca="1">IFERROR(__xludf.DUMMYFUNCTION("VLOOKUP(C295,IMPORTRANGE(""https://docs.google.com/spreadsheets/d/1_8zosgvsKLSoAfUB7h2fjXw03wrKRz4qTHSb38JFhpE/edit?gid=2056509001#gid=2056509001"",""DATA_ABSEN_DES24""),40,0)"),31)</f>
        <v>31</v>
      </c>
      <c r="P295" s="16">
        <f t="shared" ca="1" si="304"/>
        <v>1400000</v>
      </c>
      <c r="Q295" s="16">
        <v>21</v>
      </c>
      <c r="R295" s="16">
        <f t="shared" si="305"/>
        <v>5556317.7631999999</v>
      </c>
      <c r="S295" s="16">
        <f t="shared" ca="1" si="306"/>
        <v>5496317.7631999999</v>
      </c>
      <c r="T295" s="16">
        <f t="shared" ca="1" si="307"/>
        <v>0</v>
      </c>
      <c r="U295" s="16">
        <v>120000</v>
      </c>
      <c r="V295" s="8">
        <f ca="1">IFERROR(__xludf.DUMMYFUNCTION("VLOOKUP(C295,IMPORTRANGE(""https://docs.google.com/spreadsheets/d/1_8zosgvsKLSoAfUB7h2fjXw03wrKRz4qTHSb38JFhpE/edit?gid=2056509001#gid=2056509001"",""DATA_ABSEN_DES24""),42,0)"),0)</f>
        <v>0</v>
      </c>
      <c r="W295" s="16">
        <f t="shared" ca="1" si="308"/>
        <v>0</v>
      </c>
      <c r="X295" s="16">
        <v>0</v>
      </c>
      <c r="Y295" s="16">
        <f t="shared" ca="1" si="309"/>
        <v>5496317.7631999999</v>
      </c>
      <c r="Z295" s="21"/>
      <c r="AA295" s="21"/>
      <c r="AB295" s="21"/>
      <c r="AC295" s="21"/>
      <c r="AD295" s="21"/>
      <c r="AE295" s="16"/>
      <c r="AF295" s="16"/>
      <c r="AG295" s="16"/>
      <c r="AH295" s="16"/>
      <c r="AI295" s="16"/>
      <c r="AJ295" s="16"/>
      <c r="AK295" s="16"/>
      <c r="AL295" s="16"/>
      <c r="AM295" s="16"/>
      <c r="AN295" s="335">
        <f t="shared" ca="1" si="310"/>
        <v>5496317.7631999999</v>
      </c>
      <c r="AO295" s="20">
        <f t="shared" ca="1" si="311"/>
        <v>0</v>
      </c>
      <c r="AP295" s="20">
        <f t="shared" ca="1" si="312"/>
        <v>5496317.7631999999</v>
      </c>
      <c r="AQ295" s="20">
        <f t="shared" ca="1" si="313"/>
        <v>5496317.7631999999</v>
      </c>
      <c r="AR295" s="20">
        <f t="shared" ca="1" si="314"/>
        <v>5496300</v>
      </c>
      <c r="AS295" s="216"/>
      <c r="AT295" s="27" t="s">
        <v>18</v>
      </c>
      <c r="AU295" s="30" t="str">
        <f>VLOOKUP(AT295,TER!$R$2:$S$10,2,0)</f>
        <v>B</v>
      </c>
      <c r="AV295" s="20">
        <f t="shared" si="315"/>
        <v>3715818</v>
      </c>
      <c r="AW295" s="20">
        <f t="shared" ca="1" si="316"/>
        <v>1400000</v>
      </c>
      <c r="AX295" s="20">
        <f t="shared" ref="AX295:AY295" ca="1" si="333">W295</f>
        <v>0</v>
      </c>
      <c r="AY295" s="20">
        <f t="shared" si="333"/>
        <v>0</v>
      </c>
      <c r="AZ295" s="20">
        <f t="shared" si="318"/>
        <v>8917.9631999999983</v>
      </c>
      <c r="BA295" s="20">
        <f t="shared" si="319"/>
        <v>11147.454</v>
      </c>
      <c r="BB295" s="20">
        <f t="shared" si="320"/>
        <v>148632.72</v>
      </c>
      <c r="BC295" s="20">
        <f t="shared" ca="1" si="321"/>
        <v>5284516.1371999998</v>
      </c>
      <c r="BD295" s="37">
        <f ca="1">IF(AU295="C",VLOOKUP(BC295,TER!$J$4:$L$50,3,TRUE),IF(AU295="B",VLOOKUP(BC295,TER!$F$4:$H$50,3,TRUE),IF(AU295="A",VLOOKUP(BC295,TER!$B$4:$D$50,3,TRUE),"ERROR")))</f>
        <v>0</v>
      </c>
      <c r="BE295" s="20">
        <f t="shared" ca="1" si="322"/>
        <v>0</v>
      </c>
      <c r="BF295" s="216"/>
      <c r="BG295" s="216"/>
    </row>
    <row r="296" spans="1:59" ht="15.75" hidden="1" customHeight="1">
      <c r="A296" s="216"/>
      <c r="B296" s="27">
        <v>12</v>
      </c>
      <c r="C296" s="28" t="s">
        <v>119</v>
      </c>
      <c r="D296" s="29" t="s">
        <v>120</v>
      </c>
      <c r="E296" s="27" t="s">
        <v>57</v>
      </c>
      <c r="F296" s="28" t="s">
        <v>121</v>
      </c>
      <c r="G296" s="27" t="s">
        <v>31</v>
      </c>
      <c r="H296" s="332" t="s">
        <v>32</v>
      </c>
      <c r="I296" s="16">
        <f t="shared" si="302"/>
        <v>3715818</v>
      </c>
      <c r="J296" s="16">
        <v>231867.04320000001</v>
      </c>
      <c r="K296" s="16">
        <v>148632.72</v>
      </c>
      <c r="L296" s="333">
        <v>200000</v>
      </c>
      <c r="M296" s="333">
        <f t="shared" si="325"/>
        <v>60000</v>
      </c>
      <c r="N296" s="21">
        <f ca="1">IFERROR(__xludf.DUMMYFUNCTION("VLOOKUP(C296,IMPORTRANGE(""https://docs.google.com/spreadsheets/d/1_8zosgvsKLSoAfUB7h2fjXw03wrKRz4qTHSb38JFhpE/edit?gid=2056509001#gid=2056509001"",""DATA_ABSEN_DES24""),39,0)"),21)</f>
        <v>21</v>
      </c>
      <c r="O296" s="334">
        <f ca="1">IFERROR(__xludf.DUMMYFUNCTION("VLOOKUP(C296,IMPORTRANGE(""https://docs.google.com/spreadsheets/d/1_8zosgvsKLSoAfUB7h2fjXw03wrKRz4qTHSb38JFhpE/edit?gid=2056509001#gid=2056509001"",""DATA_ABSEN_DES24""),40,0)"),31)</f>
        <v>31</v>
      </c>
      <c r="P296" s="16">
        <f t="shared" ca="1" si="304"/>
        <v>1460000</v>
      </c>
      <c r="Q296" s="16">
        <v>21</v>
      </c>
      <c r="R296" s="16">
        <f t="shared" si="305"/>
        <v>5556317.7631999999</v>
      </c>
      <c r="S296" s="16">
        <f t="shared" ca="1" si="306"/>
        <v>5556317.7631999999</v>
      </c>
      <c r="T296" s="16">
        <f t="shared" ca="1" si="307"/>
        <v>0</v>
      </c>
      <c r="U296" s="16">
        <v>120000</v>
      </c>
      <c r="V296" s="8">
        <f ca="1">IFERROR(__xludf.DUMMYFUNCTION("VLOOKUP(C296,IMPORTRANGE(""https://docs.google.com/spreadsheets/d/1_8zosgvsKLSoAfUB7h2fjXw03wrKRz4qTHSb38JFhpE/edit?gid=2056509001#gid=2056509001"",""DATA_ABSEN_DES24""),42,0)"),0)</f>
        <v>0</v>
      </c>
      <c r="W296" s="16">
        <f t="shared" ca="1" si="308"/>
        <v>0</v>
      </c>
      <c r="X296" s="16">
        <v>0</v>
      </c>
      <c r="Y296" s="16">
        <f t="shared" ca="1" si="309"/>
        <v>5556317.7631999999</v>
      </c>
      <c r="Z296" s="21"/>
      <c r="AA296" s="21"/>
      <c r="AB296" s="21"/>
      <c r="AC296" s="21"/>
      <c r="AD296" s="21"/>
      <c r="AE296" s="16"/>
      <c r="AF296" s="16"/>
      <c r="AG296" s="16"/>
      <c r="AH296" s="16"/>
      <c r="AI296" s="16"/>
      <c r="AJ296" s="16"/>
      <c r="AK296" s="16"/>
      <c r="AL296" s="16"/>
      <c r="AM296" s="16"/>
      <c r="AN296" s="335">
        <f t="shared" ca="1" si="310"/>
        <v>5556317.7631999999</v>
      </c>
      <c r="AO296" s="20">
        <f t="shared" ca="1" si="311"/>
        <v>0</v>
      </c>
      <c r="AP296" s="20">
        <f t="shared" ca="1" si="312"/>
        <v>5556317.7631999999</v>
      </c>
      <c r="AQ296" s="20">
        <f t="shared" ca="1" si="313"/>
        <v>5556317.7631999999</v>
      </c>
      <c r="AR296" s="20">
        <f t="shared" ca="1" si="314"/>
        <v>5556300</v>
      </c>
      <c r="AS296" s="216"/>
      <c r="AT296" s="27" t="s">
        <v>9</v>
      </c>
      <c r="AU296" s="30" t="str">
        <f>VLOOKUP(AT296,TER!$R$2:$S$10,2,0)</f>
        <v>A</v>
      </c>
      <c r="AV296" s="20">
        <f t="shared" si="315"/>
        <v>3715818</v>
      </c>
      <c r="AW296" s="20">
        <f t="shared" ca="1" si="316"/>
        <v>1460000</v>
      </c>
      <c r="AX296" s="20">
        <f t="shared" ref="AX296:AY296" ca="1" si="334">W296</f>
        <v>0</v>
      </c>
      <c r="AY296" s="20">
        <f t="shared" si="334"/>
        <v>0</v>
      </c>
      <c r="AZ296" s="20">
        <f t="shared" si="318"/>
        <v>8917.9631999999983</v>
      </c>
      <c r="BA296" s="20">
        <f t="shared" si="319"/>
        <v>11147.454</v>
      </c>
      <c r="BB296" s="20">
        <f t="shared" si="320"/>
        <v>148632.72</v>
      </c>
      <c r="BC296" s="20">
        <f t="shared" ca="1" si="321"/>
        <v>5344516.1371999998</v>
      </c>
      <c r="BD296" s="37">
        <f ca="1">IF(AU296="C",VLOOKUP(BC296,TER!$J$4:$L$50,3,TRUE),IF(AU296="B",VLOOKUP(BC296,TER!$F$4:$H$50,3,TRUE),IF(AU296="A",VLOOKUP(BC296,TER!$B$4:$D$50,3,TRUE),"ERROR")))</f>
        <v>0</v>
      </c>
      <c r="BE296" s="20">
        <f t="shared" ca="1" si="322"/>
        <v>0</v>
      </c>
      <c r="BF296" s="216"/>
      <c r="BG296" s="216"/>
    </row>
    <row r="297" spans="1:59" ht="15.75" hidden="1" customHeight="1">
      <c r="A297" s="216"/>
      <c r="B297" s="27">
        <v>13</v>
      </c>
      <c r="C297" s="43" t="s">
        <v>122</v>
      </c>
      <c r="D297" s="32" t="s">
        <v>123</v>
      </c>
      <c r="E297" s="42" t="s">
        <v>57</v>
      </c>
      <c r="F297" s="43" t="s">
        <v>124</v>
      </c>
      <c r="G297" s="42" t="s">
        <v>41</v>
      </c>
      <c r="H297" s="337" t="s">
        <v>32</v>
      </c>
      <c r="I297" s="338">
        <f t="shared" si="302"/>
        <v>3715818</v>
      </c>
      <c r="J297" s="338">
        <v>231867.04320000001</v>
      </c>
      <c r="K297" s="338">
        <v>148632.72</v>
      </c>
      <c r="L297" s="339">
        <v>400000</v>
      </c>
      <c r="M297" s="339">
        <f>(1050000+420000)/21</f>
        <v>70000</v>
      </c>
      <c r="N297" s="21">
        <f ca="1">IFERROR(__xludf.DUMMYFUNCTION("VLOOKUP(C297,IMPORTRANGE(""https://docs.google.com/spreadsheets/d/1_8zosgvsKLSoAfUB7h2fjXw03wrKRz4qTHSb38JFhpE/edit?gid=2056509001#gid=2056509001"",""DATA_ABSEN_DES24""),39,0)"),27)</f>
        <v>27</v>
      </c>
      <c r="O297" s="334">
        <f ca="1">IFERROR(__xludf.DUMMYFUNCTION("VLOOKUP(C297,IMPORTRANGE(""https://docs.google.com/spreadsheets/d/1_8zosgvsKLSoAfUB7h2fjXw03wrKRz4qTHSb38JFhpE/edit?gid=2056509001#gid=2056509001"",""DATA_ABSEN_DES24""),40,0)"),31)</f>
        <v>31</v>
      </c>
      <c r="P297" s="338">
        <f t="shared" ca="1" si="304"/>
        <v>2290000</v>
      </c>
      <c r="Q297" s="338">
        <v>21</v>
      </c>
      <c r="R297" s="338">
        <f t="shared" si="305"/>
        <v>5966317.7631999999</v>
      </c>
      <c r="S297" s="338">
        <f t="shared" ca="1" si="306"/>
        <v>6386317.7631999999</v>
      </c>
      <c r="T297" s="338">
        <f t="shared" ca="1" si="307"/>
        <v>-420000</v>
      </c>
      <c r="U297" s="338">
        <v>120000</v>
      </c>
      <c r="V297" s="8">
        <f ca="1">IFERROR(__xludf.DUMMYFUNCTION("VLOOKUP(C297,IMPORTRANGE(""https://docs.google.com/spreadsheets/d/1_8zosgvsKLSoAfUB7h2fjXw03wrKRz4qTHSb38JFhpE/edit?gid=2056509001#gid=2056509001"",""DATA_ABSEN_DES24""),42,0)"),0)</f>
        <v>0</v>
      </c>
      <c r="W297" s="338">
        <f t="shared" ca="1" si="308"/>
        <v>0</v>
      </c>
      <c r="X297" s="338">
        <v>0</v>
      </c>
      <c r="Y297" s="338">
        <f t="shared" ca="1" si="309"/>
        <v>6386317.7631999999</v>
      </c>
      <c r="Z297" s="21"/>
      <c r="AA297" s="21"/>
      <c r="AB297" s="21"/>
      <c r="AC297" s="21"/>
      <c r="AD297" s="21"/>
      <c r="AE297" s="338"/>
      <c r="AF297" s="338"/>
      <c r="AG297" s="338"/>
      <c r="AH297" s="338"/>
      <c r="AI297" s="338"/>
      <c r="AJ297" s="338"/>
      <c r="AK297" s="338"/>
      <c r="AL297" s="338"/>
      <c r="AM297" s="338"/>
      <c r="AN297" s="340">
        <f t="shared" ca="1" si="310"/>
        <v>6386317.7631999999</v>
      </c>
      <c r="AO297" s="34">
        <f t="shared" ca="1" si="311"/>
        <v>46308.871028999994</v>
      </c>
      <c r="AP297" s="34">
        <f t="shared" ca="1" si="312"/>
        <v>6340008.8921710001</v>
      </c>
      <c r="AQ297" s="34">
        <f t="shared" ca="1" si="313"/>
        <v>6340008.8921710001</v>
      </c>
      <c r="AR297" s="34">
        <f t="shared" ca="1" si="314"/>
        <v>6340000</v>
      </c>
      <c r="AS297" s="216"/>
      <c r="AT297" s="42" t="s">
        <v>9</v>
      </c>
      <c r="AU297" s="30" t="str">
        <f>VLOOKUP(AT297,TER!$R$2:$S$10,2,0)</f>
        <v>A</v>
      </c>
      <c r="AV297" s="34">
        <f t="shared" si="315"/>
        <v>3715818</v>
      </c>
      <c r="AW297" s="34">
        <f t="shared" ca="1" si="316"/>
        <v>2290000</v>
      </c>
      <c r="AX297" s="34">
        <f t="shared" ref="AX297:AY297" ca="1" si="335">W297</f>
        <v>0</v>
      </c>
      <c r="AY297" s="34">
        <f t="shared" si="335"/>
        <v>0</v>
      </c>
      <c r="AZ297" s="34">
        <f t="shared" si="318"/>
        <v>8917.9631999999983</v>
      </c>
      <c r="BA297" s="34">
        <f t="shared" si="319"/>
        <v>11147.454</v>
      </c>
      <c r="BB297" s="34">
        <f t="shared" si="320"/>
        <v>148632.72</v>
      </c>
      <c r="BC297" s="34">
        <f t="shared" ca="1" si="321"/>
        <v>6174516.1371999998</v>
      </c>
      <c r="BD297" s="37">
        <f ca="1">IF(AU297="C",VLOOKUP(BC297,TER!$J$4:$L$50,3,TRUE),IF(AU297="B",VLOOKUP(BC297,TER!$F$4:$H$50,3,TRUE),IF(AU297="A",VLOOKUP(BC297,TER!$B$4:$D$50,3,TRUE),"ERROR")))</f>
        <v>7.4999999999999997E-3</v>
      </c>
      <c r="BE297" s="34">
        <f t="shared" ca="1" si="322"/>
        <v>46308.871028999994</v>
      </c>
      <c r="BF297" s="216"/>
      <c r="BG297" s="216"/>
    </row>
    <row r="298" spans="1:59" ht="15.75" hidden="1" customHeight="1">
      <c r="A298" s="216"/>
      <c r="B298" s="27">
        <v>14</v>
      </c>
      <c r="C298" s="28" t="s">
        <v>125</v>
      </c>
      <c r="D298" s="29" t="s">
        <v>126</v>
      </c>
      <c r="E298" s="27" t="s">
        <v>57</v>
      </c>
      <c r="F298" s="28" t="s">
        <v>127</v>
      </c>
      <c r="G298" s="27" t="s">
        <v>31</v>
      </c>
      <c r="H298" s="332" t="s">
        <v>32</v>
      </c>
      <c r="I298" s="16">
        <f t="shared" si="302"/>
        <v>3715818</v>
      </c>
      <c r="J298" s="16">
        <v>231867.04320000001</v>
      </c>
      <c r="K298" s="16">
        <v>148632.72</v>
      </c>
      <c r="L298" s="333">
        <v>200000</v>
      </c>
      <c r="M298" s="333">
        <f t="shared" ref="M298:M306" si="336">(840000+420000)/21</f>
        <v>60000</v>
      </c>
      <c r="N298" s="21">
        <f ca="1">IFERROR(__xludf.DUMMYFUNCTION("VLOOKUP(C298,IMPORTRANGE(""https://docs.google.com/spreadsheets/d/1_8zosgvsKLSoAfUB7h2fjXw03wrKRz4qTHSb38JFhpE/edit?gid=2056509001#gid=2056509001"",""DATA_ABSEN_DES24""),39,0)"),19)</f>
        <v>19</v>
      </c>
      <c r="O298" s="334">
        <f ca="1">IFERROR(__xludf.DUMMYFUNCTION("VLOOKUP(C298,IMPORTRANGE(""https://docs.google.com/spreadsheets/d/1_8zosgvsKLSoAfUB7h2fjXw03wrKRz4qTHSb38JFhpE/edit?gid=2056509001#gid=2056509001"",""DATA_ABSEN_DES24""),40,0)"),31)</f>
        <v>31</v>
      </c>
      <c r="P298" s="16">
        <f t="shared" ca="1" si="304"/>
        <v>1340000</v>
      </c>
      <c r="Q298" s="16">
        <v>21</v>
      </c>
      <c r="R298" s="16">
        <f t="shared" si="305"/>
        <v>5556317.7631999999</v>
      </c>
      <c r="S298" s="16">
        <f t="shared" ca="1" si="306"/>
        <v>5436317.7631999999</v>
      </c>
      <c r="T298" s="16">
        <f t="shared" ca="1" si="307"/>
        <v>0</v>
      </c>
      <c r="U298" s="16">
        <v>120000</v>
      </c>
      <c r="V298" s="8">
        <f ca="1">IFERROR(__xludf.DUMMYFUNCTION("VLOOKUP(C298,IMPORTRANGE(""https://docs.google.com/spreadsheets/d/1_8zosgvsKLSoAfUB7h2fjXw03wrKRz4qTHSb38JFhpE/edit?gid=2056509001#gid=2056509001"",""DATA_ABSEN_DES24""),42,0)"),0)</f>
        <v>0</v>
      </c>
      <c r="W298" s="16">
        <f t="shared" ca="1" si="308"/>
        <v>0</v>
      </c>
      <c r="X298" s="16">
        <v>0</v>
      </c>
      <c r="Y298" s="16">
        <f t="shared" ca="1" si="309"/>
        <v>5436317.7631999999</v>
      </c>
      <c r="Z298" s="21"/>
      <c r="AA298" s="21"/>
      <c r="AB298" s="21"/>
      <c r="AC298" s="21"/>
      <c r="AD298" s="21"/>
      <c r="AE298" s="16"/>
      <c r="AF298" s="16"/>
      <c r="AG298" s="16"/>
      <c r="AH298" s="16"/>
      <c r="AI298" s="16"/>
      <c r="AJ298" s="16"/>
      <c r="AK298" s="16"/>
      <c r="AL298" s="16"/>
      <c r="AM298" s="16"/>
      <c r="AN298" s="335">
        <f t="shared" ca="1" si="310"/>
        <v>5436317.7631999999</v>
      </c>
      <c r="AO298" s="20">
        <f t="shared" ca="1" si="311"/>
        <v>0</v>
      </c>
      <c r="AP298" s="20">
        <f t="shared" ca="1" si="312"/>
        <v>5436317.7631999999</v>
      </c>
      <c r="AQ298" s="20">
        <f t="shared" ca="1" si="313"/>
        <v>5436317.7631999999</v>
      </c>
      <c r="AR298" s="20">
        <f t="shared" ca="1" si="314"/>
        <v>5436300</v>
      </c>
      <c r="AS298" s="216"/>
      <c r="AT298" s="27" t="s">
        <v>18</v>
      </c>
      <c r="AU298" s="30" t="str">
        <f>VLOOKUP(AT298,TER!$R$2:$S$10,2,0)</f>
        <v>B</v>
      </c>
      <c r="AV298" s="20">
        <f t="shared" si="315"/>
        <v>3715818</v>
      </c>
      <c r="AW298" s="20">
        <f t="shared" ca="1" si="316"/>
        <v>1340000</v>
      </c>
      <c r="AX298" s="20">
        <f t="shared" ref="AX298:AY298" ca="1" si="337">W298</f>
        <v>0</v>
      </c>
      <c r="AY298" s="20">
        <f t="shared" si="337"/>
        <v>0</v>
      </c>
      <c r="AZ298" s="20">
        <f t="shared" si="318"/>
        <v>8917.9631999999983</v>
      </c>
      <c r="BA298" s="20">
        <f t="shared" si="319"/>
        <v>11147.454</v>
      </c>
      <c r="BB298" s="20">
        <f t="shared" si="320"/>
        <v>148632.72</v>
      </c>
      <c r="BC298" s="20">
        <f t="shared" ca="1" si="321"/>
        <v>5224516.1371999998</v>
      </c>
      <c r="BD298" s="37">
        <f ca="1">IF(AU298="C",VLOOKUP(BC298,TER!$J$4:$L$50,3,TRUE),IF(AU298="B",VLOOKUP(BC298,TER!$F$4:$H$50,3,TRUE),IF(AU298="A",VLOOKUP(BC298,TER!$B$4:$D$50,3,TRUE),"ERROR")))</f>
        <v>0</v>
      </c>
      <c r="BE298" s="20">
        <f t="shared" ca="1" si="322"/>
        <v>0</v>
      </c>
      <c r="BF298" s="216"/>
      <c r="BG298" s="216"/>
    </row>
    <row r="299" spans="1:59" ht="15.75" hidden="1" customHeight="1">
      <c r="A299" s="216"/>
      <c r="B299" s="27">
        <v>15</v>
      </c>
      <c r="C299" s="28" t="s">
        <v>128</v>
      </c>
      <c r="D299" s="29" t="s">
        <v>129</v>
      </c>
      <c r="E299" s="27" t="s">
        <v>57</v>
      </c>
      <c r="F299" s="28" t="s">
        <v>130</v>
      </c>
      <c r="G299" s="27" t="s">
        <v>31</v>
      </c>
      <c r="H299" s="332" t="s">
        <v>32</v>
      </c>
      <c r="I299" s="16">
        <f t="shared" si="302"/>
        <v>3715818</v>
      </c>
      <c r="J299" s="16">
        <v>231867.04320000001</v>
      </c>
      <c r="K299" s="16">
        <v>148632.72</v>
      </c>
      <c r="L299" s="333">
        <v>200000</v>
      </c>
      <c r="M299" s="333">
        <f t="shared" si="336"/>
        <v>60000</v>
      </c>
      <c r="N299" s="21">
        <f ca="1">IFERROR(__xludf.DUMMYFUNCTION("VLOOKUP(C299,IMPORTRANGE(""https://docs.google.com/spreadsheets/d/1_8zosgvsKLSoAfUB7h2fjXw03wrKRz4qTHSb38JFhpE/edit?gid=2056509001#gid=2056509001"",""DATA_ABSEN_DES24""),39,0)"),21)</f>
        <v>21</v>
      </c>
      <c r="O299" s="334">
        <f ca="1">IFERROR(__xludf.DUMMYFUNCTION("VLOOKUP(C299,IMPORTRANGE(""https://docs.google.com/spreadsheets/d/1_8zosgvsKLSoAfUB7h2fjXw03wrKRz4qTHSb38JFhpE/edit?gid=2056509001#gid=2056509001"",""DATA_ABSEN_DES24""),40,0)"),31)</f>
        <v>31</v>
      </c>
      <c r="P299" s="16">
        <f t="shared" ca="1" si="304"/>
        <v>1460000</v>
      </c>
      <c r="Q299" s="16">
        <v>21</v>
      </c>
      <c r="R299" s="16">
        <f t="shared" si="305"/>
        <v>5556317.7631999999</v>
      </c>
      <c r="S299" s="16">
        <f t="shared" ca="1" si="306"/>
        <v>5556317.7631999999</v>
      </c>
      <c r="T299" s="16">
        <f t="shared" ca="1" si="307"/>
        <v>0</v>
      </c>
      <c r="U299" s="16">
        <v>120000</v>
      </c>
      <c r="V299" s="8">
        <f ca="1">IFERROR(__xludf.DUMMYFUNCTION("VLOOKUP(C299,IMPORTRANGE(""https://docs.google.com/spreadsheets/d/1_8zosgvsKLSoAfUB7h2fjXw03wrKRz4qTHSb38JFhpE/edit?gid=2056509001#gid=2056509001"",""DATA_ABSEN_DES24""),42,0)"),0)</f>
        <v>0</v>
      </c>
      <c r="W299" s="16">
        <f t="shared" ca="1" si="308"/>
        <v>0</v>
      </c>
      <c r="X299" s="16">
        <v>0</v>
      </c>
      <c r="Y299" s="16">
        <f t="shared" ca="1" si="309"/>
        <v>5556317.7631999999</v>
      </c>
      <c r="Z299" s="21"/>
      <c r="AA299" s="21"/>
      <c r="AB299" s="21"/>
      <c r="AC299" s="21"/>
      <c r="AD299" s="21"/>
      <c r="AE299" s="16"/>
      <c r="AF299" s="16"/>
      <c r="AG299" s="16"/>
      <c r="AH299" s="16"/>
      <c r="AI299" s="16"/>
      <c r="AJ299" s="16"/>
      <c r="AK299" s="16"/>
      <c r="AL299" s="16"/>
      <c r="AM299" s="16"/>
      <c r="AN299" s="335">
        <f t="shared" ca="1" si="310"/>
        <v>5556317.7631999999</v>
      </c>
      <c r="AO299" s="20">
        <f t="shared" ca="1" si="311"/>
        <v>0</v>
      </c>
      <c r="AP299" s="20">
        <f t="shared" ca="1" si="312"/>
        <v>5556317.7631999999</v>
      </c>
      <c r="AQ299" s="20">
        <f t="shared" ca="1" si="313"/>
        <v>5556317.7631999999</v>
      </c>
      <c r="AR299" s="20">
        <f t="shared" ca="1" si="314"/>
        <v>5556300</v>
      </c>
      <c r="AS299" s="216"/>
      <c r="AT299" s="27" t="s">
        <v>17</v>
      </c>
      <c r="AU299" s="30" t="str">
        <f>VLOOKUP(AT299,TER!$R$2:$S$10,2,0)</f>
        <v>B</v>
      </c>
      <c r="AV299" s="20">
        <f t="shared" si="315"/>
        <v>3715818</v>
      </c>
      <c r="AW299" s="20">
        <f t="shared" ca="1" si="316"/>
        <v>1460000</v>
      </c>
      <c r="AX299" s="20">
        <f t="shared" ref="AX299:AY299" ca="1" si="338">W299</f>
        <v>0</v>
      </c>
      <c r="AY299" s="20">
        <f t="shared" si="338"/>
        <v>0</v>
      </c>
      <c r="AZ299" s="20">
        <f t="shared" si="318"/>
        <v>8917.9631999999983</v>
      </c>
      <c r="BA299" s="20">
        <f t="shared" si="319"/>
        <v>11147.454</v>
      </c>
      <c r="BB299" s="20">
        <f t="shared" si="320"/>
        <v>148632.72</v>
      </c>
      <c r="BC299" s="20">
        <f t="shared" ca="1" si="321"/>
        <v>5344516.1371999998</v>
      </c>
      <c r="BD299" s="37">
        <f ca="1">IF(AU299="C",VLOOKUP(BC299,TER!$J$4:$L$50,3,TRUE),IF(AU299="B",VLOOKUP(BC299,TER!$F$4:$H$50,3,TRUE),IF(AU299="A",VLOOKUP(BC299,TER!$B$4:$D$50,3,TRUE),"ERROR")))</f>
        <v>0</v>
      </c>
      <c r="BE299" s="20">
        <f t="shared" ca="1" si="322"/>
        <v>0</v>
      </c>
      <c r="BF299" s="216"/>
      <c r="BG299" s="216"/>
    </row>
    <row r="300" spans="1:59" ht="15.75" hidden="1" customHeight="1">
      <c r="A300" s="216"/>
      <c r="B300" s="27">
        <v>16</v>
      </c>
      <c r="C300" s="28" t="s">
        <v>131</v>
      </c>
      <c r="D300" s="29" t="s">
        <v>132</v>
      </c>
      <c r="E300" s="27" t="s">
        <v>57</v>
      </c>
      <c r="F300" s="28" t="s">
        <v>133</v>
      </c>
      <c r="G300" s="27" t="s">
        <v>31</v>
      </c>
      <c r="H300" s="332" t="s">
        <v>32</v>
      </c>
      <c r="I300" s="16">
        <f t="shared" si="302"/>
        <v>3715818</v>
      </c>
      <c r="J300" s="16">
        <v>231867.04320000001</v>
      </c>
      <c r="K300" s="16">
        <v>148632.72</v>
      </c>
      <c r="L300" s="333">
        <v>200000</v>
      </c>
      <c r="M300" s="333">
        <f t="shared" si="336"/>
        <v>60000</v>
      </c>
      <c r="N300" s="21">
        <f ca="1">IFERROR(__xludf.DUMMYFUNCTION("VLOOKUP(C300,IMPORTRANGE(""https://docs.google.com/spreadsheets/d/1_8zosgvsKLSoAfUB7h2fjXw03wrKRz4qTHSb38JFhpE/edit?gid=2056509001#gid=2056509001"",""DATA_ABSEN_DES24""),39,0)"),20)</f>
        <v>20</v>
      </c>
      <c r="O300" s="334">
        <f ca="1">IFERROR(__xludf.DUMMYFUNCTION("VLOOKUP(C300,IMPORTRANGE(""https://docs.google.com/spreadsheets/d/1_8zosgvsKLSoAfUB7h2fjXw03wrKRz4qTHSb38JFhpE/edit?gid=2056509001#gid=2056509001"",""DATA_ABSEN_DES24""),40,0)"),31)</f>
        <v>31</v>
      </c>
      <c r="P300" s="16">
        <f t="shared" ca="1" si="304"/>
        <v>1400000</v>
      </c>
      <c r="Q300" s="16">
        <v>21</v>
      </c>
      <c r="R300" s="16">
        <f t="shared" si="305"/>
        <v>5556317.7631999999</v>
      </c>
      <c r="S300" s="16">
        <f t="shared" ca="1" si="306"/>
        <v>5496317.7631999999</v>
      </c>
      <c r="T300" s="16">
        <f t="shared" ca="1" si="307"/>
        <v>0</v>
      </c>
      <c r="U300" s="16">
        <v>120000</v>
      </c>
      <c r="V300" s="8">
        <f ca="1">IFERROR(__xludf.DUMMYFUNCTION("VLOOKUP(C300,IMPORTRANGE(""https://docs.google.com/spreadsheets/d/1_8zosgvsKLSoAfUB7h2fjXw03wrKRz4qTHSb38JFhpE/edit?gid=2056509001#gid=2056509001"",""DATA_ABSEN_DES24""),42,0)"),0)</f>
        <v>0</v>
      </c>
      <c r="W300" s="16">
        <f t="shared" ca="1" si="308"/>
        <v>0</v>
      </c>
      <c r="X300" s="16">
        <v>0</v>
      </c>
      <c r="Y300" s="16">
        <f t="shared" ca="1" si="309"/>
        <v>5496317.7631999999</v>
      </c>
      <c r="Z300" s="21"/>
      <c r="AA300" s="21"/>
      <c r="AB300" s="21"/>
      <c r="AC300" s="21"/>
      <c r="AD300" s="21"/>
      <c r="AE300" s="16"/>
      <c r="AF300" s="16"/>
      <c r="AG300" s="16"/>
      <c r="AH300" s="16"/>
      <c r="AI300" s="16"/>
      <c r="AJ300" s="16"/>
      <c r="AK300" s="16"/>
      <c r="AL300" s="16"/>
      <c r="AM300" s="16"/>
      <c r="AN300" s="335">
        <f t="shared" ca="1" si="310"/>
        <v>5496317.7631999999</v>
      </c>
      <c r="AO300" s="20">
        <f t="shared" ca="1" si="311"/>
        <v>0</v>
      </c>
      <c r="AP300" s="20">
        <f t="shared" ca="1" si="312"/>
        <v>5496317.7631999999</v>
      </c>
      <c r="AQ300" s="20">
        <f t="shared" ca="1" si="313"/>
        <v>5496317.7631999999</v>
      </c>
      <c r="AR300" s="20">
        <f t="shared" ca="1" si="314"/>
        <v>5496300</v>
      </c>
      <c r="AS300" s="216"/>
      <c r="AT300" s="27" t="s">
        <v>9</v>
      </c>
      <c r="AU300" s="30" t="str">
        <f>VLOOKUP(AT300,TER!$R$2:$S$10,2,0)</f>
        <v>A</v>
      </c>
      <c r="AV300" s="20">
        <f t="shared" si="315"/>
        <v>3715818</v>
      </c>
      <c r="AW300" s="20">
        <f t="shared" ca="1" si="316"/>
        <v>1400000</v>
      </c>
      <c r="AX300" s="20">
        <f t="shared" ref="AX300:AY300" ca="1" si="339">W300</f>
        <v>0</v>
      </c>
      <c r="AY300" s="20">
        <f t="shared" si="339"/>
        <v>0</v>
      </c>
      <c r="AZ300" s="20">
        <f t="shared" si="318"/>
        <v>8917.9631999999983</v>
      </c>
      <c r="BA300" s="20">
        <f t="shared" si="319"/>
        <v>11147.454</v>
      </c>
      <c r="BB300" s="20">
        <f t="shared" si="320"/>
        <v>148632.72</v>
      </c>
      <c r="BC300" s="20">
        <f t="shared" ca="1" si="321"/>
        <v>5284516.1371999998</v>
      </c>
      <c r="BD300" s="37">
        <f ca="1">IF(AU300="C",VLOOKUP(BC300,TER!$J$4:$L$50,3,TRUE),IF(AU300="B",VLOOKUP(BC300,TER!$F$4:$H$50,3,TRUE),IF(AU300="A",VLOOKUP(BC300,TER!$B$4:$D$50,3,TRUE),"ERROR")))</f>
        <v>0</v>
      </c>
      <c r="BE300" s="20">
        <f t="shared" ca="1" si="322"/>
        <v>0</v>
      </c>
      <c r="BF300" s="216"/>
      <c r="BG300" s="216"/>
    </row>
    <row r="301" spans="1:59" ht="15.75" hidden="1" customHeight="1">
      <c r="A301" s="216"/>
      <c r="B301" s="27">
        <v>17</v>
      </c>
      <c r="C301" s="28" t="s">
        <v>134</v>
      </c>
      <c r="D301" s="29" t="s">
        <v>135</v>
      </c>
      <c r="E301" s="27" t="s">
        <v>57</v>
      </c>
      <c r="F301" s="28" t="s">
        <v>136</v>
      </c>
      <c r="G301" s="27" t="s">
        <v>31</v>
      </c>
      <c r="H301" s="332" t="s">
        <v>32</v>
      </c>
      <c r="I301" s="16">
        <f t="shared" si="302"/>
        <v>3715818</v>
      </c>
      <c r="J301" s="16">
        <v>231867.04320000001</v>
      </c>
      <c r="K301" s="16">
        <v>148632.72</v>
      </c>
      <c r="L301" s="333">
        <v>200000</v>
      </c>
      <c r="M301" s="333">
        <f t="shared" si="336"/>
        <v>60000</v>
      </c>
      <c r="N301" s="21">
        <f ca="1">IFERROR(__xludf.DUMMYFUNCTION("VLOOKUP(C301,IMPORTRANGE(""https://docs.google.com/spreadsheets/d/1_8zosgvsKLSoAfUB7h2fjXw03wrKRz4qTHSb38JFhpE/edit?gid=2056509001#gid=2056509001"",""DATA_ABSEN_DES24""),39,0)"),21)</f>
        <v>21</v>
      </c>
      <c r="O301" s="334">
        <f ca="1">IFERROR(__xludf.DUMMYFUNCTION("VLOOKUP(C301,IMPORTRANGE(""https://docs.google.com/spreadsheets/d/1_8zosgvsKLSoAfUB7h2fjXw03wrKRz4qTHSb38JFhpE/edit?gid=2056509001#gid=2056509001"",""DATA_ABSEN_DES24""),40,0)"),31)</f>
        <v>31</v>
      </c>
      <c r="P301" s="16">
        <f t="shared" ca="1" si="304"/>
        <v>1460000</v>
      </c>
      <c r="Q301" s="16">
        <v>21</v>
      </c>
      <c r="R301" s="16">
        <f t="shared" si="305"/>
        <v>5556317.7631999999</v>
      </c>
      <c r="S301" s="16">
        <f t="shared" ca="1" si="306"/>
        <v>5556317.7631999999</v>
      </c>
      <c r="T301" s="16">
        <f t="shared" ca="1" si="307"/>
        <v>0</v>
      </c>
      <c r="U301" s="16">
        <v>120000</v>
      </c>
      <c r="V301" s="8">
        <f ca="1">IFERROR(__xludf.DUMMYFUNCTION("VLOOKUP(C301,IMPORTRANGE(""https://docs.google.com/spreadsheets/d/1_8zosgvsKLSoAfUB7h2fjXw03wrKRz4qTHSb38JFhpE/edit?gid=2056509001#gid=2056509001"",""DATA_ABSEN_DES24""),42,0)"),0)</f>
        <v>0</v>
      </c>
      <c r="W301" s="16">
        <f t="shared" ca="1" si="308"/>
        <v>0</v>
      </c>
      <c r="X301" s="16">
        <v>0</v>
      </c>
      <c r="Y301" s="16">
        <f t="shared" ca="1" si="309"/>
        <v>5556317.7631999999</v>
      </c>
      <c r="Z301" s="21"/>
      <c r="AA301" s="21"/>
      <c r="AB301" s="21"/>
      <c r="AC301" s="21"/>
      <c r="AD301" s="21"/>
      <c r="AE301" s="16"/>
      <c r="AF301" s="16"/>
      <c r="AG301" s="16"/>
      <c r="AH301" s="16"/>
      <c r="AI301" s="16"/>
      <c r="AJ301" s="16"/>
      <c r="AK301" s="16"/>
      <c r="AL301" s="16"/>
      <c r="AM301" s="16"/>
      <c r="AN301" s="335">
        <f t="shared" ca="1" si="310"/>
        <v>5556317.7631999999</v>
      </c>
      <c r="AO301" s="20">
        <f t="shared" ca="1" si="311"/>
        <v>0</v>
      </c>
      <c r="AP301" s="20">
        <f t="shared" ca="1" si="312"/>
        <v>5556317.7631999999</v>
      </c>
      <c r="AQ301" s="20">
        <f t="shared" ca="1" si="313"/>
        <v>5556317.7631999999</v>
      </c>
      <c r="AR301" s="20">
        <f t="shared" ca="1" si="314"/>
        <v>5556300</v>
      </c>
      <c r="AS301" s="216"/>
      <c r="AT301" s="27" t="s">
        <v>9</v>
      </c>
      <c r="AU301" s="30" t="str">
        <f>VLOOKUP(AT301,TER!$R$2:$S$10,2,0)</f>
        <v>A</v>
      </c>
      <c r="AV301" s="20">
        <f t="shared" si="315"/>
        <v>3715818</v>
      </c>
      <c r="AW301" s="20">
        <f t="shared" ca="1" si="316"/>
        <v>1460000</v>
      </c>
      <c r="AX301" s="20">
        <f t="shared" ref="AX301:AY301" ca="1" si="340">W301</f>
        <v>0</v>
      </c>
      <c r="AY301" s="20">
        <f t="shared" si="340"/>
        <v>0</v>
      </c>
      <c r="AZ301" s="20">
        <f t="shared" si="318"/>
        <v>8917.9631999999983</v>
      </c>
      <c r="BA301" s="20">
        <f t="shared" si="319"/>
        <v>11147.454</v>
      </c>
      <c r="BB301" s="20">
        <f t="shared" si="320"/>
        <v>148632.72</v>
      </c>
      <c r="BC301" s="20">
        <f t="shared" ca="1" si="321"/>
        <v>5344516.1371999998</v>
      </c>
      <c r="BD301" s="37">
        <f ca="1">IF(AU301="C",VLOOKUP(BC301,TER!$J$4:$L$50,3,TRUE),IF(AU301="B",VLOOKUP(BC301,TER!$F$4:$H$50,3,TRUE),IF(AU301="A",VLOOKUP(BC301,TER!$B$4:$D$50,3,TRUE),"ERROR")))</f>
        <v>0</v>
      </c>
      <c r="BE301" s="20">
        <f t="shared" ca="1" si="322"/>
        <v>0</v>
      </c>
      <c r="BF301" s="216"/>
      <c r="BG301" s="216"/>
    </row>
    <row r="302" spans="1:59" ht="15.75" hidden="1" customHeight="1">
      <c r="A302" s="216"/>
      <c r="B302" s="27">
        <v>18</v>
      </c>
      <c r="C302" s="28" t="s">
        <v>137</v>
      </c>
      <c r="D302" s="29" t="s">
        <v>138</v>
      </c>
      <c r="E302" s="27" t="s">
        <v>57</v>
      </c>
      <c r="F302" s="28" t="s">
        <v>139</v>
      </c>
      <c r="G302" s="27" t="s">
        <v>31</v>
      </c>
      <c r="H302" s="332" t="s">
        <v>32</v>
      </c>
      <c r="I302" s="16">
        <f t="shared" si="302"/>
        <v>3715818</v>
      </c>
      <c r="J302" s="16">
        <v>231867.04320000001</v>
      </c>
      <c r="K302" s="16">
        <v>148632.72</v>
      </c>
      <c r="L302" s="333">
        <v>200000</v>
      </c>
      <c r="M302" s="333">
        <f t="shared" si="336"/>
        <v>60000</v>
      </c>
      <c r="N302" s="21">
        <f ca="1">IFERROR(__xludf.DUMMYFUNCTION("VLOOKUP(C302,IMPORTRANGE(""https://docs.google.com/spreadsheets/d/1_8zosgvsKLSoAfUB7h2fjXw03wrKRz4qTHSb38JFhpE/edit?gid=2056509001#gid=2056509001"",""DATA_ABSEN_DES24""),39,0)"),20)</f>
        <v>20</v>
      </c>
      <c r="O302" s="334">
        <f ca="1">IFERROR(__xludf.DUMMYFUNCTION("VLOOKUP(C302,IMPORTRANGE(""https://docs.google.com/spreadsheets/d/1_8zosgvsKLSoAfUB7h2fjXw03wrKRz4qTHSb38JFhpE/edit?gid=2056509001#gid=2056509001"",""DATA_ABSEN_DES24""),40,0)"),31)</f>
        <v>31</v>
      </c>
      <c r="P302" s="16">
        <f t="shared" ca="1" si="304"/>
        <v>1400000</v>
      </c>
      <c r="Q302" s="16">
        <v>21</v>
      </c>
      <c r="R302" s="16">
        <f t="shared" si="305"/>
        <v>5556317.7631999999</v>
      </c>
      <c r="S302" s="16">
        <f t="shared" ca="1" si="306"/>
        <v>5496317.7631999999</v>
      </c>
      <c r="T302" s="16">
        <f t="shared" ca="1" si="307"/>
        <v>0</v>
      </c>
      <c r="U302" s="16">
        <v>120000</v>
      </c>
      <c r="V302" s="8">
        <f ca="1">IFERROR(__xludf.DUMMYFUNCTION("VLOOKUP(C302,IMPORTRANGE(""https://docs.google.com/spreadsheets/d/1_8zosgvsKLSoAfUB7h2fjXw03wrKRz4qTHSb38JFhpE/edit?gid=2056509001#gid=2056509001"",""DATA_ABSEN_DES24""),42,0)"),0)</f>
        <v>0</v>
      </c>
      <c r="W302" s="16">
        <f t="shared" ca="1" si="308"/>
        <v>0</v>
      </c>
      <c r="X302" s="16">
        <v>0</v>
      </c>
      <c r="Y302" s="16">
        <f t="shared" ca="1" si="309"/>
        <v>5496317.7631999999</v>
      </c>
      <c r="Z302" s="21"/>
      <c r="AA302" s="21"/>
      <c r="AB302" s="21"/>
      <c r="AC302" s="21"/>
      <c r="AD302" s="21"/>
      <c r="AE302" s="16"/>
      <c r="AF302" s="16"/>
      <c r="AG302" s="16"/>
      <c r="AH302" s="16"/>
      <c r="AI302" s="16"/>
      <c r="AJ302" s="16"/>
      <c r="AK302" s="16"/>
      <c r="AL302" s="16"/>
      <c r="AM302" s="16"/>
      <c r="AN302" s="335">
        <f t="shared" ca="1" si="310"/>
        <v>5496317.7631999999</v>
      </c>
      <c r="AO302" s="20">
        <f t="shared" ca="1" si="311"/>
        <v>0</v>
      </c>
      <c r="AP302" s="20">
        <f t="shared" ca="1" si="312"/>
        <v>5496317.7631999999</v>
      </c>
      <c r="AQ302" s="20">
        <f t="shared" ca="1" si="313"/>
        <v>5496317.7631999999</v>
      </c>
      <c r="AR302" s="20">
        <f t="shared" ca="1" si="314"/>
        <v>5496300</v>
      </c>
      <c r="AS302" s="216"/>
      <c r="AT302" s="27" t="s">
        <v>17</v>
      </c>
      <c r="AU302" s="30" t="str">
        <f>VLOOKUP(AT302,TER!$R$2:$S$10,2,0)</f>
        <v>B</v>
      </c>
      <c r="AV302" s="20">
        <f t="shared" si="315"/>
        <v>3715818</v>
      </c>
      <c r="AW302" s="20">
        <f t="shared" ca="1" si="316"/>
        <v>1400000</v>
      </c>
      <c r="AX302" s="20">
        <f t="shared" ref="AX302:AY302" ca="1" si="341">W302</f>
        <v>0</v>
      </c>
      <c r="AY302" s="20">
        <f t="shared" si="341"/>
        <v>0</v>
      </c>
      <c r="AZ302" s="20">
        <f t="shared" si="318"/>
        <v>8917.9631999999983</v>
      </c>
      <c r="BA302" s="20">
        <f t="shared" si="319"/>
        <v>11147.454</v>
      </c>
      <c r="BB302" s="20">
        <f t="shared" si="320"/>
        <v>148632.72</v>
      </c>
      <c r="BC302" s="20">
        <f t="shared" ca="1" si="321"/>
        <v>5284516.1371999998</v>
      </c>
      <c r="BD302" s="37">
        <f ca="1">IF(AU302="C",VLOOKUP(BC302,TER!$J$4:$L$50,3,TRUE),IF(AU302="B",VLOOKUP(BC302,TER!$F$4:$H$50,3,TRUE),IF(AU302="A",VLOOKUP(BC302,TER!$B$4:$D$50,3,TRUE),"ERROR")))</f>
        <v>0</v>
      </c>
      <c r="BE302" s="20">
        <f t="shared" ca="1" si="322"/>
        <v>0</v>
      </c>
      <c r="BF302" s="216"/>
      <c r="BG302" s="216"/>
    </row>
    <row r="303" spans="1:59" ht="15.75" hidden="1" customHeight="1">
      <c r="A303" s="216"/>
      <c r="B303" s="27">
        <v>19</v>
      </c>
      <c r="C303" s="28" t="s">
        <v>140</v>
      </c>
      <c r="D303" s="29" t="s">
        <v>141</v>
      </c>
      <c r="E303" s="27" t="s">
        <v>57</v>
      </c>
      <c r="F303" s="28" t="s">
        <v>142</v>
      </c>
      <c r="G303" s="27" t="s">
        <v>31</v>
      </c>
      <c r="H303" s="332" t="s">
        <v>32</v>
      </c>
      <c r="I303" s="16">
        <f t="shared" si="302"/>
        <v>3715818</v>
      </c>
      <c r="J303" s="16">
        <v>231867.04320000001</v>
      </c>
      <c r="K303" s="16">
        <v>148632.72</v>
      </c>
      <c r="L303" s="333">
        <v>200000</v>
      </c>
      <c r="M303" s="333">
        <f t="shared" si="336"/>
        <v>60000</v>
      </c>
      <c r="N303" s="21">
        <f ca="1">IFERROR(__xludf.DUMMYFUNCTION("VLOOKUP(C303,IMPORTRANGE(""https://docs.google.com/spreadsheets/d/1_8zosgvsKLSoAfUB7h2fjXw03wrKRz4qTHSb38JFhpE/edit?gid=2056509001#gid=2056509001"",""DATA_ABSEN_DES24""),39,0)"),20)</f>
        <v>20</v>
      </c>
      <c r="O303" s="334">
        <f ca="1">IFERROR(__xludf.DUMMYFUNCTION("VLOOKUP(C303,IMPORTRANGE(""https://docs.google.com/spreadsheets/d/1_8zosgvsKLSoAfUB7h2fjXw03wrKRz4qTHSb38JFhpE/edit?gid=2056509001#gid=2056509001"",""DATA_ABSEN_DES24""),40,0)"),31)</f>
        <v>31</v>
      </c>
      <c r="P303" s="16">
        <f t="shared" ca="1" si="304"/>
        <v>1400000</v>
      </c>
      <c r="Q303" s="16">
        <v>21</v>
      </c>
      <c r="R303" s="16">
        <f t="shared" si="305"/>
        <v>5556317.7631999999</v>
      </c>
      <c r="S303" s="16">
        <f t="shared" ca="1" si="306"/>
        <v>5496317.7631999999</v>
      </c>
      <c r="T303" s="16">
        <f t="shared" ca="1" si="307"/>
        <v>0</v>
      </c>
      <c r="U303" s="16">
        <v>120000</v>
      </c>
      <c r="V303" s="8">
        <f ca="1">IFERROR(__xludf.DUMMYFUNCTION("VLOOKUP(C303,IMPORTRANGE(""https://docs.google.com/spreadsheets/d/1_8zosgvsKLSoAfUB7h2fjXw03wrKRz4qTHSb38JFhpE/edit?gid=2056509001#gid=2056509001"",""DATA_ABSEN_DES24""),42,0)"),0)</f>
        <v>0</v>
      </c>
      <c r="W303" s="16">
        <f t="shared" ca="1" si="308"/>
        <v>0</v>
      </c>
      <c r="X303" s="16">
        <v>0</v>
      </c>
      <c r="Y303" s="16">
        <f t="shared" ca="1" si="309"/>
        <v>5496317.7631999999</v>
      </c>
      <c r="Z303" s="21"/>
      <c r="AA303" s="21"/>
      <c r="AB303" s="21"/>
      <c r="AC303" s="21"/>
      <c r="AD303" s="21"/>
      <c r="AE303" s="16"/>
      <c r="AF303" s="16"/>
      <c r="AG303" s="16"/>
      <c r="AH303" s="16"/>
      <c r="AI303" s="16"/>
      <c r="AJ303" s="16"/>
      <c r="AK303" s="16"/>
      <c r="AL303" s="16"/>
      <c r="AM303" s="16"/>
      <c r="AN303" s="335">
        <f t="shared" ca="1" si="310"/>
        <v>5496317.7631999999</v>
      </c>
      <c r="AO303" s="20">
        <f t="shared" ca="1" si="311"/>
        <v>0</v>
      </c>
      <c r="AP303" s="20">
        <f t="shared" ca="1" si="312"/>
        <v>5496317.7631999999</v>
      </c>
      <c r="AQ303" s="20">
        <f t="shared" ca="1" si="313"/>
        <v>5496317.7631999999</v>
      </c>
      <c r="AR303" s="20">
        <f t="shared" ca="1" si="314"/>
        <v>5496300</v>
      </c>
      <c r="AS303" s="216"/>
      <c r="AT303" s="27" t="s">
        <v>9</v>
      </c>
      <c r="AU303" s="30" t="str">
        <f>VLOOKUP(AT303,TER!$R$2:$S$10,2,0)</f>
        <v>A</v>
      </c>
      <c r="AV303" s="20">
        <f t="shared" si="315"/>
        <v>3715818</v>
      </c>
      <c r="AW303" s="20">
        <f t="shared" ca="1" si="316"/>
        <v>1400000</v>
      </c>
      <c r="AX303" s="20">
        <f t="shared" ref="AX303:AY303" ca="1" si="342">W303</f>
        <v>0</v>
      </c>
      <c r="AY303" s="20">
        <f t="shared" si="342"/>
        <v>0</v>
      </c>
      <c r="AZ303" s="20">
        <f t="shared" si="318"/>
        <v>8917.9631999999983</v>
      </c>
      <c r="BA303" s="20">
        <f t="shared" si="319"/>
        <v>11147.454</v>
      </c>
      <c r="BB303" s="20">
        <f t="shared" si="320"/>
        <v>148632.72</v>
      </c>
      <c r="BC303" s="20">
        <f t="shared" ca="1" si="321"/>
        <v>5284516.1371999998</v>
      </c>
      <c r="BD303" s="37">
        <f ca="1">IF(AU303="C",VLOOKUP(BC303,TER!$J$4:$L$50,3,TRUE),IF(AU303="B",VLOOKUP(BC303,TER!$F$4:$H$50,3,TRUE),IF(AU303="A",VLOOKUP(BC303,TER!$B$4:$D$50,3,TRUE),"ERROR")))</f>
        <v>0</v>
      </c>
      <c r="BE303" s="20">
        <f t="shared" ca="1" si="322"/>
        <v>0</v>
      </c>
      <c r="BF303" s="216"/>
      <c r="BG303" s="216"/>
    </row>
    <row r="304" spans="1:59" ht="15.75" hidden="1" customHeight="1">
      <c r="A304" s="216"/>
      <c r="B304" s="27">
        <v>20</v>
      </c>
      <c r="C304" s="28" t="s">
        <v>143</v>
      </c>
      <c r="D304" s="29" t="s">
        <v>144</v>
      </c>
      <c r="E304" s="27" t="s">
        <v>57</v>
      </c>
      <c r="F304" s="28" t="s">
        <v>145</v>
      </c>
      <c r="G304" s="27" t="s">
        <v>31</v>
      </c>
      <c r="H304" s="332" t="s">
        <v>32</v>
      </c>
      <c r="I304" s="16">
        <f t="shared" si="302"/>
        <v>3715818</v>
      </c>
      <c r="J304" s="16">
        <v>231867.04320000001</v>
      </c>
      <c r="K304" s="16">
        <v>148632.72</v>
      </c>
      <c r="L304" s="336">
        <v>200000</v>
      </c>
      <c r="M304" s="336">
        <f t="shared" si="336"/>
        <v>60000</v>
      </c>
      <c r="N304" s="21">
        <f ca="1">IFERROR(__xludf.DUMMYFUNCTION("VLOOKUP(C304,IMPORTRANGE(""https://docs.google.com/spreadsheets/d/1_8zosgvsKLSoAfUB7h2fjXw03wrKRz4qTHSb38JFhpE/edit?gid=2056509001#gid=2056509001"",""DATA_ABSEN_DES24""),39,0)"),20)</f>
        <v>20</v>
      </c>
      <c r="O304" s="334">
        <f ca="1">IFERROR(__xludf.DUMMYFUNCTION("VLOOKUP(C304,IMPORTRANGE(""https://docs.google.com/spreadsheets/d/1_8zosgvsKLSoAfUB7h2fjXw03wrKRz4qTHSb38JFhpE/edit?gid=2056509001#gid=2056509001"",""DATA_ABSEN_DES24""),40,0)"),30)</f>
        <v>30</v>
      </c>
      <c r="P304" s="16">
        <f t="shared" ca="1" si="304"/>
        <v>1400000</v>
      </c>
      <c r="Q304" s="16">
        <v>21</v>
      </c>
      <c r="R304" s="16">
        <f t="shared" si="305"/>
        <v>5556317.7631999999</v>
      </c>
      <c r="S304" s="16">
        <f t="shared" ca="1" si="306"/>
        <v>5496317.7631999999</v>
      </c>
      <c r="T304" s="16">
        <f t="shared" ca="1" si="307"/>
        <v>0</v>
      </c>
      <c r="U304" s="16">
        <v>120000</v>
      </c>
      <c r="V304" s="8">
        <f ca="1">IFERROR(__xludf.DUMMYFUNCTION("VLOOKUP(C304,IMPORTRANGE(""https://docs.google.com/spreadsheets/d/1_8zosgvsKLSoAfUB7h2fjXw03wrKRz4qTHSb38JFhpE/edit?gid=2056509001#gid=2056509001"",""DATA_ABSEN_DES24""),42,0)"),0)</f>
        <v>0</v>
      </c>
      <c r="W304" s="16">
        <f t="shared" ca="1" si="308"/>
        <v>0</v>
      </c>
      <c r="X304" s="16">
        <v>0</v>
      </c>
      <c r="Y304" s="16">
        <f t="shared" ca="1" si="309"/>
        <v>5496317.7631999999</v>
      </c>
      <c r="Z304" s="21"/>
      <c r="AA304" s="21"/>
      <c r="AB304" s="21"/>
      <c r="AC304" s="21"/>
      <c r="AD304" s="21"/>
      <c r="AE304" s="16"/>
      <c r="AF304" s="16"/>
      <c r="AG304" s="16"/>
      <c r="AH304" s="16"/>
      <c r="AI304" s="16"/>
      <c r="AJ304" s="16"/>
      <c r="AK304" s="16"/>
      <c r="AL304" s="16"/>
      <c r="AM304" s="16"/>
      <c r="AN304" s="335">
        <f t="shared" ca="1" si="310"/>
        <v>5496317.7631999999</v>
      </c>
      <c r="AO304" s="20">
        <f t="shared" ca="1" si="311"/>
        <v>0</v>
      </c>
      <c r="AP304" s="20">
        <f t="shared" ca="1" si="312"/>
        <v>5496317.7631999999</v>
      </c>
      <c r="AQ304" s="20">
        <f t="shared" ca="1" si="313"/>
        <v>5496317.7631999999</v>
      </c>
      <c r="AR304" s="20">
        <f t="shared" ca="1" si="314"/>
        <v>5496300</v>
      </c>
      <c r="AS304" s="216"/>
      <c r="AT304" s="27" t="s">
        <v>8</v>
      </c>
      <c r="AU304" s="30" t="str">
        <f>VLOOKUP(AT304,TER!$R$2:$S$10,2,0)</f>
        <v>C</v>
      </c>
      <c r="AV304" s="20">
        <f t="shared" si="315"/>
        <v>3715818</v>
      </c>
      <c r="AW304" s="20">
        <f t="shared" ca="1" si="316"/>
        <v>1400000</v>
      </c>
      <c r="AX304" s="20">
        <f t="shared" ref="AX304:AY304" ca="1" si="343">W304</f>
        <v>0</v>
      </c>
      <c r="AY304" s="20">
        <f t="shared" si="343"/>
        <v>0</v>
      </c>
      <c r="AZ304" s="20">
        <f t="shared" si="318"/>
        <v>8917.9631999999983</v>
      </c>
      <c r="BA304" s="20">
        <f t="shared" si="319"/>
        <v>11147.454</v>
      </c>
      <c r="BB304" s="20">
        <f t="shared" si="320"/>
        <v>148632.72</v>
      </c>
      <c r="BC304" s="20">
        <f t="shared" ca="1" si="321"/>
        <v>5284516.1371999998</v>
      </c>
      <c r="BD304" s="37">
        <f ca="1">IF(AU304="C",VLOOKUP(BC304,TER!$J$4:$L$50,3,TRUE),IF(AU304="B",VLOOKUP(BC304,TER!$F$4:$H$50,3,TRUE),IF(AU304="A",VLOOKUP(BC304,TER!$B$4:$D$50,3,TRUE),"ERROR")))</f>
        <v>0</v>
      </c>
      <c r="BE304" s="20">
        <f t="shared" ca="1" si="322"/>
        <v>0</v>
      </c>
      <c r="BF304" s="216"/>
      <c r="BG304" s="216"/>
    </row>
    <row r="305" spans="1:59" ht="15.75" hidden="1" customHeight="1">
      <c r="A305" s="216"/>
      <c r="B305" s="27">
        <v>21</v>
      </c>
      <c r="C305" s="28" t="s">
        <v>146</v>
      </c>
      <c r="D305" s="29" t="s">
        <v>147</v>
      </c>
      <c r="E305" s="27" t="s">
        <v>57</v>
      </c>
      <c r="F305" s="28" t="s">
        <v>148</v>
      </c>
      <c r="G305" s="27" t="s">
        <v>31</v>
      </c>
      <c r="H305" s="332" t="s">
        <v>32</v>
      </c>
      <c r="I305" s="16">
        <f t="shared" si="302"/>
        <v>3715818</v>
      </c>
      <c r="J305" s="16">
        <v>231867.04320000001</v>
      </c>
      <c r="K305" s="16">
        <v>148632.72</v>
      </c>
      <c r="L305" s="333">
        <v>200000</v>
      </c>
      <c r="M305" s="333">
        <f t="shared" si="336"/>
        <v>60000</v>
      </c>
      <c r="N305" s="21">
        <f ca="1">IFERROR(__xludf.DUMMYFUNCTION("VLOOKUP(C305,IMPORTRANGE(""https://docs.google.com/spreadsheets/d/1_8zosgvsKLSoAfUB7h2fjXw03wrKRz4qTHSb38JFhpE/edit?gid=2056509001#gid=2056509001"",""DATA_ABSEN_DES24""),39,0)"),9)</f>
        <v>9</v>
      </c>
      <c r="O305" s="334">
        <f ca="1">IFERROR(__xludf.DUMMYFUNCTION("VLOOKUP(C305,IMPORTRANGE(""https://docs.google.com/spreadsheets/d/1_8zosgvsKLSoAfUB7h2fjXw03wrKRz4qTHSb38JFhpE/edit?gid=2056509001#gid=2056509001"",""DATA_ABSEN_DES24""),40,0)"),31)</f>
        <v>31</v>
      </c>
      <c r="P305" s="16">
        <f t="shared" ca="1" si="304"/>
        <v>740000</v>
      </c>
      <c r="Q305" s="16">
        <v>21</v>
      </c>
      <c r="R305" s="16">
        <f t="shared" si="305"/>
        <v>5556317.7631999999</v>
      </c>
      <c r="S305" s="16">
        <f t="shared" ca="1" si="306"/>
        <v>4836317.7631999999</v>
      </c>
      <c r="T305" s="16">
        <f t="shared" ca="1" si="307"/>
        <v>0</v>
      </c>
      <c r="U305" s="16">
        <v>120000</v>
      </c>
      <c r="V305" s="8">
        <f ca="1">IFERROR(__xludf.DUMMYFUNCTION("VLOOKUP(C305,IMPORTRANGE(""https://docs.google.com/spreadsheets/d/1_8zosgvsKLSoAfUB7h2fjXw03wrKRz4qTHSb38JFhpE/edit?gid=2056509001#gid=2056509001"",""DATA_ABSEN_DES24""),42,0)"),1)</f>
        <v>1</v>
      </c>
      <c r="W305" s="16">
        <f t="shared" ca="1" si="308"/>
        <v>120000</v>
      </c>
      <c r="X305" s="16">
        <v>0</v>
      </c>
      <c r="Y305" s="16">
        <f t="shared" ca="1" si="309"/>
        <v>4956317.7631999999</v>
      </c>
      <c r="Z305" s="21"/>
      <c r="AA305" s="21"/>
      <c r="AB305" s="21"/>
      <c r="AC305" s="21"/>
      <c r="AD305" s="21"/>
      <c r="AE305" s="16"/>
      <c r="AF305" s="16"/>
      <c r="AG305" s="16"/>
      <c r="AH305" s="16"/>
      <c r="AI305" s="16"/>
      <c r="AJ305" s="16"/>
      <c r="AK305" s="16"/>
      <c r="AL305" s="16"/>
      <c r="AM305" s="16"/>
      <c r="AN305" s="335">
        <f t="shared" ca="1" si="310"/>
        <v>4956317.7631999999</v>
      </c>
      <c r="AO305" s="20">
        <f t="shared" ca="1" si="311"/>
        <v>0</v>
      </c>
      <c r="AP305" s="20">
        <f t="shared" ca="1" si="312"/>
        <v>4956317.7631999999</v>
      </c>
      <c r="AQ305" s="20">
        <f t="shared" ca="1" si="313"/>
        <v>4956317.7631999999</v>
      </c>
      <c r="AR305" s="20">
        <f t="shared" ca="1" si="314"/>
        <v>4956300</v>
      </c>
      <c r="AS305" s="216"/>
      <c r="AT305" s="27" t="s">
        <v>9</v>
      </c>
      <c r="AU305" s="30" t="str">
        <f>VLOOKUP(AT305,TER!$R$2:$S$10,2,0)</f>
        <v>A</v>
      </c>
      <c r="AV305" s="20">
        <f t="shared" si="315"/>
        <v>3715818</v>
      </c>
      <c r="AW305" s="20">
        <f t="shared" ca="1" si="316"/>
        <v>740000</v>
      </c>
      <c r="AX305" s="20">
        <f t="shared" ref="AX305:AY305" ca="1" si="344">W305</f>
        <v>120000</v>
      </c>
      <c r="AY305" s="20">
        <f t="shared" si="344"/>
        <v>0</v>
      </c>
      <c r="AZ305" s="20">
        <f t="shared" si="318"/>
        <v>8917.9631999999983</v>
      </c>
      <c r="BA305" s="20">
        <f t="shared" si="319"/>
        <v>11147.454</v>
      </c>
      <c r="BB305" s="20">
        <f t="shared" si="320"/>
        <v>148632.72</v>
      </c>
      <c r="BC305" s="20">
        <f t="shared" ca="1" si="321"/>
        <v>4744516.1371999998</v>
      </c>
      <c r="BD305" s="37">
        <f ca="1">IF(AU305="C",VLOOKUP(BC305,TER!$J$4:$L$50,3,TRUE),IF(AU305="B",VLOOKUP(BC305,TER!$F$4:$H$50,3,TRUE),IF(AU305="A",VLOOKUP(BC305,TER!$B$4:$D$50,3,TRUE),"ERROR")))</f>
        <v>0</v>
      </c>
      <c r="BE305" s="20">
        <f t="shared" ca="1" si="322"/>
        <v>0</v>
      </c>
      <c r="BF305" s="216"/>
      <c r="BG305" s="216"/>
    </row>
    <row r="306" spans="1:59" ht="15.75" hidden="1" customHeight="1">
      <c r="A306" s="216"/>
      <c r="B306" s="27">
        <v>22</v>
      </c>
      <c r="C306" s="28" t="s">
        <v>149</v>
      </c>
      <c r="D306" s="29" t="s">
        <v>150</v>
      </c>
      <c r="E306" s="27" t="s">
        <v>57</v>
      </c>
      <c r="F306" s="28" t="s">
        <v>151</v>
      </c>
      <c r="G306" s="27" t="s">
        <v>31</v>
      </c>
      <c r="H306" s="332" t="s">
        <v>32</v>
      </c>
      <c r="I306" s="16">
        <f t="shared" si="302"/>
        <v>3715818</v>
      </c>
      <c r="J306" s="16">
        <v>231867.04320000001</v>
      </c>
      <c r="K306" s="16">
        <v>148632.72</v>
      </c>
      <c r="L306" s="333">
        <v>200000</v>
      </c>
      <c r="M306" s="333">
        <f t="shared" si="336"/>
        <v>60000</v>
      </c>
      <c r="N306" s="21">
        <f ca="1">IFERROR(__xludf.DUMMYFUNCTION("VLOOKUP(C306,IMPORTRANGE(""https://docs.google.com/spreadsheets/d/1_8zosgvsKLSoAfUB7h2fjXw03wrKRz4qTHSb38JFhpE/edit?gid=2056509001#gid=2056509001"",""DATA_ABSEN_DES24""),39,0)"),21)</f>
        <v>21</v>
      </c>
      <c r="O306" s="334">
        <f ca="1">IFERROR(__xludf.DUMMYFUNCTION("VLOOKUP(C306,IMPORTRANGE(""https://docs.google.com/spreadsheets/d/1_8zosgvsKLSoAfUB7h2fjXw03wrKRz4qTHSb38JFhpE/edit?gid=2056509001#gid=2056509001"",""DATA_ABSEN_DES24""),40,0)"),31)</f>
        <v>31</v>
      </c>
      <c r="P306" s="16">
        <f t="shared" ca="1" si="304"/>
        <v>1460000</v>
      </c>
      <c r="Q306" s="16">
        <v>21</v>
      </c>
      <c r="R306" s="16">
        <f t="shared" si="305"/>
        <v>5556317.7631999999</v>
      </c>
      <c r="S306" s="16">
        <f t="shared" ca="1" si="306"/>
        <v>5556317.7631999999</v>
      </c>
      <c r="T306" s="16">
        <f t="shared" ca="1" si="307"/>
        <v>0</v>
      </c>
      <c r="U306" s="16">
        <v>120000</v>
      </c>
      <c r="V306" s="8">
        <f ca="1">IFERROR(__xludf.DUMMYFUNCTION("VLOOKUP(C306,IMPORTRANGE(""https://docs.google.com/spreadsheets/d/1_8zosgvsKLSoAfUB7h2fjXw03wrKRz4qTHSb38JFhpE/edit?gid=2056509001#gid=2056509001"",""DATA_ABSEN_DES24""),42,0)"),0)</f>
        <v>0</v>
      </c>
      <c r="W306" s="16">
        <f t="shared" ca="1" si="308"/>
        <v>0</v>
      </c>
      <c r="X306" s="16">
        <v>0</v>
      </c>
      <c r="Y306" s="16">
        <f t="shared" ca="1" si="309"/>
        <v>5556317.7631999999</v>
      </c>
      <c r="Z306" s="21"/>
      <c r="AA306" s="21"/>
      <c r="AB306" s="21"/>
      <c r="AC306" s="21"/>
      <c r="AD306" s="21"/>
      <c r="AE306" s="16"/>
      <c r="AF306" s="16"/>
      <c r="AG306" s="16"/>
      <c r="AH306" s="16"/>
      <c r="AI306" s="16"/>
      <c r="AJ306" s="16"/>
      <c r="AK306" s="16"/>
      <c r="AL306" s="16"/>
      <c r="AM306" s="16"/>
      <c r="AN306" s="335">
        <f t="shared" ca="1" si="310"/>
        <v>5556317.7631999999</v>
      </c>
      <c r="AO306" s="20">
        <f t="shared" ca="1" si="311"/>
        <v>0</v>
      </c>
      <c r="AP306" s="20">
        <f t="shared" ca="1" si="312"/>
        <v>5556317.7631999999</v>
      </c>
      <c r="AQ306" s="20">
        <f t="shared" ca="1" si="313"/>
        <v>5556317.7631999999</v>
      </c>
      <c r="AR306" s="20">
        <f t="shared" ca="1" si="314"/>
        <v>5556300</v>
      </c>
      <c r="AS306" s="216"/>
      <c r="AT306" s="27" t="s">
        <v>9</v>
      </c>
      <c r="AU306" s="30" t="str">
        <f>VLOOKUP(AT306,TER!$R$2:$S$10,2,0)</f>
        <v>A</v>
      </c>
      <c r="AV306" s="20">
        <f t="shared" si="315"/>
        <v>3715818</v>
      </c>
      <c r="AW306" s="20">
        <f t="shared" ca="1" si="316"/>
        <v>1460000</v>
      </c>
      <c r="AX306" s="20">
        <f t="shared" ref="AX306:AY306" ca="1" si="345">W306</f>
        <v>0</v>
      </c>
      <c r="AY306" s="20">
        <f t="shared" si="345"/>
        <v>0</v>
      </c>
      <c r="AZ306" s="20">
        <f t="shared" si="318"/>
        <v>8917.9631999999983</v>
      </c>
      <c r="BA306" s="20">
        <f t="shared" si="319"/>
        <v>11147.454</v>
      </c>
      <c r="BB306" s="20">
        <f t="shared" si="320"/>
        <v>148632.72</v>
      </c>
      <c r="BC306" s="20">
        <f t="shared" ca="1" si="321"/>
        <v>5344516.1371999998</v>
      </c>
      <c r="BD306" s="37">
        <f ca="1">IF(AU306="C",VLOOKUP(BC306,TER!$J$4:$L$50,3,TRUE),IF(AU306="B",VLOOKUP(BC306,TER!$F$4:$H$50,3,TRUE),IF(AU306="A",VLOOKUP(BC306,TER!$B$4:$D$50,3,TRUE),"ERROR")))</f>
        <v>0</v>
      </c>
      <c r="BE306" s="20">
        <f t="shared" ca="1" si="322"/>
        <v>0</v>
      </c>
      <c r="BF306" s="216"/>
      <c r="BG306" s="216"/>
    </row>
    <row r="307" spans="1:59" ht="15.75" hidden="1" customHeight="1">
      <c r="A307" s="216"/>
      <c r="B307" s="27">
        <v>23</v>
      </c>
      <c r="C307" s="46" t="s">
        <v>152</v>
      </c>
      <c r="D307" s="26" t="s">
        <v>153</v>
      </c>
      <c r="E307" s="45" t="s">
        <v>57</v>
      </c>
      <c r="F307" s="46" t="s">
        <v>154</v>
      </c>
      <c r="G307" s="45" t="s">
        <v>155</v>
      </c>
      <c r="H307" s="341" t="s">
        <v>32</v>
      </c>
      <c r="I307" s="342">
        <f t="shared" si="302"/>
        <v>3715818</v>
      </c>
      <c r="J307" s="342">
        <v>259947.04320000001</v>
      </c>
      <c r="K307" s="342">
        <v>166632.72</v>
      </c>
      <c r="L307" s="343">
        <v>4000000</v>
      </c>
      <c r="M307" s="343">
        <f>1430000/31</f>
        <v>46129.032258064515</v>
      </c>
      <c r="N307" s="21">
        <f ca="1">IFERROR(__xludf.DUMMYFUNCTION("VLOOKUP(C307,IMPORTRANGE(""https://docs.google.com/spreadsheets/d/1_8zosgvsKLSoAfUB7h2fjXw03wrKRz4qTHSb38JFhpE/edit?gid=2056509001#gid=2056509001"",""DATA_ABSEN_DES24""),39,0)"),31)</f>
        <v>31</v>
      </c>
      <c r="O307" s="334">
        <f ca="1">IFERROR(__xludf.DUMMYFUNCTION("VLOOKUP(C307,IMPORTRANGE(""https://docs.google.com/spreadsheets/d/1_8zosgvsKLSoAfUB7h2fjXw03wrKRz4qTHSb38JFhpE/edit?gid=2056509001#gid=2056509001"",""DATA_ABSEN_DES24""),40,0)"),31)</f>
        <v>31</v>
      </c>
      <c r="P307" s="342">
        <f t="shared" ca="1" si="304"/>
        <v>5430000</v>
      </c>
      <c r="Q307" s="342">
        <v>31</v>
      </c>
      <c r="R307" s="342">
        <f t="shared" si="305"/>
        <v>9572397.7631999999</v>
      </c>
      <c r="S307" s="342">
        <f t="shared" ca="1" si="306"/>
        <v>9572397.7631999999</v>
      </c>
      <c r="T307" s="342">
        <f t="shared" ca="1" si="307"/>
        <v>0</v>
      </c>
      <c r="U307" s="342">
        <v>120000</v>
      </c>
      <c r="V307" s="8">
        <f ca="1">IFERROR(__xludf.DUMMYFUNCTION("VLOOKUP(C307,IMPORTRANGE(""https://docs.google.com/spreadsheets/d/1_8zosgvsKLSoAfUB7h2fjXw03wrKRz4qTHSb38JFhpE/edit?gid=2056509001#gid=2056509001"",""DATA_ABSEN_DES24""),42,0)"),0)</f>
        <v>0</v>
      </c>
      <c r="W307" s="342">
        <f t="shared" ca="1" si="308"/>
        <v>0</v>
      </c>
      <c r="X307" s="342">
        <v>0</v>
      </c>
      <c r="Y307" s="342">
        <f t="shared" ca="1" si="309"/>
        <v>9572397.7631999999</v>
      </c>
      <c r="Z307" s="21"/>
      <c r="AA307" s="21"/>
      <c r="AB307" s="21"/>
      <c r="AC307" s="21"/>
      <c r="AD307" s="21"/>
      <c r="AE307" s="342"/>
      <c r="AF307" s="342"/>
      <c r="AG307" s="342"/>
      <c r="AH307" s="342"/>
      <c r="AI307" s="342"/>
      <c r="AJ307" s="342"/>
      <c r="AK307" s="342"/>
      <c r="AL307" s="342"/>
      <c r="AM307" s="342"/>
      <c r="AN307" s="344">
        <f t="shared" ca="1" si="310"/>
        <v>9572397.7631999999</v>
      </c>
      <c r="AO307" s="31">
        <f t="shared" ca="1" si="311"/>
        <v>116431.451715</v>
      </c>
      <c r="AP307" s="31">
        <f t="shared" ca="1" si="312"/>
        <v>9455966.311485</v>
      </c>
      <c r="AQ307" s="31">
        <f t="shared" ca="1" si="313"/>
        <v>9455966.311485</v>
      </c>
      <c r="AR307" s="31">
        <f t="shared" ca="1" si="314"/>
        <v>9456000</v>
      </c>
      <c r="AS307" s="216"/>
      <c r="AT307" s="45" t="s">
        <v>8</v>
      </c>
      <c r="AU307" s="30" t="str">
        <f>VLOOKUP(AT307,TER!$R$2:$S$10,2,0)</f>
        <v>C</v>
      </c>
      <c r="AV307" s="31">
        <f t="shared" si="315"/>
        <v>3715818</v>
      </c>
      <c r="AW307" s="31">
        <f t="shared" ca="1" si="316"/>
        <v>5430000</v>
      </c>
      <c r="AX307" s="31">
        <f t="shared" ref="AX307:AY307" ca="1" si="346">W307</f>
        <v>0</v>
      </c>
      <c r="AY307" s="31">
        <f t="shared" si="346"/>
        <v>0</v>
      </c>
      <c r="AZ307" s="31">
        <f t="shared" si="318"/>
        <v>8917.9631999999983</v>
      </c>
      <c r="BA307" s="31">
        <f t="shared" si="319"/>
        <v>11147.454</v>
      </c>
      <c r="BB307" s="31">
        <f t="shared" si="320"/>
        <v>148632.72</v>
      </c>
      <c r="BC307" s="31">
        <f t="shared" ca="1" si="321"/>
        <v>9314516.1371999998</v>
      </c>
      <c r="BD307" s="37">
        <f ca="1">IF(AU307="C",VLOOKUP(BC307,TER!$J$4:$L$50,3,TRUE),IF(AU307="B",VLOOKUP(BC307,TER!$F$4:$H$50,3,TRUE),IF(AU307="A",VLOOKUP(BC307,TER!$B$4:$D$50,3,TRUE),"ERROR")))</f>
        <v>1.2500000000000001E-2</v>
      </c>
      <c r="BE307" s="31">
        <f t="shared" ca="1" si="322"/>
        <v>116431.451715</v>
      </c>
      <c r="BF307" s="216"/>
      <c r="BG307" s="216"/>
    </row>
    <row r="308" spans="1:59" ht="15.75" hidden="1" customHeight="1">
      <c r="A308" s="216"/>
      <c r="B308" s="27">
        <v>24</v>
      </c>
      <c r="C308" s="28" t="s">
        <v>156</v>
      </c>
      <c r="D308" s="29" t="s">
        <v>157</v>
      </c>
      <c r="E308" s="27" t="s">
        <v>57</v>
      </c>
      <c r="F308" s="28" t="s">
        <v>158</v>
      </c>
      <c r="G308" s="27" t="s">
        <v>31</v>
      </c>
      <c r="H308" s="332" t="s">
        <v>32</v>
      </c>
      <c r="I308" s="16">
        <f t="shared" si="302"/>
        <v>3715818</v>
      </c>
      <c r="J308" s="16">
        <v>231867.04320000001</v>
      </c>
      <c r="K308" s="16">
        <v>148632.72</v>
      </c>
      <c r="L308" s="333">
        <v>200000</v>
      </c>
      <c r="M308" s="333">
        <f t="shared" ref="M308:M317" si="347">(840000+420000)/21</f>
        <v>60000</v>
      </c>
      <c r="N308" s="21">
        <f ca="1">IFERROR(__xludf.DUMMYFUNCTION("VLOOKUP(C308,IMPORTRANGE(""https://docs.google.com/spreadsheets/d/1_8zosgvsKLSoAfUB7h2fjXw03wrKRz4qTHSb38JFhpE/edit?gid=2056509001#gid=2056509001"",""DATA_ABSEN_DES24""),39,0)"),21)</f>
        <v>21</v>
      </c>
      <c r="O308" s="334">
        <f ca="1">IFERROR(__xludf.DUMMYFUNCTION("VLOOKUP(C308,IMPORTRANGE(""https://docs.google.com/spreadsheets/d/1_8zosgvsKLSoAfUB7h2fjXw03wrKRz4qTHSb38JFhpE/edit?gid=2056509001#gid=2056509001"",""DATA_ABSEN_DES24""),40,0)"),31)</f>
        <v>31</v>
      </c>
      <c r="P308" s="16">
        <f t="shared" ca="1" si="304"/>
        <v>1460000</v>
      </c>
      <c r="Q308" s="16">
        <v>21</v>
      </c>
      <c r="R308" s="16">
        <f t="shared" si="305"/>
        <v>5556317.7631999999</v>
      </c>
      <c r="S308" s="16">
        <f t="shared" ca="1" si="306"/>
        <v>5556317.7631999999</v>
      </c>
      <c r="T308" s="16">
        <f t="shared" ca="1" si="307"/>
        <v>0</v>
      </c>
      <c r="U308" s="16">
        <v>120000</v>
      </c>
      <c r="V308" s="8">
        <f ca="1">IFERROR(__xludf.DUMMYFUNCTION("VLOOKUP(C308,IMPORTRANGE(""https://docs.google.com/spreadsheets/d/1_8zosgvsKLSoAfUB7h2fjXw03wrKRz4qTHSb38JFhpE/edit?gid=2056509001#gid=2056509001"",""DATA_ABSEN_DES24""),42,0)"),0)</f>
        <v>0</v>
      </c>
      <c r="W308" s="16">
        <f t="shared" ca="1" si="308"/>
        <v>0</v>
      </c>
      <c r="X308" s="16">
        <v>0</v>
      </c>
      <c r="Y308" s="16">
        <f t="shared" ca="1" si="309"/>
        <v>5556317.7631999999</v>
      </c>
      <c r="Z308" s="21"/>
      <c r="AA308" s="21"/>
      <c r="AB308" s="21"/>
      <c r="AC308" s="21"/>
      <c r="AD308" s="21"/>
      <c r="AE308" s="16"/>
      <c r="AF308" s="16"/>
      <c r="AG308" s="16"/>
      <c r="AH308" s="16"/>
      <c r="AI308" s="16"/>
      <c r="AJ308" s="16"/>
      <c r="AK308" s="16"/>
      <c r="AL308" s="16"/>
      <c r="AM308" s="16"/>
      <c r="AN308" s="335">
        <f t="shared" ca="1" si="310"/>
        <v>5556317.7631999999</v>
      </c>
      <c r="AO308" s="20">
        <f t="shared" ca="1" si="311"/>
        <v>0</v>
      </c>
      <c r="AP308" s="20">
        <f t="shared" ca="1" si="312"/>
        <v>5556317.7631999999</v>
      </c>
      <c r="AQ308" s="20">
        <f t="shared" ca="1" si="313"/>
        <v>5556317.7631999999</v>
      </c>
      <c r="AR308" s="20">
        <f t="shared" ca="1" si="314"/>
        <v>5556300</v>
      </c>
      <c r="AS308" s="216"/>
      <c r="AT308" s="27" t="s">
        <v>17</v>
      </c>
      <c r="AU308" s="30" t="str">
        <f>VLOOKUP(AT308,TER!$R$2:$S$10,2,0)</f>
        <v>B</v>
      </c>
      <c r="AV308" s="20">
        <f t="shared" si="315"/>
        <v>3715818</v>
      </c>
      <c r="AW308" s="20">
        <f t="shared" ca="1" si="316"/>
        <v>1460000</v>
      </c>
      <c r="AX308" s="20">
        <f t="shared" ref="AX308:AY308" ca="1" si="348">W308</f>
        <v>0</v>
      </c>
      <c r="AY308" s="20">
        <f t="shared" si="348"/>
        <v>0</v>
      </c>
      <c r="AZ308" s="20">
        <f t="shared" si="318"/>
        <v>8917.9631999999983</v>
      </c>
      <c r="BA308" s="20">
        <f t="shared" si="319"/>
        <v>11147.454</v>
      </c>
      <c r="BB308" s="20">
        <f t="shared" si="320"/>
        <v>148632.72</v>
      </c>
      <c r="BC308" s="20">
        <f t="shared" ca="1" si="321"/>
        <v>5344516.1371999998</v>
      </c>
      <c r="BD308" s="37">
        <f ca="1">IF(AU308="C",VLOOKUP(BC308,TER!$J$4:$L$50,3,TRUE),IF(AU308="B",VLOOKUP(BC308,TER!$F$4:$H$50,3,TRUE),IF(AU308="A",VLOOKUP(BC308,TER!$B$4:$D$50,3,TRUE),"ERROR")))</f>
        <v>0</v>
      </c>
      <c r="BE308" s="20">
        <f t="shared" ca="1" si="322"/>
        <v>0</v>
      </c>
      <c r="BF308" s="216"/>
      <c r="BG308" s="216"/>
    </row>
    <row r="309" spans="1:59" ht="15.75" hidden="1" customHeight="1">
      <c r="A309" s="216"/>
      <c r="B309" s="27">
        <v>25</v>
      </c>
      <c r="C309" s="28" t="s">
        <v>159</v>
      </c>
      <c r="D309" s="29" t="s">
        <v>160</v>
      </c>
      <c r="E309" s="27" t="s">
        <v>57</v>
      </c>
      <c r="F309" s="28" t="s">
        <v>161</v>
      </c>
      <c r="G309" s="27" t="s">
        <v>31</v>
      </c>
      <c r="H309" s="332" t="s">
        <v>32</v>
      </c>
      <c r="I309" s="16">
        <f t="shared" si="302"/>
        <v>3715818</v>
      </c>
      <c r="J309" s="16">
        <v>231867.04320000001</v>
      </c>
      <c r="K309" s="16">
        <v>148632.72</v>
      </c>
      <c r="L309" s="333">
        <v>200000</v>
      </c>
      <c r="M309" s="333">
        <f t="shared" si="347"/>
        <v>60000</v>
      </c>
      <c r="N309" s="21">
        <f ca="1">IFERROR(__xludf.DUMMYFUNCTION("VLOOKUP(C309,IMPORTRANGE(""https://docs.google.com/spreadsheets/d/1_8zosgvsKLSoAfUB7h2fjXw03wrKRz4qTHSb38JFhpE/edit?gid=2056509001#gid=2056509001"",""DATA_ABSEN_DES24""),39,0)"),19)</f>
        <v>19</v>
      </c>
      <c r="O309" s="334">
        <f ca="1">IFERROR(__xludf.DUMMYFUNCTION("VLOOKUP(C309,IMPORTRANGE(""https://docs.google.com/spreadsheets/d/1_8zosgvsKLSoAfUB7h2fjXw03wrKRz4qTHSb38JFhpE/edit?gid=2056509001#gid=2056509001"",""DATA_ABSEN_DES24""),40,0)"),29)</f>
        <v>29</v>
      </c>
      <c r="P309" s="16">
        <f t="shared" ca="1" si="304"/>
        <v>1340000</v>
      </c>
      <c r="Q309" s="16">
        <v>21</v>
      </c>
      <c r="R309" s="16">
        <f t="shared" si="305"/>
        <v>5556317.7631999999</v>
      </c>
      <c r="S309" s="16">
        <f t="shared" ca="1" si="306"/>
        <v>5436317.7631999999</v>
      </c>
      <c r="T309" s="16">
        <f t="shared" ca="1" si="307"/>
        <v>0</v>
      </c>
      <c r="U309" s="16">
        <v>120000</v>
      </c>
      <c r="V309" s="8">
        <f ca="1">IFERROR(__xludf.DUMMYFUNCTION("VLOOKUP(C309,IMPORTRANGE(""https://docs.google.com/spreadsheets/d/1_8zosgvsKLSoAfUB7h2fjXw03wrKRz4qTHSb38JFhpE/edit?gid=2056509001#gid=2056509001"",""DATA_ABSEN_DES24""),42,0)"),0)</f>
        <v>0</v>
      </c>
      <c r="W309" s="16">
        <f t="shared" ca="1" si="308"/>
        <v>0</v>
      </c>
      <c r="X309" s="16">
        <v>0</v>
      </c>
      <c r="Y309" s="16">
        <f t="shared" ca="1" si="309"/>
        <v>5436317.7631999999</v>
      </c>
      <c r="Z309" s="21"/>
      <c r="AA309" s="21"/>
      <c r="AB309" s="21"/>
      <c r="AC309" s="21"/>
      <c r="AD309" s="21"/>
      <c r="AE309" s="16"/>
      <c r="AF309" s="16"/>
      <c r="AG309" s="16"/>
      <c r="AH309" s="16"/>
      <c r="AI309" s="16"/>
      <c r="AJ309" s="16"/>
      <c r="AK309" s="16"/>
      <c r="AL309" s="16"/>
      <c r="AM309" s="16"/>
      <c r="AN309" s="335">
        <f t="shared" ca="1" si="310"/>
        <v>5436317.7631999999</v>
      </c>
      <c r="AO309" s="20">
        <f t="shared" ca="1" si="311"/>
        <v>0</v>
      </c>
      <c r="AP309" s="20">
        <f t="shared" ca="1" si="312"/>
        <v>5436317.7631999999</v>
      </c>
      <c r="AQ309" s="20">
        <f t="shared" ca="1" si="313"/>
        <v>5436317.7631999999</v>
      </c>
      <c r="AR309" s="20">
        <f t="shared" ca="1" si="314"/>
        <v>5436300</v>
      </c>
      <c r="AS309" s="216"/>
      <c r="AT309" s="27" t="s">
        <v>17</v>
      </c>
      <c r="AU309" s="30" t="str">
        <f>VLOOKUP(AT309,TER!$R$2:$S$10,2,0)</f>
        <v>B</v>
      </c>
      <c r="AV309" s="20">
        <f t="shared" si="315"/>
        <v>3715818</v>
      </c>
      <c r="AW309" s="20">
        <f t="shared" ca="1" si="316"/>
        <v>1340000</v>
      </c>
      <c r="AX309" s="20">
        <f t="shared" ref="AX309:AY309" ca="1" si="349">W309</f>
        <v>0</v>
      </c>
      <c r="AY309" s="20">
        <f t="shared" si="349"/>
        <v>0</v>
      </c>
      <c r="AZ309" s="20">
        <f t="shared" si="318"/>
        <v>8917.9631999999983</v>
      </c>
      <c r="BA309" s="20">
        <f t="shared" si="319"/>
        <v>11147.454</v>
      </c>
      <c r="BB309" s="20">
        <f t="shared" si="320"/>
        <v>148632.72</v>
      </c>
      <c r="BC309" s="20">
        <f t="shared" ca="1" si="321"/>
        <v>5224516.1371999998</v>
      </c>
      <c r="BD309" s="37">
        <f ca="1">IF(AU309="C",VLOOKUP(BC309,TER!$J$4:$L$50,3,TRUE),IF(AU309="B",VLOOKUP(BC309,TER!$F$4:$H$50,3,TRUE),IF(AU309="A",VLOOKUP(BC309,TER!$B$4:$D$50,3,TRUE),"ERROR")))</f>
        <v>0</v>
      </c>
      <c r="BE309" s="20">
        <f t="shared" ca="1" si="322"/>
        <v>0</v>
      </c>
      <c r="BF309" s="216"/>
      <c r="BG309" s="216"/>
    </row>
    <row r="310" spans="1:59" ht="15.75" hidden="1" customHeight="1">
      <c r="A310" s="216"/>
      <c r="B310" s="27">
        <v>26</v>
      </c>
      <c r="C310" s="28" t="s">
        <v>162</v>
      </c>
      <c r="D310" s="29" t="s">
        <v>163</v>
      </c>
      <c r="E310" s="27" t="s">
        <v>57</v>
      </c>
      <c r="F310" s="28" t="s">
        <v>164</v>
      </c>
      <c r="G310" s="27" t="s">
        <v>31</v>
      </c>
      <c r="H310" s="332" t="s">
        <v>32</v>
      </c>
      <c r="I310" s="16">
        <f t="shared" si="302"/>
        <v>3715818</v>
      </c>
      <c r="J310" s="16">
        <v>231867.04320000001</v>
      </c>
      <c r="K310" s="16">
        <v>148632.72</v>
      </c>
      <c r="L310" s="333">
        <v>200000</v>
      </c>
      <c r="M310" s="333">
        <f t="shared" si="347"/>
        <v>60000</v>
      </c>
      <c r="N310" s="21">
        <f ca="1">IFERROR(__xludf.DUMMYFUNCTION("VLOOKUP(C310,IMPORTRANGE(""https://docs.google.com/spreadsheets/d/1_8zosgvsKLSoAfUB7h2fjXw03wrKRz4qTHSb38JFhpE/edit?gid=2056509001#gid=2056509001"",""DATA_ABSEN_DES24""),39,0)"),20)</f>
        <v>20</v>
      </c>
      <c r="O310" s="334">
        <f ca="1">IFERROR(__xludf.DUMMYFUNCTION("VLOOKUP(C310,IMPORTRANGE(""https://docs.google.com/spreadsheets/d/1_8zosgvsKLSoAfUB7h2fjXw03wrKRz4qTHSb38JFhpE/edit?gid=2056509001#gid=2056509001"",""DATA_ABSEN_DES24""),40,0)"),31)</f>
        <v>31</v>
      </c>
      <c r="P310" s="16">
        <f t="shared" ca="1" si="304"/>
        <v>1400000</v>
      </c>
      <c r="Q310" s="16">
        <v>21</v>
      </c>
      <c r="R310" s="16">
        <f t="shared" si="305"/>
        <v>5556317.7631999999</v>
      </c>
      <c r="S310" s="16">
        <f t="shared" ca="1" si="306"/>
        <v>5496317.7631999999</v>
      </c>
      <c r="T310" s="16">
        <f t="shared" ca="1" si="307"/>
        <v>0</v>
      </c>
      <c r="U310" s="16">
        <v>120000</v>
      </c>
      <c r="V310" s="8">
        <f ca="1">IFERROR(__xludf.DUMMYFUNCTION("VLOOKUP(C310,IMPORTRANGE(""https://docs.google.com/spreadsheets/d/1_8zosgvsKLSoAfUB7h2fjXw03wrKRz4qTHSb38JFhpE/edit?gid=2056509001#gid=2056509001"",""DATA_ABSEN_DES24""),42,0)"),0)</f>
        <v>0</v>
      </c>
      <c r="W310" s="16">
        <f t="shared" ca="1" si="308"/>
        <v>0</v>
      </c>
      <c r="X310" s="16">
        <v>0</v>
      </c>
      <c r="Y310" s="16">
        <f t="shared" ca="1" si="309"/>
        <v>5496317.7631999999</v>
      </c>
      <c r="Z310" s="21"/>
      <c r="AA310" s="21"/>
      <c r="AB310" s="21"/>
      <c r="AC310" s="21"/>
      <c r="AD310" s="21"/>
      <c r="AE310" s="16"/>
      <c r="AF310" s="16"/>
      <c r="AG310" s="16"/>
      <c r="AH310" s="16"/>
      <c r="AI310" s="16"/>
      <c r="AJ310" s="16"/>
      <c r="AK310" s="16"/>
      <c r="AL310" s="16"/>
      <c r="AM310" s="16"/>
      <c r="AN310" s="335">
        <f t="shared" ca="1" si="310"/>
        <v>5496317.7631999999</v>
      </c>
      <c r="AO310" s="20">
        <f t="shared" ca="1" si="311"/>
        <v>0</v>
      </c>
      <c r="AP310" s="20">
        <f t="shared" ca="1" si="312"/>
        <v>5496317.7631999999</v>
      </c>
      <c r="AQ310" s="20">
        <f t="shared" ca="1" si="313"/>
        <v>5496317.7631999999</v>
      </c>
      <c r="AR310" s="20">
        <f t="shared" ca="1" si="314"/>
        <v>5496300</v>
      </c>
      <c r="AS310" s="216"/>
      <c r="AT310" s="27" t="s">
        <v>8</v>
      </c>
      <c r="AU310" s="30" t="str">
        <f>VLOOKUP(AT310,TER!$R$2:$S$10,2,0)</f>
        <v>C</v>
      </c>
      <c r="AV310" s="20">
        <f t="shared" si="315"/>
        <v>3715818</v>
      </c>
      <c r="AW310" s="20">
        <f t="shared" ca="1" si="316"/>
        <v>1400000</v>
      </c>
      <c r="AX310" s="20">
        <f t="shared" ref="AX310:AY310" ca="1" si="350">W310</f>
        <v>0</v>
      </c>
      <c r="AY310" s="20">
        <f t="shared" si="350"/>
        <v>0</v>
      </c>
      <c r="AZ310" s="20">
        <f t="shared" si="318"/>
        <v>8917.9631999999983</v>
      </c>
      <c r="BA310" s="20">
        <f t="shared" si="319"/>
        <v>11147.454</v>
      </c>
      <c r="BB310" s="20">
        <f t="shared" si="320"/>
        <v>148632.72</v>
      </c>
      <c r="BC310" s="20">
        <f t="shared" ca="1" si="321"/>
        <v>5284516.1371999998</v>
      </c>
      <c r="BD310" s="37">
        <f ca="1">IF(AU310="C",VLOOKUP(BC310,TER!$J$4:$L$50,3,TRUE),IF(AU310="B",VLOOKUP(BC310,TER!$F$4:$H$50,3,TRUE),IF(AU310="A",VLOOKUP(BC310,TER!$B$4:$D$50,3,TRUE),"ERROR")))</f>
        <v>0</v>
      </c>
      <c r="BE310" s="20">
        <f t="shared" ca="1" si="322"/>
        <v>0</v>
      </c>
      <c r="BF310" s="216"/>
      <c r="BG310" s="216"/>
    </row>
    <row r="311" spans="1:59" ht="15.75" hidden="1" customHeight="1">
      <c r="A311" s="216"/>
      <c r="B311" s="27">
        <v>27</v>
      </c>
      <c r="C311" s="28" t="s">
        <v>165</v>
      </c>
      <c r="D311" s="29" t="s">
        <v>166</v>
      </c>
      <c r="E311" s="27" t="s">
        <v>57</v>
      </c>
      <c r="F311" s="28" t="s">
        <v>167</v>
      </c>
      <c r="G311" s="27" t="s">
        <v>31</v>
      </c>
      <c r="H311" s="332" t="s">
        <v>32</v>
      </c>
      <c r="I311" s="16">
        <f t="shared" si="302"/>
        <v>3715818</v>
      </c>
      <c r="J311" s="345">
        <v>231867.04320000001</v>
      </c>
      <c r="K311" s="345">
        <v>148632.72</v>
      </c>
      <c r="L311" s="333">
        <v>200000</v>
      </c>
      <c r="M311" s="333">
        <f t="shared" si="347"/>
        <v>60000</v>
      </c>
      <c r="N311" s="21">
        <f ca="1">IFERROR(__xludf.DUMMYFUNCTION("VLOOKUP(C311,IMPORTRANGE(""https://docs.google.com/spreadsheets/d/1_8zosgvsKLSoAfUB7h2fjXw03wrKRz4qTHSb38JFhpE/edit?gid=2056509001#gid=2056509001"",""DATA_ABSEN_DES24""),39,0)"),21)</f>
        <v>21</v>
      </c>
      <c r="O311" s="334">
        <f ca="1">IFERROR(__xludf.DUMMYFUNCTION("VLOOKUP(C311,IMPORTRANGE(""https://docs.google.com/spreadsheets/d/1_8zosgvsKLSoAfUB7h2fjXw03wrKRz4qTHSb38JFhpE/edit?gid=2056509001#gid=2056509001"",""DATA_ABSEN_DES24""),40,0)"),31)</f>
        <v>31</v>
      </c>
      <c r="P311" s="16">
        <f t="shared" ca="1" si="304"/>
        <v>1460000</v>
      </c>
      <c r="Q311" s="16">
        <v>21</v>
      </c>
      <c r="R311" s="16">
        <f t="shared" si="305"/>
        <v>5556317.7631999999</v>
      </c>
      <c r="S311" s="16">
        <f t="shared" ca="1" si="306"/>
        <v>5556317.7631999999</v>
      </c>
      <c r="T311" s="16">
        <f t="shared" ca="1" si="307"/>
        <v>0</v>
      </c>
      <c r="U311" s="16">
        <v>120000</v>
      </c>
      <c r="V311" s="8">
        <f ca="1">IFERROR(__xludf.DUMMYFUNCTION("VLOOKUP(C311,IMPORTRANGE(""https://docs.google.com/spreadsheets/d/1_8zosgvsKLSoAfUB7h2fjXw03wrKRz4qTHSb38JFhpE/edit?gid=2056509001#gid=2056509001"",""DATA_ABSEN_DES24""),42,0)"),0)</f>
        <v>0</v>
      </c>
      <c r="W311" s="16">
        <f t="shared" ca="1" si="308"/>
        <v>0</v>
      </c>
      <c r="X311" s="16">
        <v>0</v>
      </c>
      <c r="Y311" s="16">
        <f t="shared" ca="1" si="309"/>
        <v>5556317.7631999999</v>
      </c>
      <c r="Z311" s="21"/>
      <c r="AA311" s="21"/>
      <c r="AB311" s="21"/>
      <c r="AC311" s="21"/>
      <c r="AD311" s="21"/>
      <c r="AE311" s="16"/>
      <c r="AF311" s="16"/>
      <c r="AG311" s="16"/>
      <c r="AH311" s="16"/>
      <c r="AI311" s="16"/>
      <c r="AJ311" s="16"/>
      <c r="AK311" s="16"/>
      <c r="AL311" s="16"/>
      <c r="AM311" s="16"/>
      <c r="AN311" s="335">
        <f t="shared" ca="1" si="310"/>
        <v>5556317.7631999999</v>
      </c>
      <c r="AO311" s="20">
        <f t="shared" ca="1" si="311"/>
        <v>0</v>
      </c>
      <c r="AP311" s="20">
        <f t="shared" ca="1" si="312"/>
        <v>5556317.7631999999</v>
      </c>
      <c r="AQ311" s="20">
        <f t="shared" ca="1" si="313"/>
        <v>5556317.7631999999</v>
      </c>
      <c r="AR311" s="20">
        <f t="shared" ca="1" si="314"/>
        <v>5556300</v>
      </c>
      <c r="AS311" s="216"/>
      <c r="AT311" s="27" t="s">
        <v>9</v>
      </c>
      <c r="AU311" s="30" t="str">
        <f>VLOOKUP(AT311,TER!$R$2:$S$10,2,0)</f>
        <v>A</v>
      </c>
      <c r="AV311" s="20">
        <f t="shared" si="315"/>
        <v>3715818</v>
      </c>
      <c r="AW311" s="20">
        <f t="shared" ca="1" si="316"/>
        <v>1460000</v>
      </c>
      <c r="AX311" s="20">
        <f t="shared" ref="AX311:AY311" ca="1" si="351">W311</f>
        <v>0</v>
      </c>
      <c r="AY311" s="20">
        <f t="shared" si="351"/>
        <v>0</v>
      </c>
      <c r="AZ311" s="20">
        <f t="shared" si="318"/>
        <v>8917.9631999999983</v>
      </c>
      <c r="BA311" s="20">
        <f t="shared" si="319"/>
        <v>11147.454</v>
      </c>
      <c r="BB311" s="20">
        <f t="shared" si="320"/>
        <v>148632.72</v>
      </c>
      <c r="BC311" s="20">
        <f t="shared" ca="1" si="321"/>
        <v>5344516.1371999998</v>
      </c>
      <c r="BD311" s="37">
        <f ca="1">IF(AU311="C",VLOOKUP(BC311,TER!$J$4:$L$50,3,TRUE),IF(AU311="B",VLOOKUP(BC311,TER!$F$4:$H$50,3,TRUE),IF(AU311="A",VLOOKUP(BC311,TER!$B$4:$D$50,3,TRUE),"ERROR")))</f>
        <v>0</v>
      </c>
      <c r="BE311" s="20">
        <f t="shared" ca="1" si="322"/>
        <v>0</v>
      </c>
      <c r="BF311" s="216"/>
      <c r="BG311" s="216"/>
    </row>
    <row r="312" spans="1:59" ht="15.75" hidden="1" customHeight="1">
      <c r="A312" s="216"/>
      <c r="B312" s="27">
        <v>28</v>
      </c>
      <c r="C312" s="28" t="s">
        <v>168</v>
      </c>
      <c r="D312" s="29" t="s">
        <v>169</v>
      </c>
      <c r="E312" s="27" t="s">
        <v>57</v>
      </c>
      <c r="F312" s="28" t="s">
        <v>170</v>
      </c>
      <c r="G312" s="27" t="s">
        <v>31</v>
      </c>
      <c r="H312" s="332" t="s">
        <v>32</v>
      </c>
      <c r="I312" s="16">
        <f t="shared" si="302"/>
        <v>3715818</v>
      </c>
      <c r="J312" s="16">
        <v>231867.04320000001</v>
      </c>
      <c r="K312" s="16">
        <v>148632.72</v>
      </c>
      <c r="L312" s="333">
        <v>200000</v>
      </c>
      <c r="M312" s="333">
        <f t="shared" si="347"/>
        <v>60000</v>
      </c>
      <c r="N312" s="21">
        <f ca="1">IFERROR(__xludf.DUMMYFUNCTION("VLOOKUP(C312,IMPORTRANGE(""https://docs.google.com/spreadsheets/d/1_8zosgvsKLSoAfUB7h2fjXw03wrKRz4qTHSb38JFhpE/edit?gid=2056509001#gid=2056509001"",""DATA_ABSEN_DES24""),39,0)"),20)</f>
        <v>20</v>
      </c>
      <c r="O312" s="334">
        <f ca="1">IFERROR(__xludf.DUMMYFUNCTION("VLOOKUP(C312,IMPORTRANGE(""https://docs.google.com/spreadsheets/d/1_8zosgvsKLSoAfUB7h2fjXw03wrKRz4qTHSb38JFhpE/edit?gid=2056509001#gid=2056509001"",""DATA_ABSEN_DES24""),40,0)"),31)</f>
        <v>31</v>
      </c>
      <c r="P312" s="16">
        <f t="shared" ca="1" si="304"/>
        <v>1400000</v>
      </c>
      <c r="Q312" s="16">
        <v>21</v>
      </c>
      <c r="R312" s="16">
        <f t="shared" si="305"/>
        <v>5556317.7631999999</v>
      </c>
      <c r="S312" s="16">
        <f t="shared" ca="1" si="306"/>
        <v>5496317.7631999999</v>
      </c>
      <c r="T312" s="16">
        <f t="shared" ca="1" si="307"/>
        <v>0</v>
      </c>
      <c r="U312" s="16">
        <v>120000</v>
      </c>
      <c r="V312" s="8">
        <f ca="1">IFERROR(__xludf.DUMMYFUNCTION("VLOOKUP(C312,IMPORTRANGE(""https://docs.google.com/spreadsheets/d/1_8zosgvsKLSoAfUB7h2fjXw03wrKRz4qTHSb38JFhpE/edit?gid=2056509001#gid=2056509001"",""DATA_ABSEN_DES24""),42,0)"),0)</f>
        <v>0</v>
      </c>
      <c r="W312" s="16">
        <f t="shared" ca="1" si="308"/>
        <v>0</v>
      </c>
      <c r="X312" s="16">
        <v>0</v>
      </c>
      <c r="Y312" s="16">
        <f t="shared" ca="1" si="309"/>
        <v>5496317.7631999999</v>
      </c>
      <c r="Z312" s="21"/>
      <c r="AA312" s="21"/>
      <c r="AB312" s="21"/>
      <c r="AC312" s="21"/>
      <c r="AD312" s="21"/>
      <c r="AE312" s="16"/>
      <c r="AF312" s="16"/>
      <c r="AG312" s="16"/>
      <c r="AH312" s="16"/>
      <c r="AI312" s="16"/>
      <c r="AJ312" s="16"/>
      <c r="AK312" s="16"/>
      <c r="AL312" s="16"/>
      <c r="AM312" s="16"/>
      <c r="AN312" s="335">
        <f t="shared" ca="1" si="310"/>
        <v>5496317.7631999999</v>
      </c>
      <c r="AO312" s="20">
        <f t="shared" ca="1" si="311"/>
        <v>0</v>
      </c>
      <c r="AP312" s="20">
        <f t="shared" ca="1" si="312"/>
        <v>5496317.7631999999</v>
      </c>
      <c r="AQ312" s="20">
        <f t="shared" ca="1" si="313"/>
        <v>5496317.7631999999</v>
      </c>
      <c r="AR312" s="20">
        <f t="shared" ca="1" si="314"/>
        <v>5496300</v>
      </c>
      <c r="AS312" s="216"/>
      <c r="AT312" s="27" t="s">
        <v>9</v>
      </c>
      <c r="AU312" s="30" t="str">
        <f>VLOOKUP(AT312,TER!$R$2:$S$10,2,0)</f>
        <v>A</v>
      </c>
      <c r="AV312" s="20">
        <f t="shared" si="315"/>
        <v>3715818</v>
      </c>
      <c r="AW312" s="20">
        <f t="shared" ca="1" si="316"/>
        <v>1400000</v>
      </c>
      <c r="AX312" s="20">
        <f t="shared" ref="AX312:AY312" ca="1" si="352">W312</f>
        <v>0</v>
      </c>
      <c r="AY312" s="20">
        <f t="shared" si="352"/>
        <v>0</v>
      </c>
      <c r="AZ312" s="20">
        <f t="shared" si="318"/>
        <v>8917.9631999999983</v>
      </c>
      <c r="BA312" s="20">
        <f t="shared" si="319"/>
        <v>11147.454</v>
      </c>
      <c r="BB312" s="20">
        <f t="shared" si="320"/>
        <v>148632.72</v>
      </c>
      <c r="BC312" s="20">
        <f t="shared" ca="1" si="321"/>
        <v>5284516.1371999998</v>
      </c>
      <c r="BD312" s="37">
        <f ca="1">IF(AU312="C",VLOOKUP(BC312,TER!$J$4:$L$50,3,TRUE),IF(AU312="B",VLOOKUP(BC312,TER!$F$4:$H$50,3,TRUE),IF(AU312="A",VLOOKUP(BC312,TER!$B$4:$D$50,3,TRUE),"ERROR")))</f>
        <v>0</v>
      </c>
      <c r="BE312" s="20">
        <f t="shared" ca="1" si="322"/>
        <v>0</v>
      </c>
      <c r="BF312" s="216"/>
      <c r="BG312" s="216"/>
    </row>
    <row r="313" spans="1:59" ht="15.75" hidden="1" customHeight="1">
      <c r="A313" s="216"/>
      <c r="B313" s="27">
        <v>29</v>
      </c>
      <c r="C313" s="28" t="s">
        <v>171</v>
      </c>
      <c r="D313" s="29" t="s">
        <v>172</v>
      </c>
      <c r="E313" s="27" t="s">
        <v>57</v>
      </c>
      <c r="F313" s="28" t="s">
        <v>173</v>
      </c>
      <c r="G313" s="27" t="s">
        <v>31</v>
      </c>
      <c r="H313" s="332" t="s">
        <v>32</v>
      </c>
      <c r="I313" s="16">
        <f t="shared" si="302"/>
        <v>3715818</v>
      </c>
      <c r="J313" s="16">
        <v>231867.04320000001</v>
      </c>
      <c r="K313" s="16">
        <v>148632.72</v>
      </c>
      <c r="L313" s="333">
        <v>200000</v>
      </c>
      <c r="M313" s="333">
        <f t="shared" si="347"/>
        <v>60000</v>
      </c>
      <c r="N313" s="21">
        <f ca="1">IFERROR(__xludf.DUMMYFUNCTION("VLOOKUP(C313,IMPORTRANGE(""https://docs.google.com/spreadsheets/d/1_8zosgvsKLSoAfUB7h2fjXw03wrKRz4qTHSb38JFhpE/edit?gid=2056509001#gid=2056509001"",""DATA_ABSEN_DES24""),39,0)"),20)</f>
        <v>20</v>
      </c>
      <c r="O313" s="334">
        <f ca="1">IFERROR(__xludf.DUMMYFUNCTION("VLOOKUP(C313,IMPORTRANGE(""https://docs.google.com/spreadsheets/d/1_8zosgvsKLSoAfUB7h2fjXw03wrKRz4qTHSb38JFhpE/edit?gid=2056509001#gid=2056509001"",""DATA_ABSEN_DES24""),40,0)"),31)</f>
        <v>31</v>
      </c>
      <c r="P313" s="16">
        <f t="shared" ca="1" si="304"/>
        <v>1400000</v>
      </c>
      <c r="Q313" s="16">
        <v>21</v>
      </c>
      <c r="R313" s="16">
        <f t="shared" si="305"/>
        <v>5556317.7631999999</v>
      </c>
      <c r="S313" s="16">
        <f t="shared" ca="1" si="306"/>
        <v>5496317.7631999999</v>
      </c>
      <c r="T313" s="16">
        <f t="shared" ca="1" si="307"/>
        <v>0</v>
      </c>
      <c r="U313" s="16">
        <v>120000</v>
      </c>
      <c r="V313" s="8">
        <f ca="1">IFERROR(__xludf.DUMMYFUNCTION("VLOOKUP(C313,IMPORTRANGE(""https://docs.google.com/spreadsheets/d/1_8zosgvsKLSoAfUB7h2fjXw03wrKRz4qTHSb38JFhpE/edit?gid=2056509001#gid=2056509001"",""DATA_ABSEN_DES24""),42,0)"),0)</f>
        <v>0</v>
      </c>
      <c r="W313" s="16">
        <f t="shared" ca="1" si="308"/>
        <v>0</v>
      </c>
      <c r="X313" s="16">
        <v>0</v>
      </c>
      <c r="Y313" s="16">
        <f t="shared" ca="1" si="309"/>
        <v>5496317.7631999999</v>
      </c>
      <c r="Z313" s="21"/>
      <c r="AA313" s="21"/>
      <c r="AB313" s="21"/>
      <c r="AC313" s="21"/>
      <c r="AD313" s="21"/>
      <c r="AE313" s="16"/>
      <c r="AF313" s="16"/>
      <c r="AG313" s="16"/>
      <c r="AH313" s="16"/>
      <c r="AI313" s="16"/>
      <c r="AJ313" s="16"/>
      <c r="AK313" s="16"/>
      <c r="AL313" s="16"/>
      <c r="AM313" s="16"/>
      <c r="AN313" s="335">
        <f t="shared" ca="1" si="310"/>
        <v>5496317.7631999999</v>
      </c>
      <c r="AO313" s="20">
        <f t="shared" ca="1" si="311"/>
        <v>0</v>
      </c>
      <c r="AP313" s="20">
        <f t="shared" ca="1" si="312"/>
        <v>5496317.7631999999</v>
      </c>
      <c r="AQ313" s="20">
        <f t="shared" ca="1" si="313"/>
        <v>5496317.7631999999</v>
      </c>
      <c r="AR313" s="20">
        <f t="shared" ca="1" si="314"/>
        <v>5496300</v>
      </c>
      <c r="AS313" s="216"/>
      <c r="AT313" s="27" t="s">
        <v>18</v>
      </c>
      <c r="AU313" s="30" t="str">
        <f>VLOOKUP(AT313,TER!$R$2:$S$10,2,0)</f>
        <v>B</v>
      </c>
      <c r="AV313" s="20">
        <f t="shared" si="315"/>
        <v>3715818</v>
      </c>
      <c r="AW313" s="20">
        <f t="shared" ca="1" si="316"/>
        <v>1400000</v>
      </c>
      <c r="AX313" s="20">
        <f t="shared" ref="AX313:AY313" ca="1" si="353">W313</f>
        <v>0</v>
      </c>
      <c r="AY313" s="20">
        <f t="shared" si="353"/>
        <v>0</v>
      </c>
      <c r="AZ313" s="20">
        <f t="shared" si="318"/>
        <v>8917.9631999999983</v>
      </c>
      <c r="BA313" s="20">
        <f t="shared" si="319"/>
        <v>11147.454</v>
      </c>
      <c r="BB313" s="20">
        <f t="shared" si="320"/>
        <v>148632.72</v>
      </c>
      <c r="BC313" s="20">
        <f t="shared" ca="1" si="321"/>
        <v>5284516.1371999998</v>
      </c>
      <c r="BD313" s="37">
        <f ca="1">IF(AU313="C",VLOOKUP(BC313,TER!$J$4:$L$50,3,TRUE),IF(AU313="B",VLOOKUP(BC313,TER!$F$4:$H$50,3,TRUE),IF(AU313="A",VLOOKUP(BC313,TER!$B$4:$D$50,3,TRUE),"ERROR")))</f>
        <v>0</v>
      </c>
      <c r="BE313" s="20">
        <f t="shared" ca="1" si="322"/>
        <v>0</v>
      </c>
      <c r="BF313" s="216"/>
      <c r="BG313" s="216"/>
    </row>
    <row r="314" spans="1:59" ht="15.75" hidden="1" customHeight="1">
      <c r="A314" s="216"/>
      <c r="B314" s="27">
        <v>30</v>
      </c>
      <c r="C314" s="28" t="s">
        <v>174</v>
      </c>
      <c r="D314" s="29" t="s">
        <v>175</v>
      </c>
      <c r="E314" s="27" t="s">
        <v>57</v>
      </c>
      <c r="F314" s="28" t="s">
        <v>176</v>
      </c>
      <c r="G314" s="27" t="s">
        <v>31</v>
      </c>
      <c r="H314" s="332" t="s">
        <v>32</v>
      </c>
      <c r="I314" s="16">
        <f t="shared" si="302"/>
        <v>3715818</v>
      </c>
      <c r="J314" s="16">
        <v>231867.04320000001</v>
      </c>
      <c r="K314" s="16">
        <v>148632.72</v>
      </c>
      <c r="L314" s="333">
        <v>200000</v>
      </c>
      <c r="M314" s="333">
        <f t="shared" si="347"/>
        <v>60000</v>
      </c>
      <c r="N314" s="21">
        <f ca="1">IFERROR(__xludf.DUMMYFUNCTION("VLOOKUP(C314,IMPORTRANGE(""https://docs.google.com/spreadsheets/d/1_8zosgvsKLSoAfUB7h2fjXw03wrKRz4qTHSb38JFhpE/edit?gid=2056509001#gid=2056509001"",""DATA_ABSEN_DES24""),39,0)"),20)</f>
        <v>20</v>
      </c>
      <c r="O314" s="334">
        <f ca="1">IFERROR(__xludf.DUMMYFUNCTION("VLOOKUP(C314,IMPORTRANGE(""https://docs.google.com/spreadsheets/d/1_8zosgvsKLSoAfUB7h2fjXw03wrKRz4qTHSb38JFhpE/edit?gid=2056509001#gid=2056509001"",""DATA_ABSEN_DES24""),40,0)"),31)</f>
        <v>31</v>
      </c>
      <c r="P314" s="16">
        <f t="shared" ca="1" si="304"/>
        <v>1400000</v>
      </c>
      <c r="Q314" s="16">
        <v>21</v>
      </c>
      <c r="R314" s="16">
        <f t="shared" si="305"/>
        <v>5556317.7631999999</v>
      </c>
      <c r="S314" s="16">
        <f t="shared" ca="1" si="306"/>
        <v>5496317.7631999999</v>
      </c>
      <c r="T314" s="16">
        <f t="shared" ca="1" si="307"/>
        <v>0</v>
      </c>
      <c r="U314" s="16">
        <v>120000</v>
      </c>
      <c r="V314" s="8">
        <f ca="1">IFERROR(__xludf.DUMMYFUNCTION("VLOOKUP(C314,IMPORTRANGE(""https://docs.google.com/spreadsheets/d/1_8zosgvsKLSoAfUB7h2fjXw03wrKRz4qTHSb38JFhpE/edit?gid=2056509001#gid=2056509001"",""DATA_ABSEN_DES24""),42,0)"),0)</f>
        <v>0</v>
      </c>
      <c r="W314" s="16">
        <f t="shared" ca="1" si="308"/>
        <v>0</v>
      </c>
      <c r="X314" s="16">
        <v>0</v>
      </c>
      <c r="Y314" s="16">
        <f t="shared" ca="1" si="309"/>
        <v>5496317.7631999999</v>
      </c>
      <c r="Z314" s="21"/>
      <c r="AA314" s="21"/>
      <c r="AB314" s="21"/>
      <c r="AC314" s="21"/>
      <c r="AD314" s="21"/>
      <c r="AE314" s="16"/>
      <c r="AF314" s="16"/>
      <c r="AG314" s="16"/>
      <c r="AH314" s="16"/>
      <c r="AI314" s="16"/>
      <c r="AJ314" s="16"/>
      <c r="AK314" s="16"/>
      <c r="AL314" s="16"/>
      <c r="AM314" s="16"/>
      <c r="AN314" s="335">
        <f t="shared" ca="1" si="310"/>
        <v>5496317.7631999999</v>
      </c>
      <c r="AO314" s="20">
        <f t="shared" ca="1" si="311"/>
        <v>0</v>
      </c>
      <c r="AP314" s="20">
        <f t="shared" ca="1" si="312"/>
        <v>5496317.7631999999</v>
      </c>
      <c r="AQ314" s="20">
        <f t="shared" ca="1" si="313"/>
        <v>5496317.7631999999</v>
      </c>
      <c r="AR314" s="20">
        <f t="shared" ca="1" si="314"/>
        <v>5496300</v>
      </c>
      <c r="AS314" s="216"/>
      <c r="AT314" s="27" t="s">
        <v>18</v>
      </c>
      <c r="AU314" s="30" t="str">
        <f>VLOOKUP(AT314,TER!$R$2:$S$10,2,0)</f>
        <v>B</v>
      </c>
      <c r="AV314" s="20">
        <f t="shared" si="315"/>
        <v>3715818</v>
      </c>
      <c r="AW314" s="20">
        <f t="shared" ca="1" si="316"/>
        <v>1400000</v>
      </c>
      <c r="AX314" s="20">
        <f t="shared" ref="AX314:AY314" ca="1" si="354">W314</f>
        <v>0</v>
      </c>
      <c r="AY314" s="20">
        <f t="shared" si="354"/>
        <v>0</v>
      </c>
      <c r="AZ314" s="20">
        <f t="shared" si="318"/>
        <v>8917.9631999999983</v>
      </c>
      <c r="BA314" s="20">
        <f t="shared" si="319"/>
        <v>11147.454</v>
      </c>
      <c r="BB314" s="20">
        <f t="shared" si="320"/>
        <v>148632.72</v>
      </c>
      <c r="BC314" s="20">
        <f t="shared" ca="1" si="321"/>
        <v>5284516.1371999998</v>
      </c>
      <c r="BD314" s="37">
        <f ca="1">IF(AU314="C",VLOOKUP(BC314,TER!$J$4:$L$50,3,TRUE),IF(AU314="B",VLOOKUP(BC314,TER!$F$4:$H$50,3,TRUE),IF(AU314="A",VLOOKUP(BC314,TER!$B$4:$D$50,3,TRUE),"ERROR")))</f>
        <v>0</v>
      </c>
      <c r="BE314" s="20">
        <f t="shared" ca="1" si="322"/>
        <v>0</v>
      </c>
      <c r="BF314" s="216"/>
      <c r="BG314" s="216"/>
    </row>
    <row r="315" spans="1:59" ht="15.75" hidden="1" customHeight="1">
      <c r="A315" s="216"/>
      <c r="B315" s="27">
        <v>31</v>
      </c>
      <c r="C315" s="28" t="s">
        <v>177</v>
      </c>
      <c r="D315" s="29" t="s">
        <v>178</v>
      </c>
      <c r="E315" s="27" t="s">
        <v>57</v>
      </c>
      <c r="F315" s="28" t="s">
        <v>179</v>
      </c>
      <c r="G315" s="27" t="s">
        <v>31</v>
      </c>
      <c r="H315" s="332" t="s">
        <v>32</v>
      </c>
      <c r="I315" s="16">
        <f t="shared" si="302"/>
        <v>3715818</v>
      </c>
      <c r="J315" s="16">
        <v>231867.04320000001</v>
      </c>
      <c r="K315" s="16">
        <v>148632.72</v>
      </c>
      <c r="L315" s="333">
        <v>200000</v>
      </c>
      <c r="M315" s="333">
        <f t="shared" si="347"/>
        <v>60000</v>
      </c>
      <c r="N315" s="21">
        <f ca="1">IFERROR(__xludf.DUMMYFUNCTION("VLOOKUP(C315,IMPORTRANGE(""https://docs.google.com/spreadsheets/d/1_8zosgvsKLSoAfUB7h2fjXw03wrKRz4qTHSb38JFhpE/edit?gid=2056509001#gid=2056509001"",""DATA_ABSEN_DES24""),39,0)"),20)</f>
        <v>20</v>
      </c>
      <c r="O315" s="334">
        <f ca="1">IFERROR(__xludf.DUMMYFUNCTION("VLOOKUP(C315,IMPORTRANGE(""https://docs.google.com/spreadsheets/d/1_8zosgvsKLSoAfUB7h2fjXw03wrKRz4qTHSb38JFhpE/edit?gid=2056509001#gid=2056509001"",""DATA_ABSEN_DES24""),40,0)"),31)</f>
        <v>31</v>
      </c>
      <c r="P315" s="16">
        <f t="shared" ca="1" si="304"/>
        <v>1400000</v>
      </c>
      <c r="Q315" s="16">
        <v>21</v>
      </c>
      <c r="R315" s="16">
        <f t="shared" si="305"/>
        <v>5556317.7631999999</v>
      </c>
      <c r="S315" s="16">
        <f t="shared" ca="1" si="306"/>
        <v>5496317.7631999999</v>
      </c>
      <c r="T315" s="16">
        <f t="shared" ca="1" si="307"/>
        <v>0</v>
      </c>
      <c r="U315" s="16">
        <v>120000</v>
      </c>
      <c r="V315" s="8">
        <f ca="1">IFERROR(__xludf.DUMMYFUNCTION("VLOOKUP(C315,IMPORTRANGE(""https://docs.google.com/spreadsheets/d/1_8zosgvsKLSoAfUB7h2fjXw03wrKRz4qTHSb38JFhpE/edit?gid=2056509001#gid=2056509001"",""DATA_ABSEN_DES24""),42,0)"),0)</f>
        <v>0</v>
      </c>
      <c r="W315" s="16">
        <f t="shared" ca="1" si="308"/>
        <v>0</v>
      </c>
      <c r="X315" s="16">
        <v>0</v>
      </c>
      <c r="Y315" s="16">
        <f t="shared" ca="1" si="309"/>
        <v>5496317.7631999999</v>
      </c>
      <c r="Z315" s="21"/>
      <c r="AA315" s="21"/>
      <c r="AB315" s="21"/>
      <c r="AC315" s="21"/>
      <c r="AD315" s="21"/>
      <c r="AE315" s="16"/>
      <c r="AF315" s="16"/>
      <c r="AG315" s="16"/>
      <c r="AH315" s="16"/>
      <c r="AI315" s="16"/>
      <c r="AJ315" s="16"/>
      <c r="AK315" s="16"/>
      <c r="AL315" s="16"/>
      <c r="AM315" s="16"/>
      <c r="AN315" s="335">
        <f t="shared" ca="1" si="310"/>
        <v>5496317.7631999999</v>
      </c>
      <c r="AO315" s="20">
        <f t="shared" ca="1" si="311"/>
        <v>0</v>
      </c>
      <c r="AP315" s="20">
        <f t="shared" ca="1" si="312"/>
        <v>5496317.7631999999</v>
      </c>
      <c r="AQ315" s="20">
        <f t="shared" ca="1" si="313"/>
        <v>5496317.7631999999</v>
      </c>
      <c r="AR315" s="20">
        <f t="shared" ca="1" si="314"/>
        <v>5496300</v>
      </c>
      <c r="AS315" s="216"/>
      <c r="AT315" s="27" t="s">
        <v>9</v>
      </c>
      <c r="AU315" s="30" t="str">
        <f>VLOOKUP(AT315,TER!$R$2:$S$10,2,0)</f>
        <v>A</v>
      </c>
      <c r="AV315" s="20">
        <f t="shared" si="315"/>
        <v>3715818</v>
      </c>
      <c r="AW315" s="20">
        <f t="shared" ca="1" si="316"/>
        <v>1400000</v>
      </c>
      <c r="AX315" s="20">
        <f t="shared" ref="AX315:AY315" ca="1" si="355">W315</f>
        <v>0</v>
      </c>
      <c r="AY315" s="20">
        <f t="shared" si="355"/>
        <v>0</v>
      </c>
      <c r="AZ315" s="20">
        <f t="shared" si="318"/>
        <v>8917.9631999999983</v>
      </c>
      <c r="BA315" s="20">
        <f t="shared" si="319"/>
        <v>11147.454</v>
      </c>
      <c r="BB315" s="20">
        <f t="shared" si="320"/>
        <v>148632.72</v>
      </c>
      <c r="BC315" s="20">
        <f t="shared" ca="1" si="321"/>
        <v>5284516.1371999998</v>
      </c>
      <c r="BD315" s="37">
        <f ca="1">IF(AU315="C",VLOOKUP(BC315,TER!$J$4:$L$50,3,TRUE),IF(AU315="B",VLOOKUP(BC315,TER!$F$4:$H$50,3,TRUE),IF(AU315="A",VLOOKUP(BC315,TER!$B$4:$D$50,3,TRUE),"ERROR")))</f>
        <v>0</v>
      </c>
      <c r="BE315" s="20">
        <f t="shared" ca="1" si="322"/>
        <v>0</v>
      </c>
      <c r="BF315" s="216"/>
      <c r="BG315" s="216"/>
    </row>
    <row r="316" spans="1:59" ht="15.75" hidden="1" customHeight="1">
      <c r="A316" s="216"/>
      <c r="B316" s="27">
        <v>32</v>
      </c>
      <c r="C316" s="28" t="s">
        <v>180</v>
      </c>
      <c r="D316" s="29" t="s">
        <v>181</v>
      </c>
      <c r="E316" s="27" t="s">
        <v>57</v>
      </c>
      <c r="F316" s="28" t="s">
        <v>182</v>
      </c>
      <c r="G316" s="27" t="s">
        <v>31</v>
      </c>
      <c r="H316" s="332" t="s">
        <v>32</v>
      </c>
      <c r="I316" s="16">
        <f t="shared" si="302"/>
        <v>3715818</v>
      </c>
      <c r="J316" s="16">
        <v>231867.04320000001</v>
      </c>
      <c r="K316" s="16">
        <v>148632.72</v>
      </c>
      <c r="L316" s="333">
        <v>200000</v>
      </c>
      <c r="M316" s="333">
        <f t="shared" si="347"/>
        <v>60000</v>
      </c>
      <c r="N316" s="21">
        <f ca="1">IFERROR(__xludf.DUMMYFUNCTION("VLOOKUP(C316,IMPORTRANGE(""https://docs.google.com/spreadsheets/d/1_8zosgvsKLSoAfUB7h2fjXw03wrKRz4qTHSb38JFhpE/edit?gid=2056509001#gid=2056509001"",""DATA_ABSEN_DES24""),39,0)"),20)</f>
        <v>20</v>
      </c>
      <c r="O316" s="334">
        <f ca="1">IFERROR(__xludf.DUMMYFUNCTION("VLOOKUP(C316,IMPORTRANGE(""https://docs.google.com/spreadsheets/d/1_8zosgvsKLSoAfUB7h2fjXw03wrKRz4qTHSb38JFhpE/edit?gid=2056509001#gid=2056509001"",""DATA_ABSEN_DES24""),40,0)"),31)</f>
        <v>31</v>
      </c>
      <c r="P316" s="16">
        <f t="shared" ca="1" si="304"/>
        <v>1400000</v>
      </c>
      <c r="Q316" s="16">
        <v>21</v>
      </c>
      <c r="R316" s="16">
        <f t="shared" si="305"/>
        <v>5556317.7631999999</v>
      </c>
      <c r="S316" s="16">
        <f t="shared" ca="1" si="306"/>
        <v>5496317.7631999999</v>
      </c>
      <c r="T316" s="16">
        <f t="shared" ca="1" si="307"/>
        <v>0</v>
      </c>
      <c r="U316" s="16">
        <v>120000</v>
      </c>
      <c r="V316" s="8">
        <f ca="1">IFERROR(__xludf.DUMMYFUNCTION("VLOOKUP(C316,IMPORTRANGE(""https://docs.google.com/spreadsheets/d/1_8zosgvsKLSoAfUB7h2fjXw03wrKRz4qTHSb38JFhpE/edit?gid=2056509001#gid=2056509001"",""DATA_ABSEN_DES24""),42,0)"),0)</f>
        <v>0</v>
      </c>
      <c r="W316" s="16">
        <f t="shared" ca="1" si="308"/>
        <v>0</v>
      </c>
      <c r="X316" s="16">
        <v>0</v>
      </c>
      <c r="Y316" s="16">
        <f t="shared" ca="1" si="309"/>
        <v>5496317.7631999999</v>
      </c>
      <c r="Z316" s="21"/>
      <c r="AA316" s="21"/>
      <c r="AB316" s="21"/>
      <c r="AC316" s="21"/>
      <c r="AD316" s="21"/>
      <c r="AE316" s="16"/>
      <c r="AF316" s="16"/>
      <c r="AG316" s="16"/>
      <c r="AH316" s="16"/>
      <c r="AI316" s="16"/>
      <c r="AJ316" s="16"/>
      <c r="AK316" s="16"/>
      <c r="AL316" s="16"/>
      <c r="AM316" s="16"/>
      <c r="AN316" s="335">
        <f t="shared" ca="1" si="310"/>
        <v>5496317.7631999999</v>
      </c>
      <c r="AO316" s="20">
        <f t="shared" ca="1" si="311"/>
        <v>0</v>
      </c>
      <c r="AP316" s="20">
        <f t="shared" ca="1" si="312"/>
        <v>5496317.7631999999</v>
      </c>
      <c r="AQ316" s="20">
        <f t="shared" ca="1" si="313"/>
        <v>5496317.7631999999</v>
      </c>
      <c r="AR316" s="20">
        <f t="shared" ca="1" si="314"/>
        <v>5496300</v>
      </c>
      <c r="AS316" s="216"/>
      <c r="AT316" s="27" t="s">
        <v>18</v>
      </c>
      <c r="AU316" s="30" t="str">
        <f>VLOOKUP(AT316,TER!$R$2:$S$10,2,0)</f>
        <v>B</v>
      </c>
      <c r="AV316" s="20">
        <f t="shared" si="315"/>
        <v>3715818</v>
      </c>
      <c r="AW316" s="20">
        <f t="shared" ca="1" si="316"/>
        <v>1400000</v>
      </c>
      <c r="AX316" s="20">
        <f t="shared" ref="AX316:AY316" ca="1" si="356">W316</f>
        <v>0</v>
      </c>
      <c r="AY316" s="20">
        <f t="shared" si="356"/>
        <v>0</v>
      </c>
      <c r="AZ316" s="20">
        <f t="shared" si="318"/>
        <v>8917.9631999999983</v>
      </c>
      <c r="BA316" s="20">
        <f t="shared" si="319"/>
        <v>11147.454</v>
      </c>
      <c r="BB316" s="20">
        <f t="shared" si="320"/>
        <v>148632.72</v>
      </c>
      <c r="BC316" s="20">
        <f t="shared" ca="1" si="321"/>
        <v>5284516.1371999998</v>
      </c>
      <c r="BD316" s="37">
        <f ca="1">IF(AU316="C",VLOOKUP(BC316,TER!$J$4:$L$50,3,TRUE),IF(AU316="B",VLOOKUP(BC316,TER!$F$4:$H$50,3,TRUE),IF(AU316="A",VLOOKUP(BC316,TER!$B$4:$D$50,3,TRUE),"ERROR")))</f>
        <v>0</v>
      </c>
      <c r="BE316" s="20">
        <f t="shared" ca="1" si="322"/>
        <v>0</v>
      </c>
      <c r="BF316" s="216"/>
      <c r="BG316" s="216"/>
    </row>
    <row r="317" spans="1:59" ht="15.75" hidden="1" customHeight="1">
      <c r="A317" s="216"/>
      <c r="B317" s="27">
        <v>33</v>
      </c>
      <c r="C317" s="28" t="s">
        <v>183</v>
      </c>
      <c r="D317" s="29" t="s">
        <v>184</v>
      </c>
      <c r="E317" s="27" t="s">
        <v>57</v>
      </c>
      <c r="F317" s="28" t="s">
        <v>185</v>
      </c>
      <c r="G317" s="27" t="s">
        <v>31</v>
      </c>
      <c r="H317" s="332" t="s">
        <v>32</v>
      </c>
      <c r="I317" s="16">
        <f t="shared" si="302"/>
        <v>3715818</v>
      </c>
      <c r="J317" s="16">
        <v>231867.04320000001</v>
      </c>
      <c r="K317" s="16">
        <v>148632.72</v>
      </c>
      <c r="L317" s="333">
        <v>200000</v>
      </c>
      <c r="M317" s="333">
        <f t="shared" si="347"/>
        <v>60000</v>
      </c>
      <c r="N317" s="21">
        <f ca="1">IFERROR(__xludf.DUMMYFUNCTION("VLOOKUP(C317,IMPORTRANGE(""https://docs.google.com/spreadsheets/d/1_8zosgvsKLSoAfUB7h2fjXw03wrKRz4qTHSb38JFhpE/edit?gid=2056509001#gid=2056509001"",""DATA_ABSEN_DES24""),39,0)"),21)</f>
        <v>21</v>
      </c>
      <c r="O317" s="334">
        <f ca="1">IFERROR(__xludf.DUMMYFUNCTION("VLOOKUP(C317,IMPORTRANGE(""https://docs.google.com/spreadsheets/d/1_8zosgvsKLSoAfUB7h2fjXw03wrKRz4qTHSb38JFhpE/edit?gid=2056509001#gid=2056509001"",""DATA_ABSEN_DES24""),40,0)"),31)</f>
        <v>31</v>
      </c>
      <c r="P317" s="16">
        <f t="shared" ca="1" si="304"/>
        <v>1460000</v>
      </c>
      <c r="Q317" s="16">
        <v>21</v>
      </c>
      <c r="R317" s="16">
        <f t="shared" si="305"/>
        <v>5556317.7631999999</v>
      </c>
      <c r="S317" s="16">
        <f t="shared" ca="1" si="306"/>
        <v>5556317.7631999999</v>
      </c>
      <c r="T317" s="16">
        <f t="shared" ca="1" si="307"/>
        <v>0</v>
      </c>
      <c r="U317" s="16">
        <v>120000</v>
      </c>
      <c r="V317" s="8">
        <f ca="1">IFERROR(__xludf.DUMMYFUNCTION("VLOOKUP(C317,IMPORTRANGE(""https://docs.google.com/spreadsheets/d/1_8zosgvsKLSoAfUB7h2fjXw03wrKRz4qTHSb38JFhpE/edit?gid=2056509001#gid=2056509001"",""DATA_ABSEN_DES24""),42,0)"),0)</f>
        <v>0</v>
      </c>
      <c r="W317" s="16">
        <f t="shared" ca="1" si="308"/>
        <v>0</v>
      </c>
      <c r="X317" s="16">
        <v>0</v>
      </c>
      <c r="Y317" s="16">
        <f t="shared" ca="1" si="309"/>
        <v>5556317.7631999999</v>
      </c>
      <c r="Z317" s="21"/>
      <c r="AA317" s="21"/>
      <c r="AB317" s="21"/>
      <c r="AC317" s="21"/>
      <c r="AD317" s="21"/>
      <c r="AE317" s="16"/>
      <c r="AF317" s="16"/>
      <c r="AG317" s="16"/>
      <c r="AH317" s="16"/>
      <c r="AI317" s="16"/>
      <c r="AJ317" s="16"/>
      <c r="AK317" s="16"/>
      <c r="AL317" s="16"/>
      <c r="AM317" s="16"/>
      <c r="AN317" s="335">
        <f t="shared" ca="1" si="310"/>
        <v>5556317.7631999999</v>
      </c>
      <c r="AO317" s="20">
        <f t="shared" ca="1" si="311"/>
        <v>0</v>
      </c>
      <c r="AP317" s="20">
        <f t="shared" ca="1" si="312"/>
        <v>5556317.7631999999</v>
      </c>
      <c r="AQ317" s="20">
        <f t="shared" ca="1" si="313"/>
        <v>5556317.7631999999</v>
      </c>
      <c r="AR317" s="20">
        <f t="shared" ca="1" si="314"/>
        <v>5556300</v>
      </c>
      <c r="AS317" s="216"/>
      <c r="AT317" s="27" t="s">
        <v>9</v>
      </c>
      <c r="AU317" s="30" t="str">
        <f>VLOOKUP(AT317,TER!$R$2:$S$10,2,0)</f>
        <v>A</v>
      </c>
      <c r="AV317" s="20">
        <f t="shared" si="315"/>
        <v>3715818</v>
      </c>
      <c r="AW317" s="20">
        <f t="shared" ca="1" si="316"/>
        <v>1460000</v>
      </c>
      <c r="AX317" s="20">
        <f t="shared" ref="AX317:AY317" ca="1" si="357">W317</f>
        <v>0</v>
      </c>
      <c r="AY317" s="20">
        <f t="shared" si="357"/>
        <v>0</v>
      </c>
      <c r="AZ317" s="20">
        <f t="shared" si="318"/>
        <v>8917.9631999999983</v>
      </c>
      <c r="BA317" s="20">
        <f t="shared" si="319"/>
        <v>11147.454</v>
      </c>
      <c r="BB317" s="20">
        <f t="shared" si="320"/>
        <v>148632.72</v>
      </c>
      <c r="BC317" s="20">
        <f t="shared" ca="1" si="321"/>
        <v>5344516.1371999998</v>
      </c>
      <c r="BD317" s="37">
        <f ca="1">IF(AU317="C",VLOOKUP(BC317,TER!$J$4:$L$50,3,TRUE),IF(AU317="B",VLOOKUP(BC317,TER!$F$4:$H$50,3,TRUE),IF(AU317="A",VLOOKUP(BC317,TER!$B$4:$D$50,3,TRUE),"ERROR")))</f>
        <v>0</v>
      </c>
      <c r="BE317" s="20">
        <f t="shared" ca="1" si="322"/>
        <v>0</v>
      </c>
      <c r="BF317" s="216"/>
      <c r="BG317" s="216"/>
    </row>
    <row r="318" spans="1:59" ht="15.75" hidden="1" customHeight="1">
      <c r="A318" s="216"/>
      <c r="B318" s="27">
        <v>34</v>
      </c>
      <c r="C318" s="28" t="s">
        <v>186</v>
      </c>
      <c r="D318" s="29" t="s">
        <v>187</v>
      </c>
      <c r="E318" s="27" t="s">
        <v>57</v>
      </c>
      <c r="F318" s="28" t="s">
        <v>188</v>
      </c>
      <c r="G318" s="27" t="s">
        <v>94</v>
      </c>
      <c r="H318" s="332" t="s">
        <v>32</v>
      </c>
      <c r="I318" s="16">
        <f t="shared" si="302"/>
        <v>3715818</v>
      </c>
      <c r="J318" s="16">
        <v>231867.04320000001</v>
      </c>
      <c r="K318" s="16">
        <v>148632.72</v>
      </c>
      <c r="L318" s="336">
        <v>650000</v>
      </c>
      <c r="M318" s="336">
        <f>(1050000+525000)/21</f>
        <v>75000</v>
      </c>
      <c r="N318" s="21">
        <f ca="1">IFERROR(__xludf.DUMMYFUNCTION("VLOOKUP(C318,IMPORTRANGE(""https://docs.google.com/spreadsheets/d/1_8zosgvsKLSoAfUB7h2fjXw03wrKRz4qTHSb38JFhpE/edit?gid=2056509001#gid=2056509001"",""DATA_ABSEN_DES24""),39,0)"),21)</f>
        <v>21</v>
      </c>
      <c r="O318" s="334">
        <f ca="1">IFERROR(__xludf.DUMMYFUNCTION("VLOOKUP(C318,IMPORTRANGE(""https://docs.google.com/spreadsheets/d/1_8zosgvsKLSoAfUB7h2fjXw03wrKRz4qTHSb38JFhpE/edit?gid=2056509001#gid=2056509001"",""DATA_ABSEN_DES24""),40,0)"),31)</f>
        <v>31</v>
      </c>
      <c r="P318" s="16">
        <f t="shared" ca="1" si="304"/>
        <v>2225000</v>
      </c>
      <c r="Q318" s="16">
        <v>21</v>
      </c>
      <c r="R318" s="16">
        <f t="shared" si="305"/>
        <v>6321317.7631999999</v>
      </c>
      <c r="S318" s="16">
        <f t="shared" ca="1" si="306"/>
        <v>6321317.7631999999</v>
      </c>
      <c r="T318" s="16">
        <f t="shared" ca="1" si="307"/>
        <v>0</v>
      </c>
      <c r="U318" s="16">
        <v>120000</v>
      </c>
      <c r="V318" s="8">
        <f ca="1">IFERROR(__xludf.DUMMYFUNCTION("VLOOKUP(C318,IMPORTRANGE(""https://docs.google.com/spreadsheets/d/1_8zosgvsKLSoAfUB7h2fjXw03wrKRz4qTHSb38JFhpE/edit?gid=2056509001#gid=2056509001"",""DATA_ABSEN_DES24""),42,0)"),0)</f>
        <v>0</v>
      </c>
      <c r="W318" s="16">
        <f t="shared" ca="1" si="308"/>
        <v>0</v>
      </c>
      <c r="X318" s="16">
        <v>0</v>
      </c>
      <c r="Y318" s="16">
        <f t="shared" ca="1" si="309"/>
        <v>6321317.7631999999</v>
      </c>
      <c r="Z318" s="21"/>
      <c r="AA318" s="21"/>
      <c r="AB318" s="21"/>
      <c r="AC318" s="21"/>
      <c r="AD318" s="21"/>
      <c r="AE318" s="16"/>
      <c r="AF318" s="16"/>
      <c r="AG318" s="16"/>
      <c r="AH318" s="16"/>
      <c r="AI318" s="16"/>
      <c r="AJ318" s="16"/>
      <c r="AK318" s="16"/>
      <c r="AL318" s="16"/>
      <c r="AM318" s="16"/>
      <c r="AN318" s="335">
        <f t="shared" ca="1" si="310"/>
        <v>6321317.7631999999</v>
      </c>
      <c r="AO318" s="20">
        <f t="shared" ca="1" si="311"/>
        <v>0</v>
      </c>
      <c r="AP318" s="20">
        <f t="shared" ca="1" si="312"/>
        <v>6321317.7631999999</v>
      </c>
      <c r="AQ318" s="20">
        <f t="shared" ca="1" si="313"/>
        <v>6321317.7631999999</v>
      </c>
      <c r="AR318" s="20">
        <f t="shared" ca="1" si="314"/>
        <v>6321300</v>
      </c>
      <c r="AS318" s="216"/>
      <c r="AT318" s="27" t="s">
        <v>17</v>
      </c>
      <c r="AU318" s="30" t="str">
        <f>VLOOKUP(AT318,TER!$R$2:$S$10,2,0)</f>
        <v>B</v>
      </c>
      <c r="AV318" s="20">
        <f t="shared" si="315"/>
        <v>3715818</v>
      </c>
      <c r="AW318" s="20">
        <f t="shared" ca="1" si="316"/>
        <v>2225000</v>
      </c>
      <c r="AX318" s="20">
        <f t="shared" ref="AX318:AY318" ca="1" si="358">W318</f>
        <v>0</v>
      </c>
      <c r="AY318" s="20">
        <f t="shared" si="358"/>
        <v>0</v>
      </c>
      <c r="AZ318" s="20">
        <f t="shared" si="318"/>
        <v>8917.9631999999983</v>
      </c>
      <c r="BA318" s="20">
        <f t="shared" si="319"/>
        <v>11147.454</v>
      </c>
      <c r="BB318" s="20">
        <f t="shared" si="320"/>
        <v>148632.72</v>
      </c>
      <c r="BC318" s="20">
        <f t="shared" ca="1" si="321"/>
        <v>6109516.1371999998</v>
      </c>
      <c r="BD318" s="37">
        <f ca="1">IF(AU318="C",VLOOKUP(BC318,TER!$J$4:$L$50,3,TRUE),IF(AU318="B",VLOOKUP(BC318,TER!$F$4:$H$50,3,TRUE),IF(AU318="A",VLOOKUP(BC318,TER!$B$4:$D$50,3,TRUE),"ERROR")))</f>
        <v>0</v>
      </c>
      <c r="BE318" s="20">
        <f t="shared" ca="1" si="322"/>
        <v>0</v>
      </c>
      <c r="BF318" s="216"/>
      <c r="BG318" s="216"/>
    </row>
    <row r="319" spans="1:59" ht="15.75" hidden="1" customHeight="1">
      <c r="A319" s="216"/>
      <c r="B319" s="27">
        <v>35</v>
      </c>
      <c r="C319" s="28" t="s">
        <v>189</v>
      </c>
      <c r="D319" s="29" t="s">
        <v>190</v>
      </c>
      <c r="E319" s="27" t="s">
        <v>57</v>
      </c>
      <c r="F319" s="28" t="s">
        <v>191</v>
      </c>
      <c r="G319" s="27" t="s">
        <v>31</v>
      </c>
      <c r="H319" s="332" t="s">
        <v>32</v>
      </c>
      <c r="I319" s="16">
        <f t="shared" si="302"/>
        <v>3715818</v>
      </c>
      <c r="J319" s="16">
        <v>231867.04320000001</v>
      </c>
      <c r="K319" s="16">
        <v>148632.72</v>
      </c>
      <c r="L319" s="333">
        <v>200000</v>
      </c>
      <c r="M319" s="333">
        <f t="shared" ref="M319:M327" si="359">(840000+420000)/21</f>
        <v>60000</v>
      </c>
      <c r="N319" s="21">
        <f ca="1">IFERROR(__xludf.DUMMYFUNCTION("VLOOKUP(C319,IMPORTRANGE(""https://docs.google.com/spreadsheets/d/1_8zosgvsKLSoAfUB7h2fjXw03wrKRz4qTHSb38JFhpE/edit?gid=2056509001#gid=2056509001"",""DATA_ABSEN_DES24""),39,0)"),18)</f>
        <v>18</v>
      </c>
      <c r="O319" s="334">
        <f ca="1">IFERROR(__xludf.DUMMYFUNCTION("VLOOKUP(C319,IMPORTRANGE(""https://docs.google.com/spreadsheets/d/1_8zosgvsKLSoAfUB7h2fjXw03wrKRz4qTHSb38JFhpE/edit?gid=2056509001#gid=2056509001"",""DATA_ABSEN_DES24""),40,0)"),28)</f>
        <v>28</v>
      </c>
      <c r="P319" s="16">
        <f t="shared" ca="1" si="304"/>
        <v>1280000</v>
      </c>
      <c r="Q319" s="16">
        <v>21</v>
      </c>
      <c r="R319" s="16">
        <f t="shared" si="305"/>
        <v>5556317.7631999999</v>
      </c>
      <c r="S319" s="16">
        <f t="shared" ca="1" si="306"/>
        <v>5376317.7631999999</v>
      </c>
      <c r="T319" s="16">
        <f t="shared" ca="1" si="307"/>
        <v>0</v>
      </c>
      <c r="U319" s="16">
        <v>120000</v>
      </c>
      <c r="V319" s="8">
        <f ca="1">IFERROR(__xludf.DUMMYFUNCTION("VLOOKUP(C319,IMPORTRANGE(""https://docs.google.com/spreadsheets/d/1_8zosgvsKLSoAfUB7h2fjXw03wrKRz4qTHSb38JFhpE/edit?gid=2056509001#gid=2056509001"",""DATA_ABSEN_DES24""),42,0)"),0)</f>
        <v>0</v>
      </c>
      <c r="W319" s="16">
        <f t="shared" ca="1" si="308"/>
        <v>0</v>
      </c>
      <c r="X319" s="16">
        <v>0</v>
      </c>
      <c r="Y319" s="16">
        <f t="shared" ca="1" si="309"/>
        <v>5376317.7631999999</v>
      </c>
      <c r="Z319" s="21"/>
      <c r="AA319" s="21"/>
      <c r="AB319" s="21"/>
      <c r="AC319" s="21"/>
      <c r="AD319" s="21"/>
      <c r="AE319" s="16"/>
      <c r="AF319" s="16"/>
      <c r="AG319" s="16"/>
      <c r="AH319" s="16"/>
      <c r="AI319" s="16"/>
      <c r="AJ319" s="16"/>
      <c r="AK319" s="16"/>
      <c r="AL319" s="16"/>
      <c r="AM319" s="16"/>
      <c r="AN319" s="335">
        <f t="shared" ca="1" si="310"/>
        <v>5376317.7631999999</v>
      </c>
      <c r="AO319" s="20">
        <f t="shared" ca="1" si="311"/>
        <v>0</v>
      </c>
      <c r="AP319" s="20">
        <f t="shared" ca="1" si="312"/>
        <v>5376317.7631999999</v>
      </c>
      <c r="AQ319" s="20">
        <f t="shared" ca="1" si="313"/>
        <v>5376317.7631999999</v>
      </c>
      <c r="AR319" s="20">
        <f t="shared" ca="1" si="314"/>
        <v>5376300</v>
      </c>
      <c r="AS319" s="216"/>
      <c r="AT319" s="27" t="s">
        <v>9</v>
      </c>
      <c r="AU319" s="30" t="str">
        <f>VLOOKUP(AT319,TER!$R$2:$S$10,2,0)</f>
        <v>A</v>
      </c>
      <c r="AV319" s="20">
        <f t="shared" si="315"/>
        <v>3715818</v>
      </c>
      <c r="AW319" s="20">
        <f t="shared" ca="1" si="316"/>
        <v>1280000</v>
      </c>
      <c r="AX319" s="20">
        <f t="shared" ref="AX319:AY319" ca="1" si="360">W319</f>
        <v>0</v>
      </c>
      <c r="AY319" s="20">
        <f t="shared" si="360"/>
        <v>0</v>
      </c>
      <c r="AZ319" s="20">
        <f t="shared" si="318"/>
        <v>8917.9631999999983</v>
      </c>
      <c r="BA319" s="20">
        <f t="shared" si="319"/>
        <v>11147.454</v>
      </c>
      <c r="BB319" s="20">
        <f t="shared" si="320"/>
        <v>148632.72</v>
      </c>
      <c r="BC319" s="20">
        <f t="shared" ca="1" si="321"/>
        <v>5164516.1371999998</v>
      </c>
      <c r="BD319" s="37">
        <f ca="1">IF(AU319="C",VLOOKUP(BC319,TER!$J$4:$L$50,3,TRUE),IF(AU319="B",VLOOKUP(BC319,TER!$F$4:$H$50,3,TRUE),IF(AU319="A",VLOOKUP(BC319,TER!$B$4:$D$50,3,TRUE),"ERROR")))</f>
        <v>0</v>
      </c>
      <c r="BE319" s="20">
        <f t="shared" ca="1" si="322"/>
        <v>0</v>
      </c>
      <c r="BF319" s="216"/>
      <c r="BG319" s="216"/>
    </row>
    <row r="320" spans="1:59" ht="15.75" hidden="1" customHeight="1">
      <c r="A320" s="216"/>
      <c r="B320" s="27">
        <v>36</v>
      </c>
      <c r="C320" s="28" t="s">
        <v>192</v>
      </c>
      <c r="D320" s="29" t="s">
        <v>193</v>
      </c>
      <c r="E320" s="27" t="s">
        <v>57</v>
      </c>
      <c r="F320" s="28" t="s">
        <v>194</v>
      </c>
      <c r="G320" s="27" t="s">
        <v>31</v>
      </c>
      <c r="H320" s="332" t="s">
        <v>32</v>
      </c>
      <c r="I320" s="16">
        <f t="shared" si="302"/>
        <v>3715818</v>
      </c>
      <c r="J320" s="16">
        <v>231867.04320000001</v>
      </c>
      <c r="K320" s="16">
        <v>148632.72</v>
      </c>
      <c r="L320" s="333">
        <v>200000</v>
      </c>
      <c r="M320" s="333">
        <f t="shared" si="359"/>
        <v>60000</v>
      </c>
      <c r="N320" s="21">
        <f ca="1">IFERROR(__xludf.DUMMYFUNCTION("VLOOKUP(C320,IMPORTRANGE(""https://docs.google.com/spreadsheets/d/1_8zosgvsKLSoAfUB7h2fjXw03wrKRz4qTHSb38JFhpE/edit?gid=2056509001#gid=2056509001"",""DATA_ABSEN_DES24""),39,0)"),21)</f>
        <v>21</v>
      </c>
      <c r="O320" s="334">
        <f ca="1">IFERROR(__xludf.DUMMYFUNCTION("VLOOKUP(C320,IMPORTRANGE(""https://docs.google.com/spreadsheets/d/1_8zosgvsKLSoAfUB7h2fjXw03wrKRz4qTHSb38JFhpE/edit?gid=2056509001#gid=2056509001"",""DATA_ABSEN_DES24""),40,0)"),31)</f>
        <v>31</v>
      </c>
      <c r="P320" s="16">
        <f t="shared" ca="1" si="304"/>
        <v>1460000</v>
      </c>
      <c r="Q320" s="16">
        <v>21</v>
      </c>
      <c r="R320" s="16">
        <f t="shared" si="305"/>
        <v>5556317.7631999999</v>
      </c>
      <c r="S320" s="16">
        <f t="shared" ca="1" si="306"/>
        <v>5556317.7631999999</v>
      </c>
      <c r="T320" s="16">
        <f t="shared" ca="1" si="307"/>
        <v>0</v>
      </c>
      <c r="U320" s="16">
        <v>120000</v>
      </c>
      <c r="V320" s="8">
        <f ca="1">IFERROR(__xludf.DUMMYFUNCTION("VLOOKUP(C320,IMPORTRANGE(""https://docs.google.com/spreadsheets/d/1_8zosgvsKLSoAfUB7h2fjXw03wrKRz4qTHSb38JFhpE/edit?gid=2056509001#gid=2056509001"",""DATA_ABSEN_DES24""),42,0)"),0)</f>
        <v>0</v>
      </c>
      <c r="W320" s="16">
        <f t="shared" ca="1" si="308"/>
        <v>0</v>
      </c>
      <c r="X320" s="16">
        <v>0</v>
      </c>
      <c r="Y320" s="16">
        <f t="shared" ca="1" si="309"/>
        <v>5556317.7631999999</v>
      </c>
      <c r="Z320" s="21"/>
      <c r="AA320" s="21"/>
      <c r="AB320" s="21"/>
      <c r="AC320" s="21"/>
      <c r="AD320" s="21"/>
      <c r="AE320" s="16"/>
      <c r="AF320" s="16"/>
      <c r="AG320" s="16"/>
      <c r="AH320" s="16"/>
      <c r="AI320" s="16"/>
      <c r="AJ320" s="16"/>
      <c r="AK320" s="16"/>
      <c r="AL320" s="16"/>
      <c r="AM320" s="16"/>
      <c r="AN320" s="335">
        <f t="shared" ca="1" si="310"/>
        <v>5556317.7631999999</v>
      </c>
      <c r="AO320" s="20">
        <f t="shared" ca="1" si="311"/>
        <v>0</v>
      </c>
      <c r="AP320" s="20">
        <f t="shared" ca="1" si="312"/>
        <v>5556317.7631999999</v>
      </c>
      <c r="AQ320" s="20">
        <f t="shared" ca="1" si="313"/>
        <v>5556317.7631999999</v>
      </c>
      <c r="AR320" s="20">
        <f t="shared" ca="1" si="314"/>
        <v>5556300</v>
      </c>
      <c r="AS320" s="216"/>
      <c r="AT320" s="27" t="s">
        <v>17</v>
      </c>
      <c r="AU320" s="30" t="str">
        <f>VLOOKUP(AT320,TER!$R$2:$S$10,2,0)</f>
        <v>B</v>
      </c>
      <c r="AV320" s="20">
        <f t="shared" si="315"/>
        <v>3715818</v>
      </c>
      <c r="AW320" s="20">
        <f t="shared" ca="1" si="316"/>
        <v>1460000</v>
      </c>
      <c r="AX320" s="20">
        <f t="shared" ref="AX320:AY320" ca="1" si="361">W320</f>
        <v>0</v>
      </c>
      <c r="AY320" s="20">
        <f t="shared" si="361"/>
        <v>0</v>
      </c>
      <c r="AZ320" s="20">
        <f t="shared" si="318"/>
        <v>8917.9631999999983</v>
      </c>
      <c r="BA320" s="20">
        <f t="shared" si="319"/>
        <v>11147.454</v>
      </c>
      <c r="BB320" s="20">
        <f t="shared" si="320"/>
        <v>148632.72</v>
      </c>
      <c r="BC320" s="20">
        <f t="shared" ca="1" si="321"/>
        <v>5344516.1371999998</v>
      </c>
      <c r="BD320" s="37">
        <f ca="1">IF(AU320="C",VLOOKUP(BC320,TER!$J$4:$L$50,3,TRUE),IF(AU320="B",VLOOKUP(BC320,TER!$F$4:$H$50,3,TRUE),IF(AU320="A",VLOOKUP(BC320,TER!$B$4:$D$50,3,TRUE),"ERROR")))</f>
        <v>0</v>
      </c>
      <c r="BE320" s="20">
        <f t="shared" ca="1" si="322"/>
        <v>0</v>
      </c>
      <c r="BF320" s="216"/>
      <c r="BG320" s="216"/>
    </row>
    <row r="321" spans="1:59" ht="15.75" hidden="1" customHeight="1">
      <c r="A321" s="216"/>
      <c r="B321" s="27">
        <v>37</v>
      </c>
      <c r="C321" s="28" t="s">
        <v>195</v>
      </c>
      <c r="D321" s="29" t="s">
        <v>196</v>
      </c>
      <c r="E321" s="27" t="s">
        <v>57</v>
      </c>
      <c r="F321" s="28" t="s">
        <v>197</v>
      </c>
      <c r="G321" s="27" t="s">
        <v>31</v>
      </c>
      <c r="H321" s="332" t="s">
        <v>32</v>
      </c>
      <c r="I321" s="16">
        <f t="shared" si="302"/>
        <v>3715818</v>
      </c>
      <c r="J321" s="16">
        <v>231867.04320000001</v>
      </c>
      <c r="K321" s="16">
        <v>148632.72</v>
      </c>
      <c r="L321" s="333">
        <v>200000</v>
      </c>
      <c r="M321" s="333">
        <f t="shared" si="359"/>
        <v>60000</v>
      </c>
      <c r="N321" s="21">
        <f ca="1">IFERROR(__xludf.DUMMYFUNCTION("VLOOKUP(C321,IMPORTRANGE(""https://docs.google.com/spreadsheets/d/1_8zosgvsKLSoAfUB7h2fjXw03wrKRz4qTHSb38JFhpE/edit?gid=2056509001#gid=2056509001"",""DATA_ABSEN_DES24""),39,0)"),21)</f>
        <v>21</v>
      </c>
      <c r="O321" s="334">
        <f ca="1">IFERROR(__xludf.DUMMYFUNCTION("VLOOKUP(C321,IMPORTRANGE(""https://docs.google.com/spreadsheets/d/1_8zosgvsKLSoAfUB7h2fjXw03wrKRz4qTHSb38JFhpE/edit?gid=2056509001#gid=2056509001"",""DATA_ABSEN_DES24""),40,0)"),31)</f>
        <v>31</v>
      </c>
      <c r="P321" s="16">
        <f t="shared" ca="1" si="304"/>
        <v>1460000</v>
      </c>
      <c r="Q321" s="16">
        <v>21</v>
      </c>
      <c r="R321" s="16">
        <f t="shared" si="305"/>
        <v>5556317.7631999999</v>
      </c>
      <c r="S321" s="16">
        <f t="shared" ca="1" si="306"/>
        <v>5556317.7631999999</v>
      </c>
      <c r="T321" s="16">
        <f t="shared" ca="1" si="307"/>
        <v>0</v>
      </c>
      <c r="U321" s="16">
        <v>120000</v>
      </c>
      <c r="V321" s="8">
        <f ca="1">IFERROR(__xludf.DUMMYFUNCTION("VLOOKUP(C321,IMPORTRANGE(""https://docs.google.com/spreadsheets/d/1_8zosgvsKLSoAfUB7h2fjXw03wrKRz4qTHSb38JFhpE/edit?gid=2056509001#gid=2056509001"",""DATA_ABSEN_DES24""),42,0)"),0)</f>
        <v>0</v>
      </c>
      <c r="W321" s="16">
        <f t="shared" ca="1" si="308"/>
        <v>0</v>
      </c>
      <c r="X321" s="16">
        <v>0</v>
      </c>
      <c r="Y321" s="16">
        <f t="shared" ca="1" si="309"/>
        <v>5556317.7631999999</v>
      </c>
      <c r="Z321" s="21"/>
      <c r="AA321" s="21"/>
      <c r="AB321" s="21"/>
      <c r="AC321" s="21"/>
      <c r="AD321" s="21"/>
      <c r="AE321" s="16"/>
      <c r="AF321" s="16"/>
      <c r="AG321" s="16"/>
      <c r="AH321" s="16"/>
      <c r="AI321" s="16"/>
      <c r="AJ321" s="16"/>
      <c r="AK321" s="16"/>
      <c r="AL321" s="16"/>
      <c r="AM321" s="16"/>
      <c r="AN321" s="335">
        <f t="shared" ca="1" si="310"/>
        <v>5556317.7631999999</v>
      </c>
      <c r="AO321" s="20">
        <f t="shared" ca="1" si="311"/>
        <v>0</v>
      </c>
      <c r="AP321" s="20">
        <f t="shared" ca="1" si="312"/>
        <v>5556317.7631999999</v>
      </c>
      <c r="AQ321" s="20">
        <f t="shared" ca="1" si="313"/>
        <v>5556317.7631999999</v>
      </c>
      <c r="AR321" s="20">
        <f t="shared" ca="1" si="314"/>
        <v>5556300</v>
      </c>
      <c r="AS321" s="216"/>
      <c r="AT321" s="27" t="s">
        <v>9</v>
      </c>
      <c r="AU321" s="30" t="str">
        <f>VLOOKUP(AT321,TER!$R$2:$S$10,2,0)</f>
        <v>A</v>
      </c>
      <c r="AV321" s="20">
        <f t="shared" si="315"/>
        <v>3715818</v>
      </c>
      <c r="AW321" s="20">
        <f t="shared" ca="1" si="316"/>
        <v>1460000</v>
      </c>
      <c r="AX321" s="20">
        <f t="shared" ref="AX321:AY321" ca="1" si="362">W321</f>
        <v>0</v>
      </c>
      <c r="AY321" s="20">
        <f t="shared" si="362"/>
        <v>0</v>
      </c>
      <c r="AZ321" s="20">
        <f t="shared" si="318"/>
        <v>8917.9631999999983</v>
      </c>
      <c r="BA321" s="20">
        <f t="shared" si="319"/>
        <v>11147.454</v>
      </c>
      <c r="BB321" s="20">
        <f t="shared" si="320"/>
        <v>148632.72</v>
      </c>
      <c r="BC321" s="20">
        <f t="shared" ca="1" si="321"/>
        <v>5344516.1371999998</v>
      </c>
      <c r="BD321" s="37">
        <f ca="1">IF(AU321="C",VLOOKUP(BC321,TER!$J$4:$L$50,3,TRUE),IF(AU321="B",VLOOKUP(BC321,TER!$F$4:$H$50,3,TRUE),IF(AU321="A",VLOOKUP(BC321,TER!$B$4:$D$50,3,TRUE),"ERROR")))</f>
        <v>0</v>
      </c>
      <c r="BE321" s="20">
        <f t="shared" ca="1" si="322"/>
        <v>0</v>
      </c>
      <c r="BF321" s="216"/>
      <c r="BG321" s="216"/>
    </row>
    <row r="322" spans="1:59" ht="15.75" hidden="1" customHeight="1">
      <c r="A322" s="216"/>
      <c r="B322" s="27">
        <v>38</v>
      </c>
      <c r="C322" s="35" t="s">
        <v>198</v>
      </c>
      <c r="D322" s="33" t="s">
        <v>199</v>
      </c>
      <c r="E322" s="27" t="s">
        <v>57</v>
      </c>
      <c r="F322" s="28" t="s">
        <v>200</v>
      </c>
      <c r="G322" s="27" t="s">
        <v>31</v>
      </c>
      <c r="H322" s="332" t="s">
        <v>32</v>
      </c>
      <c r="I322" s="16">
        <f t="shared" si="302"/>
        <v>3715818</v>
      </c>
      <c r="J322" s="16">
        <v>231867.04320000001</v>
      </c>
      <c r="K322" s="16">
        <v>148632.72</v>
      </c>
      <c r="L322" s="333">
        <v>200000</v>
      </c>
      <c r="M322" s="333">
        <f t="shared" si="359"/>
        <v>60000</v>
      </c>
      <c r="N322" s="21">
        <f ca="1">IFERROR(__xludf.DUMMYFUNCTION("VLOOKUP(C322,IMPORTRANGE(""https://docs.google.com/spreadsheets/d/1_8zosgvsKLSoAfUB7h2fjXw03wrKRz4qTHSb38JFhpE/edit?gid=2056509001#gid=2056509001"",""DATA_ABSEN_DES24""),39,0)"),21)</f>
        <v>21</v>
      </c>
      <c r="O322" s="334">
        <f ca="1">IFERROR(__xludf.DUMMYFUNCTION("VLOOKUP(C322,IMPORTRANGE(""https://docs.google.com/spreadsheets/d/1_8zosgvsKLSoAfUB7h2fjXw03wrKRz4qTHSb38JFhpE/edit?gid=2056509001#gid=2056509001"",""DATA_ABSEN_DES24""),40,0)"),31)</f>
        <v>31</v>
      </c>
      <c r="P322" s="16">
        <f t="shared" ca="1" si="304"/>
        <v>1460000</v>
      </c>
      <c r="Q322" s="16">
        <v>21</v>
      </c>
      <c r="R322" s="16">
        <f t="shared" si="305"/>
        <v>5556317.7631999999</v>
      </c>
      <c r="S322" s="16">
        <f t="shared" ca="1" si="306"/>
        <v>5556317.7631999999</v>
      </c>
      <c r="T322" s="16">
        <f t="shared" ca="1" si="307"/>
        <v>0</v>
      </c>
      <c r="U322" s="16">
        <v>120000</v>
      </c>
      <c r="V322" s="8">
        <f ca="1">IFERROR(__xludf.DUMMYFUNCTION("VLOOKUP(C322,IMPORTRANGE(""https://docs.google.com/spreadsheets/d/1_8zosgvsKLSoAfUB7h2fjXw03wrKRz4qTHSb38JFhpE/edit?gid=2056509001#gid=2056509001"",""DATA_ABSEN_DES24""),42,0)"),0)</f>
        <v>0</v>
      </c>
      <c r="W322" s="16">
        <f t="shared" ca="1" si="308"/>
        <v>0</v>
      </c>
      <c r="X322" s="16">
        <v>0</v>
      </c>
      <c r="Y322" s="16">
        <f t="shared" ca="1" si="309"/>
        <v>5556317.7631999999</v>
      </c>
      <c r="Z322" s="21"/>
      <c r="AA322" s="21"/>
      <c r="AB322" s="21"/>
      <c r="AC322" s="21"/>
      <c r="AD322" s="21"/>
      <c r="AE322" s="16"/>
      <c r="AF322" s="16"/>
      <c r="AG322" s="16"/>
      <c r="AH322" s="16"/>
      <c r="AI322" s="16"/>
      <c r="AJ322" s="16"/>
      <c r="AK322" s="16"/>
      <c r="AL322" s="16"/>
      <c r="AM322" s="16"/>
      <c r="AN322" s="335">
        <f t="shared" ca="1" si="310"/>
        <v>5556317.7631999999</v>
      </c>
      <c r="AO322" s="20">
        <f t="shared" ca="1" si="311"/>
        <v>0</v>
      </c>
      <c r="AP322" s="20">
        <f t="shared" ca="1" si="312"/>
        <v>5556317.7631999999</v>
      </c>
      <c r="AQ322" s="20">
        <f t="shared" ca="1" si="313"/>
        <v>5556317.7631999999</v>
      </c>
      <c r="AR322" s="20">
        <f t="shared" ca="1" si="314"/>
        <v>5556300</v>
      </c>
      <c r="AS322" s="216"/>
      <c r="AT322" s="27" t="s">
        <v>13</v>
      </c>
      <c r="AU322" s="30" t="str">
        <f>VLOOKUP(AT322,TER!$R$2:$S$10,2,0)</f>
        <v>A</v>
      </c>
      <c r="AV322" s="20">
        <f t="shared" si="315"/>
        <v>3715818</v>
      </c>
      <c r="AW322" s="20">
        <f t="shared" ca="1" si="316"/>
        <v>1460000</v>
      </c>
      <c r="AX322" s="20">
        <f t="shared" ref="AX322:AY322" ca="1" si="363">W322</f>
        <v>0</v>
      </c>
      <c r="AY322" s="20">
        <f t="shared" si="363"/>
        <v>0</v>
      </c>
      <c r="AZ322" s="20">
        <f t="shared" si="318"/>
        <v>8917.9631999999983</v>
      </c>
      <c r="BA322" s="20">
        <f t="shared" si="319"/>
        <v>11147.454</v>
      </c>
      <c r="BB322" s="20">
        <f t="shared" si="320"/>
        <v>148632.72</v>
      </c>
      <c r="BC322" s="20">
        <f t="shared" ca="1" si="321"/>
        <v>5344516.1371999998</v>
      </c>
      <c r="BD322" s="37">
        <f ca="1">IF(AU322="C",VLOOKUP(BC322,TER!$J$4:$L$50,3,TRUE),IF(AU322="B",VLOOKUP(BC322,TER!$F$4:$H$50,3,TRUE),IF(AU322="A",VLOOKUP(BC322,TER!$B$4:$D$50,3,TRUE),"ERROR")))</f>
        <v>0</v>
      </c>
      <c r="BE322" s="20">
        <f t="shared" ca="1" si="322"/>
        <v>0</v>
      </c>
      <c r="BF322" s="216"/>
      <c r="BG322" s="216"/>
    </row>
    <row r="323" spans="1:59" ht="15.75" hidden="1" customHeight="1">
      <c r="A323" s="216"/>
      <c r="B323" s="27">
        <v>39</v>
      </c>
      <c r="C323" s="28" t="s">
        <v>201</v>
      </c>
      <c r="D323" s="29" t="s">
        <v>202</v>
      </c>
      <c r="E323" s="27" t="s">
        <v>57</v>
      </c>
      <c r="F323" s="28" t="s">
        <v>203</v>
      </c>
      <c r="G323" s="27" t="s">
        <v>31</v>
      </c>
      <c r="H323" s="332" t="s">
        <v>32</v>
      </c>
      <c r="I323" s="16">
        <f t="shared" si="302"/>
        <v>3715818</v>
      </c>
      <c r="J323" s="16">
        <v>231867.04320000001</v>
      </c>
      <c r="K323" s="16">
        <v>148632.72</v>
      </c>
      <c r="L323" s="333">
        <v>200000</v>
      </c>
      <c r="M323" s="333">
        <f t="shared" si="359"/>
        <v>60000</v>
      </c>
      <c r="N323" s="21">
        <f ca="1">IFERROR(__xludf.DUMMYFUNCTION("VLOOKUP(C323,IMPORTRANGE(""https://docs.google.com/spreadsheets/d/1_8zosgvsKLSoAfUB7h2fjXw03wrKRz4qTHSb38JFhpE/edit?gid=2056509001#gid=2056509001"",""DATA_ABSEN_DES24""),39,0)"),21)</f>
        <v>21</v>
      </c>
      <c r="O323" s="334">
        <f ca="1">IFERROR(__xludf.DUMMYFUNCTION("VLOOKUP(C323,IMPORTRANGE(""https://docs.google.com/spreadsheets/d/1_8zosgvsKLSoAfUB7h2fjXw03wrKRz4qTHSb38JFhpE/edit?gid=2056509001#gid=2056509001"",""DATA_ABSEN_DES24""),40,0)"),31)</f>
        <v>31</v>
      </c>
      <c r="P323" s="16">
        <f t="shared" ca="1" si="304"/>
        <v>1460000</v>
      </c>
      <c r="Q323" s="16">
        <v>21</v>
      </c>
      <c r="R323" s="16">
        <f t="shared" si="305"/>
        <v>5556317.7631999999</v>
      </c>
      <c r="S323" s="16">
        <f t="shared" ca="1" si="306"/>
        <v>5556317.7631999999</v>
      </c>
      <c r="T323" s="16">
        <f t="shared" ca="1" si="307"/>
        <v>0</v>
      </c>
      <c r="U323" s="16">
        <v>120000</v>
      </c>
      <c r="V323" s="8">
        <f ca="1">IFERROR(__xludf.DUMMYFUNCTION("VLOOKUP(C323,IMPORTRANGE(""https://docs.google.com/spreadsheets/d/1_8zosgvsKLSoAfUB7h2fjXw03wrKRz4qTHSb38JFhpE/edit?gid=2056509001#gid=2056509001"",""DATA_ABSEN_DES24""),42,0)"),0)</f>
        <v>0</v>
      </c>
      <c r="W323" s="16">
        <f t="shared" ca="1" si="308"/>
        <v>0</v>
      </c>
      <c r="X323" s="16">
        <v>0</v>
      </c>
      <c r="Y323" s="16">
        <f t="shared" ca="1" si="309"/>
        <v>5556317.7631999999</v>
      </c>
      <c r="Z323" s="21"/>
      <c r="AA323" s="21"/>
      <c r="AB323" s="21"/>
      <c r="AC323" s="21"/>
      <c r="AD323" s="21"/>
      <c r="AE323" s="16"/>
      <c r="AF323" s="16"/>
      <c r="AG323" s="16"/>
      <c r="AH323" s="16"/>
      <c r="AI323" s="16"/>
      <c r="AJ323" s="16"/>
      <c r="AK323" s="16"/>
      <c r="AL323" s="16"/>
      <c r="AM323" s="16"/>
      <c r="AN323" s="335">
        <f t="shared" ca="1" si="310"/>
        <v>5556317.7631999999</v>
      </c>
      <c r="AO323" s="20">
        <f t="shared" ca="1" si="311"/>
        <v>0</v>
      </c>
      <c r="AP323" s="20">
        <f t="shared" ca="1" si="312"/>
        <v>5556317.7631999999</v>
      </c>
      <c r="AQ323" s="20">
        <f t="shared" ca="1" si="313"/>
        <v>5556317.7631999999</v>
      </c>
      <c r="AR323" s="20">
        <f t="shared" ca="1" si="314"/>
        <v>5556300</v>
      </c>
      <c r="AS323" s="216"/>
      <c r="AT323" s="27" t="s">
        <v>17</v>
      </c>
      <c r="AU323" s="30" t="str">
        <f>VLOOKUP(AT323,TER!$R$2:$S$10,2,0)</f>
        <v>B</v>
      </c>
      <c r="AV323" s="20">
        <f t="shared" si="315"/>
        <v>3715818</v>
      </c>
      <c r="AW323" s="20">
        <f t="shared" ca="1" si="316"/>
        <v>1460000</v>
      </c>
      <c r="AX323" s="20">
        <f t="shared" ref="AX323:AY323" ca="1" si="364">W323</f>
        <v>0</v>
      </c>
      <c r="AY323" s="20">
        <f t="shared" si="364"/>
        <v>0</v>
      </c>
      <c r="AZ323" s="20">
        <f t="shared" si="318"/>
        <v>8917.9631999999983</v>
      </c>
      <c r="BA323" s="20">
        <f t="shared" si="319"/>
        <v>11147.454</v>
      </c>
      <c r="BB323" s="20">
        <f t="shared" si="320"/>
        <v>148632.72</v>
      </c>
      <c r="BC323" s="20">
        <f t="shared" ca="1" si="321"/>
        <v>5344516.1371999998</v>
      </c>
      <c r="BD323" s="37">
        <f ca="1">IF(AU323="C",VLOOKUP(BC323,TER!$J$4:$L$50,3,TRUE),IF(AU323="B",VLOOKUP(BC323,TER!$F$4:$H$50,3,TRUE),IF(AU323="A",VLOOKUP(BC323,TER!$B$4:$D$50,3,TRUE),"ERROR")))</f>
        <v>0</v>
      </c>
      <c r="BE323" s="20">
        <f t="shared" ca="1" si="322"/>
        <v>0</v>
      </c>
      <c r="BF323" s="216"/>
      <c r="BG323" s="216"/>
    </row>
    <row r="324" spans="1:59" ht="15.75" hidden="1" customHeight="1">
      <c r="A324" s="216"/>
      <c r="B324" s="27">
        <v>40</v>
      </c>
      <c r="C324" s="28" t="s">
        <v>204</v>
      </c>
      <c r="D324" s="29" t="s">
        <v>205</v>
      </c>
      <c r="E324" s="27" t="s">
        <v>57</v>
      </c>
      <c r="F324" s="28" t="s">
        <v>206</v>
      </c>
      <c r="G324" s="27" t="s">
        <v>31</v>
      </c>
      <c r="H324" s="332" t="s">
        <v>32</v>
      </c>
      <c r="I324" s="16">
        <f t="shared" si="302"/>
        <v>3715818</v>
      </c>
      <c r="J324" s="16">
        <v>231867.04320000001</v>
      </c>
      <c r="K324" s="16">
        <v>148632.72</v>
      </c>
      <c r="L324" s="333">
        <v>200000</v>
      </c>
      <c r="M324" s="333">
        <f t="shared" si="359"/>
        <v>60000</v>
      </c>
      <c r="N324" s="21">
        <f ca="1">IFERROR(__xludf.DUMMYFUNCTION("VLOOKUP(C324,IMPORTRANGE(""https://docs.google.com/spreadsheets/d/1_8zosgvsKLSoAfUB7h2fjXw03wrKRz4qTHSb38JFhpE/edit?gid=2056509001#gid=2056509001"",""DATA_ABSEN_DES24""),39,0)"),21)</f>
        <v>21</v>
      </c>
      <c r="O324" s="334">
        <f ca="1">IFERROR(__xludf.DUMMYFUNCTION("VLOOKUP(C324,IMPORTRANGE(""https://docs.google.com/spreadsheets/d/1_8zosgvsKLSoAfUB7h2fjXw03wrKRz4qTHSb38JFhpE/edit?gid=2056509001#gid=2056509001"",""DATA_ABSEN_DES24""),40,0)"),31)</f>
        <v>31</v>
      </c>
      <c r="P324" s="16">
        <f t="shared" ca="1" si="304"/>
        <v>1460000</v>
      </c>
      <c r="Q324" s="16">
        <v>21</v>
      </c>
      <c r="R324" s="16">
        <f t="shared" si="305"/>
        <v>5556317.7631999999</v>
      </c>
      <c r="S324" s="16">
        <f t="shared" ca="1" si="306"/>
        <v>5556317.7631999999</v>
      </c>
      <c r="T324" s="16">
        <f t="shared" ca="1" si="307"/>
        <v>0</v>
      </c>
      <c r="U324" s="16">
        <v>120000</v>
      </c>
      <c r="V324" s="8">
        <f ca="1">IFERROR(__xludf.DUMMYFUNCTION("VLOOKUP(C324,IMPORTRANGE(""https://docs.google.com/spreadsheets/d/1_8zosgvsKLSoAfUB7h2fjXw03wrKRz4qTHSb38JFhpE/edit?gid=2056509001#gid=2056509001"",""DATA_ABSEN_DES24""),42,0)"),0)</f>
        <v>0</v>
      </c>
      <c r="W324" s="16">
        <f t="shared" ca="1" si="308"/>
        <v>0</v>
      </c>
      <c r="X324" s="16">
        <v>0</v>
      </c>
      <c r="Y324" s="16">
        <f t="shared" ca="1" si="309"/>
        <v>5556317.7631999999</v>
      </c>
      <c r="Z324" s="21"/>
      <c r="AA324" s="21"/>
      <c r="AB324" s="21"/>
      <c r="AC324" s="21"/>
      <c r="AD324" s="21"/>
      <c r="AE324" s="16"/>
      <c r="AF324" s="16"/>
      <c r="AG324" s="16"/>
      <c r="AH324" s="16"/>
      <c r="AI324" s="16"/>
      <c r="AJ324" s="16"/>
      <c r="AK324" s="16"/>
      <c r="AL324" s="16"/>
      <c r="AM324" s="16"/>
      <c r="AN324" s="335">
        <f t="shared" ca="1" si="310"/>
        <v>5556317.7631999999</v>
      </c>
      <c r="AO324" s="20">
        <f t="shared" ca="1" si="311"/>
        <v>0</v>
      </c>
      <c r="AP324" s="20">
        <f t="shared" ca="1" si="312"/>
        <v>5556317.7631999999</v>
      </c>
      <c r="AQ324" s="20">
        <f t="shared" ca="1" si="313"/>
        <v>5556317.7631999999</v>
      </c>
      <c r="AR324" s="20">
        <f t="shared" ca="1" si="314"/>
        <v>5556300</v>
      </c>
      <c r="AS324" s="216"/>
      <c r="AT324" s="27" t="s">
        <v>13</v>
      </c>
      <c r="AU324" s="30" t="str">
        <f>VLOOKUP(AT324,TER!$R$2:$S$10,2,0)</f>
        <v>A</v>
      </c>
      <c r="AV324" s="20">
        <f t="shared" si="315"/>
        <v>3715818</v>
      </c>
      <c r="AW324" s="20">
        <f t="shared" ca="1" si="316"/>
        <v>1460000</v>
      </c>
      <c r="AX324" s="20">
        <f t="shared" ref="AX324:AY324" ca="1" si="365">W324</f>
        <v>0</v>
      </c>
      <c r="AY324" s="20">
        <f t="shared" si="365"/>
        <v>0</v>
      </c>
      <c r="AZ324" s="20">
        <f t="shared" si="318"/>
        <v>8917.9631999999983</v>
      </c>
      <c r="BA324" s="20">
        <f t="shared" si="319"/>
        <v>11147.454</v>
      </c>
      <c r="BB324" s="20">
        <f t="shared" si="320"/>
        <v>148632.72</v>
      </c>
      <c r="BC324" s="20">
        <f t="shared" ca="1" si="321"/>
        <v>5344516.1371999998</v>
      </c>
      <c r="BD324" s="37">
        <f ca="1">IF(AU324="C",VLOOKUP(BC324,TER!$J$4:$L$50,3,TRUE),IF(AU324="B",VLOOKUP(BC324,TER!$F$4:$H$50,3,TRUE),IF(AU324="A",VLOOKUP(BC324,TER!$B$4:$D$50,3,TRUE),"ERROR")))</f>
        <v>0</v>
      </c>
      <c r="BE324" s="20">
        <f t="shared" ca="1" si="322"/>
        <v>0</v>
      </c>
      <c r="BF324" s="216"/>
      <c r="BG324" s="216"/>
    </row>
    <row r="325" spans="1:59" ht="15.75" hidden="1" customHeight="1">
      <c r="A325" s="216"/>
      <c r="B325" s="27">
        <v>41</v>
      </c>
      <c r="C325" s="28" t="s">
        <v>207</v>
      </c>
      <c r="D325" s="29" t="s">
        <v>208</v>
      </c>
      <c r="E325" s="27" t="s">
        <v>57</v>
      </c>
      <c r="F325" s="28" t="s">
        <v>209</v>
      </c>
      <c r="G325" s="27" t="s">
        <v>31</v>
      </c>
      <c r="H325" s="332" t="s">
        <v>32</v>
      </c>
      <c r="I325" s="16">
        <f t="shared" si="302"/>
        <v>3715818</v>
      </c>
      <c r="J325" s="16">
        <v>231867.04320000001</v>
      </c>
      <c r="K325" s="16">
        <v>148632.72</v>
      </c>
      <c r="L325" s="333">
        <v>200000</v>
      </c>
      <c r="M325" s="333">
        <f t="shared" si="359"/>
        <v>60000</v>
      </c>
      <c r="N325" s="21">
        <f ca="1">IFERROR(__xludf.DUMMYFUNCTION("VLOOKUP(C325,IMPORTRANGE(""https://docs.google.com/spreadsheets/d/1_8zosgvsKLSoAfUB7h2fjXw03wrKRz4qTHSb38JFhpE/edit?gid=2056509001#gid=2056509001"",""DATA_ABSEN_DES24""),39,0)"),20)</f>
        <v>20</v>
      </c>
      <c r="O325" s="334">
        <f ca="1">IFERROR(__xludf.DUMMYFUNCTION("VLOOKUP(C325,IMPORTRANGE(""https://docs.google.com/spreadsheets/d/1_8zosgvsKLSoAfUB7h2fjXw03wrKRz4qTHSb38JFhpE/edit?gid=2056509001#gid=2056509001"",""DATA_ABSEN_DES24""),40,0)"),31)</f>
        <v>31</v>
      </c>
      <c r="P325" s="16">
        <f t="shared" ca="1" si="304"/>
        <v>1400000</v>
      </c>
      <c r="Q325" s="16">
        <v>21</v>
      </c>
      <c r="R325" s="16">
        <f t="shared" si="305"/>
        <v>5556317.7631999999</v>
      </c>
      <c r="S325" s="16">
        <f t="shared" ca="1" si="306"/>
        <v>5496317.7631999999</v>
      </c>
      <c r="T325" s="16">
        <f t="shared" ca="1" si="307"/>
        <v>0</v>
      </c>
      <c r="U325" s="16">
        <v>120000</v>
      </c>
      <c r="V325" s="8">
        <f ca="1">IFERROR(__xludf.DUMMYFUNCTION("VLOOKUP(C325,IMPORTRANGE(""https://docs.google.com/spreadsheets/d/1_8zosgvsKLSoAfUB7h2fjXw03wrKRz4qTHSb38JFhpE/edit?gid=2056509001#gid=2056509001"",""DATA_ABSEN_DES24""),42,0)"),0)</f>
        <v>0</v>
      </c>
      <c r="W325" s="16">
        <f t="shared" ca="1" si="308"/>
        <v>0</v>
      </c>
      <c r="X325" s="16">
        <v>0</v>
      </c>
      <c r="Y325" s="16">
        <f t="shared" ca="1" si="309"/>
        <v>5496317.7631999999</v>
      </c>
      <c r="Z325" s="21"/>
      <c r="AA325" s="21"/>
      <c r="AB325" s="21"/>
      <c r="AC325" s="21"/>
      <c r="AD325" s="21"/>
      <c r="AE325" s="16"/>
      <c r="AF325" s="16"/>
      <c r="AG325" s="16"/>
      <c r="AH325" s="16"/>
      <c r="AI325" s="16"/>
      <c r="AJ325" s="16"/>
      <c r="AK325" s="16"/>
      <c r="AL325" s="16"/>
      <c r="AM325" s="16"/>
      <c r="AN325" s="335">
        <f t="shared" ca="1" si="310"/>
        <v>5496317.7631999999</v>
      </c>
      <c r="AO325" s="20">
        <f t="shared" ca="1" si="311"/>
        <v>0</v>
      </c>
      <c r="AP325" s="20">
        <f t="shared" ca="1" si="312"/>
        <v>5496317.7631999999</v>
      </c>
      <c r="AQ325" s="20">
        <f t="shared" ca="1" si="313"/>
        <v>5496317.7631999999</v>
      </c>
      <c r="AR325" s="20">
        <f t="shared" ca="1" si="314"/>
        <v>5496300</v>
      </c>
      <c r="AS325" s="216"/>
      <c r="AT325" s="27" t="s">
        <v>9</v>
      </c>
      <c r="AU325" s="30" t="str">
        <f>VLOOKUP(AT325,TER!$R$2:$S$10,2,0)</f>
        <v>A</v>
      </c>
      <c r="AV325" s="20">
        <f t="shared" si="315"/>
        <v>3715818</v>
      </c>
      <c r="AW325" s="20">
        <f t="shared" ca="1" si="316"/>
        <v>1400000</v>
      </c>
      <c r="AX325" s="20">
        <f t="shared" ref="AX325:AY325" ca="1" si="366">W325</f>
        <v>0</v>
      </c>
      <c r="AY325" s="20">
        <f t="shared" si="366"/>
        <v>0</v>
      </c>
      <c r="AZ325" s="20">
        <f t="shared" si="318"/>
        <v>8917.9631999999983</v>
      </c>
      <c r="BA325" s="20">
        <f t="shared" si="319"/>
        <v>11147.454</v>
      </c>
      <c r="BB325" s="20">
        <f t="shared" si="320"/>
        <v>148632.72</v>
      </c>
      <c r="BC325" s="20">
        <f t="shared" ca="1" si="321"/>
        <v>5284516.1371999998</v>
      </c>
      <c r="BD325" s="37">
        <f ca="1">IF(AU325="C",VLOOKUP(BC325,TER!$J$4:$L$50,3,TRUE),IF(AU325="B",VLOOKUP(BC325,TER!$F$4:$H$50,3,TRUE),IF(AU325="A",VLOOKUP(BC325,TER!$B$4:$D$50,3,TRUE),"ERROR")))</f>
        <v>0</v>
      </c>
      <c r="BE325" s="20">
        <f t="shared" ca="1" si="322"/>
        <v>0</v>
      </c>
      <c r="BF325" s="216"/>
      <c r="BG325" s="216"/>
    </row>
    <row r="326" spans="1:59" ht="15.75" hidden="1" customHeight="1">
      <c r="A326" s="216"/>
      <c r="B326" s="27">
        <v>42</v>
      </c>
      <c r="C326" s="28" t="s">
        <v>210</v>
      </c>
      <c r="D326" s="29" t="s">
        <v>211</v>
      </c>
      <c r="E326" s="27" t="s">
        <v>57</v>
      </c>
      <c r="F326" s="28" t="s">
        <v>212</v>
      </c>
      <c r="G326" s="27" t="s">
        <v>31</v>
      </c>
      <c r="H326" s="332" t="s">
        <v>32</v>
      </c>
      <c r="I326" s="16">
        <f t="shared" si="302"/>
        <v>3715818</v>
      </c>
      <c r="J326" s="16">
        <v>231867.04320000001</v>
      </c>
      <c r="K326" s="16">
        <v>148632.72</v>
      </c>
      <c r="L326" s="333">
        <v>200000</v>
      </c>
      <c r="M326" s="333">
        <f t="shared" si="359"/>
        <v>60000</v>
      </c>
      <c r="N326" s="21">
        <f ca="1">IFERROR(__xludf.DUMMYFUNCTION("VLOOKUP(C326,IMPORTRANGE(""https://docs.google.com/spreadsheets/d/1_8zosgvsKLSoAfUB7h2fjXw03wrKRz4qTHSb38JFhpE/edit?gid=2056509001#gid=2056509001"",""DATA_ABSEN_DES24""),39,0)"),20)</f>
        <v>20</v>
      </c>
      <c r="O326" s="334">
        <f ca="1">IFERROR(__xludf.DUMMYFUNCTION("VLOOKUP(C326,IMPORTRANGE(""https://docs.google.com/spreadsheets/d/1_8zosgvsKLSoAfUB7h2fjXw03wrKRz4qTHSb38JFhpE/edit?gid=2056509001#gid=2056509001"",""DATA_ABSEN_DES24""),40,0)"),31)</f>
        <v>31</v>
      </c>
      <c r="P326" s="16">
        <f t="shared" ca="1" si="304"/>
        <v>1400000</v>
      </c>
      <c r="Q326" s="16">
        <v>21</v>
      </c>
      <c r="R326" s="16">
        <f t="shared" si="305"/>
        <v>5556317.7631999999</v>
      </c>
      <c r="S326" s="16">
        <f t="shared" ca="1" si="306"/>
        <v>5496317.7631999999</v>
      </c>
      <c r="T326" s="16">
        <f t="shared" ca="1" si="307"/>
        <v>0</v>
      </c>
      <c r="U326" s="16">
        <v>120000</v>
      </c>
      <c r="V326" s="8">
        <f ca="1">IFERROR(__xludf.DUMMYFUNCTION("VLOOKUP(C326,IMPORTRANGE(""https://docs.google.com/spreadsheets/d/1_8zosgvsKLSoAfUB7h2fjXw03wrKRz4qTHSb38JFhpE/edit?gid=2056509001#gid=2056509001"",""DATA_ABSEN_DES24""),42,0)"),0)</f>
        <v>0</v>
      </c>
      <c r="W326" s="16">
        <f t="shared" ca="1" si="308"/>
        <v>0</v>
      </c>
      <c r="X326" s="16">
        <v>0</v>
      </c>
      <c r="Y326" s="16">
        <f t="shared" ca="1" si="309"/>
        <v>5496317.7631999999</v>
      </c>
      <c r="Z326" s="21"/>
      <c r="AA326" s="21"/>
      <c r="AB326" s="21"/>
      <c r="AC326" s="21"/>
      <c r="AD326" s="21"/>
      <c r="AE326" s="16"/>
      <c r="AF326" s="16"/>
      <c r="AG326" s="16"/>
      <c r="AH326" s="16"/>
      <c r="AI326" s="16"/>
      <c r="AJ326" s="16"/>
      <c r="AK326" s="16"/>
      <c r="AL326" s="16"/>
      <c r="AM326" s="16"/>
      <c r="AN326" s="335">
        <f t="shared" ca="1" si="310"/>
        <v>5496317.7631999999</v>
      </c>
      <c r="AO326" s="20">
        <f t="shared" ca="1" si="311"/>
        <v>0</v>
      </c>
      <c r="AP326" s="20">
        <f t="shared" ca="1" si="312"/>
        <v>5496317.7631999999</v>
      </c>
      <c r="AQ326" s="20">
        <f t="shared" ca="1" si="313"/>
        <v>5496317.7631999999</v>
      </c>
      <c r="AR326" s="20">
        <f t="shared" ca="1" si="314"/>
        <v>5496300</v>
      </c>
      <c r="AS326" s="216"/>
      <c r="AT326" s="27" t="s">
        <v>17</v>
      </c>
      <c r="AU326" s="30" t="str">
        <f>VLOOKUP(AT326,TER!$R$2:$S$10,2,0)</f>
        <v>B</v>
      </c>
      <c r="AV326" s="20">
        <f t="shared" si="315"/>
        <v>3715818</v>
      </c>
      <c r="AW326" s="20">
        <f t="shared" ca="1" si="316"/>
        <v>1400000</v>
      </c>
      <c r="AX326" s="20">
        <f t="shared" ref="AX326:AY326" ca="1" si="367">W326</f>
        <v>0</v>
      </c>
      <c r="AY326" s="20">
        <f t="shared" si="367"/>
        <v>0</v>
      </c>
      <c r="AZ326" s="20">
        <f t="shared" si="318"/>
        <v>8917.9631999999983</v>
      </c>
      <c r="BA326" s="20">
        <f t="shared" si="319"/>
        <v>11147.454</v>
      </c>
      <c r="BB326" s="20">
        <f t="shared" si="320"/>
        <v>148632.72</v>
      </c>
      <c r="BC326" s="20">
        <f t="shared" ca="1" si="321"/>
        <v>5284516.1371999998</v>
      </c>
      <c r="BD326" s="37">
        <f ca="1">IF(AU326="C",VLOOKUP(BC326,TER!$J$4:$L$50,3,TRUE),IF(AU326="B",VLOOKUP(BC326,TER!$F$4:$H$50,3,TRUE),IF(AU326="A",VLOOKUP(BC326,TER!$B$4:$D$50,3,TRUE),"ERROR")))</f>
        <v>0</v>
      </c>
      <c r="BE326" s="20">
        <f t="shared" ca="1" si="322"/>
        <v>0</v>
      </c>
      <c r="BF326" s="216"/>
      <c r="BG326" s="216"/>
    </row>
    <row r="327" spans="1:59" ht="15.75" hidden="1" customHeight="1">
      <c r="A327" s="216"/>
      <c r="B327" s="27">
        <v>43</v>
      </c>
      <c r="C327" s="28" t="s">
        <v>213</v>
      </c>
      <c r="D327" s="29" t="s">
        <v>214</v>
      </c>
      <c r="E327" s="27" t="s">
        <v>57</v>
      </c>
      <c r="F327" s="28" t="s">
        <v>215</v>
      </c>
      <c r="G327" s="27" t="s">
        <v>31</v>
      </c>
      <c r="H327" s="332" t="s">
        <v>32</v>
      </c>
      <c r="I327" s="16">
        <f t="shared" si="302"/>
        <v>3715818</v>
      </c>
      <c r="J327" s="16">
        <v>231867.04320000001</v>
      </c>
      <c r="K327" s="16">
        <v>148632.72</v>
      </c>
      <c r="L327" s="333">
        <v>200000</v>
      </c>
      <c r="M327" s="333">
        <f t="shared" si="359"/>
        <v>60000</v>
      </c>
      <c r="N327" s="21">
        <f ca="1">IFERROR(__xludf.DUMMYFUNCTION("VLOOKUP(C327,IMPORTRANGE(""https://docs.google.com/spreadsheets/d/1_8zosgvsKLSoAfUB7h2fjXw03wrKRz4qTHSb38JFhpE/edit?gid=2056509001#gid=2056509001"",""DATA_ABSEN_DES24""),39,0)"),7)</f>
        <v>7</v>
      </c>
      <c r="O327" s="334">
        <f ca="1">IFERROR(__xludf.DUMMYFUNCTION("VLOOKUP(C327,IMPORTRANGE(""https://docs.google.com/spreadsheets/d/1_8zosgvsKLSoAfUB7h2fjXw03wrKRz4qTHSb38JFhpE/edit?gid=2056509001#gid=2056509001"",""DATA_ABSEN_DES24""),40,0)"),31)</f>
        <v>31</v>
      </c>
      <c r="P327" s="16">
        <f t="shared" ca="1" si="304"/>
        <v>620000</v>
      </c>
      <c r="Q327" s="16">
        <v>21</v>
      </c>
      <c r="R327" s="16">
        <f t="shared" si="305"/>
        <v>5556317.7631999999</v>
      </c>
      <c r="S327" s="16">
        <f t="shared" ca="1" si="306"/>
        <v>4716317.7631999999</v>
      </c>
      <c r="T327" s="16">
        <f t="shared" ca="1" si="307"/>
        <v>0</v>
      </c>
      <c r="U327" s="16">
        <v>120000</v>
      </c>
      <c r="V327" s="8">
        <f ca="1">IFERROR(__xludf.DUMMYFUNCTION("VLOOKUP(C327,IMPORTRANGE(""https://docs.google.com/spreadsheets/d/1_8zosgvsKLSoAfUB7h2fjXw03wrKRz4qTHSb38JFhpE/edit?gid=2056509001#gid=2056509001"",""DATA_ABSEN_DES24""),42,0)"),0)</f>
        <v>0</v>
      </c>
      <c r="W327" s="16">
        <f t="shared" ca="1" si="308"/>
        <v>0</v>
      </c>
      <c r="X327" s="16">
        <v>0</v>
      </c>
      <c r="Y327" s="16">
        <f t="shared" ca="1" si="309"/>
        <v>4716317.7631999999</v>
      </c>
      <c r="Z327" s="21"/>
      <c r="AA327" s="21"/>
      <c r="AB327" s="21"/>
      <c r="AC327" s="21"/>
      <c r="AD327" s="21"/>
      <c r="AE327" s="16"/>
      <c r="AF327" s="16"/>
      <c r="AG327" s="16"/>
      <c r="AH327" s="16"/>
      <c r="AI327" s="16"/>
      <c r="AJ327" s="16"/>
      <c r="AK327" s="16"/>
      <c r="AL327" s="16"/>
      <c r="AM327" s="16"/>
      <c r="AN327" s="335">
        <f t="shared" ca="1" si="310"/>
        <v>4716317.7631999999</v>
      </c>
      <c r="AO327" s="20">
        <f t="shared" ca="1" si="311"/>
        <v>0</v>
      </c>
      <c r="AP327" s="20">
        <f t="shared" ca="1" si="312"/>
        <v>4716317.7631999999</v>
      </c>
      <c r="AQ327" s="20">
        <f t="shared" ca="1" si="313"/>
        <v>4716317.7631999999</v>
      </c>
      <c r="AR327" s="20">
        <f t="shared" ca="1" si="314"/>
        <v>4716300</v>
      </c>
      <c r="AS327" s="216"/>
      <c r="AT327" s="27" t="s">
        <v>9</v>
      </c>
      <c r="AU327" s="30" t="str">
        <f>VLOOKUP(AT327,TER!$R$2:$S$10,2,0)</f>
        <v>A</v>
      </c>
      <c r="AV327" s="20">
        <f t="shared" si="315"/>
        <v>3715818</v>
      </c>
      <c r="AW327" s="20">
        <f t="shared" ca="1" si="316"/>
        <v>620000</v>
      </c>
      <c r="AX327" s="20">
        <f t="shared" ref="AX327:AY327" ca="1" si="368">W327</f>
        <v>0</v>
      </c>
      <c r="AY327" s="20">
        <f t="shared" si="368"/>
        <v>0</v>
      </c>
      <c r="AZ327" s="20">
        <f t="shared" si="318"/>
        <v>8917.9631999999983</v>
      </c>
      <c r="BA327" s="20">
        <f t="shared" si="319"/>
        <v>11147.454</v>
      </c>
      <c r="BB327" s="20">
        <f t="shared" si="320"/>
        <v>148632.72</v>
      </c>
      <c r="BC327" s="20">
        <f t="shared" ca="1" si="321"/>
        <v>4504516.1371999998</v>
      </c>
      <c r="BD327" s="37">
        <f ca="1">IF(AU327="C",VLOOKUP(BC327,TER!$J$4:$L$50,3,TRUE),IF(AU327="B",VLOOKUP(BC327,TER!$F$4:$H$50,3,TRUE),IF(AU327="A",VLOOKUP(BC327,TER!$B$4:$D$50,3,TRUE),"ERROR")))</f>
        <v>0</v>
      </c>
      <c r="BE327" s="20">
        <f t="shared" ca="1" si="322"/>
        <v>0</v>
      </c>
      <c r="BF327" s="216"/>
      <c r="BG327" s="216"/>
    </row>
    <row r="328" spans="1:59" ht="15.75" hidden="1" customHeight="1">
      <c r="A328" s="216"/>
      <c r="B328" s="27">
        <v>44</v>
      </c>
      <c r="C328" s="28" t="s">
        <v>216</v>
      </c>
      <c r="D328" s="29" t="s">
        <v>217</v>
      </c>
      <c r="E328" s="27" t="s">
        <v>57</v>
      </c>
      <c r="F328" s="28" t="s">
        <v>218</v>
      </c>
      <c r="G328" s="27" t="s">
        <v>94</v>
      </c>
      <c r="H328" s="332" t="s">
        <v>32</v>
      </c>
      <c r="I328" s="16">
        <f t="shared" si="302"/>
        <v>3715818</v>
      </c>
      <c r="J328" s="16">
        <v>231867.04320000001</v>
      </c>
      <c r="K328" s="16">
        <v>148632.72</v>
      </c>
      <c r="L328" s="336">
        <v>650000</v>
      </c>
      <c r="M328" s="336">
        <f>(1050000+525000)/21</f>
        <v>75000</v>
      </c>
      <c r="N328" s="21">
        <f ca="1">IFERROR(__xludf.DUMMYFUNCTION("VLOOKUP(C328,IMPORTRANGE(""https://docs.google.com/spreadsheets/d/1_8zosgvsKLSoAfUB7h2fjXw03wrKRz4qTHSb38JFhpE/edit?gid=2056509001#gid=2056509001"",""DATA_ABSEN_DES24""),39,0)"),20)</f>
        <v>20</v>
      </c>
      <c r="O328" s="334">
        <f ca="1">IFERROR(__xludf.DUMMYFUNCTION("VLOOKUP(C328,IMPORTRANGE(""https://docs.google.com/spreadsheets/d/1_8zosgvsKLSoAfUB7h2fjXw03wrKRz4qTHSb38JFhpE/edit?gid=2056509001#gid=2056509001"",""DATA_ABSEN_DES24""),40,0)"),31)</f>
        <v>31</v>
      </c>
      <c r="P328" s="16">
        <f t="shared" ca="1" si="304"/>
        <v>2150000</v>
      </c>
      <c r="Q328" s="16">
        <v>21</v>
      </c>
      <c r="R328" s="16">
        <f t="shared" si="305"/>
        <v>6321317.7631999999</v>
      </c>
      <c r="S328" s="16">
        <f t="shared" ca="1" si="306"/>
        <v>6246317.7631999999</v>
      </c>
      <c r="T328" s="16">
        <f t="shared" ca="1" si="307"/>
        <v>0</v>
      </c>
      <c r="U328" s="16">
        <v>120000</v>
      </c>
      <c r="V328" s="8">
        <f ca="1">IFERROR(__xludf.DUMMYFUNCTION("VLOOKUP(C328,IMPORTRANGE(""https://docs.google.com/spreadsheets/d/1_8zosgvsKLSoAfUB7h2fjXw03wrKRz4qTHSb38JFhpE/edit?gid=2056509001#gid=2056509001"",""DATA_ABSEN_DES24""),42,0)"),0)</f>
        <v>0</v>
      </c>
      <c r="W328" s="16">
        <f t="shared" ca="1" si="308"/>
        <v>0</v>
      </c>
      <c r="X328" s="16">
        <v>0</v>
      </c>
      <c r="Y328" s="16">
        <f t="shared" ca="1" si="309"/>
        <v>6246317.7631999999</v>
      </c>
      <c r="Z328" s="21"/>
      <c r="AA328" s="21"/>
      <c r="AB328" s="21"/>
      <c r="AC328" s="21"/>
      <c r="AD328" s="21"/>
      <c r="AE328" s="16"/>
      <c r="AF328" s="16"/>
      <c r="AG328" s="16"/>
      <c r="AH328" s="16"/>
      <c r="AI328" s="16"/>
      <c r="AJ328" s="16"/>
      <c r="AK328" s="16"/>
      <c r="AL328" s="16"/>
      <c r="AM328" s="16"/>
      <c r="AN328" s="335">
        <f t="shared" ca="1" si="310"/>
        <v>6246317.7631999999</v>
      </c>
      <c r="AO328" s="20">
        <f t="shared" ca="1" si="311"/>
        <v>0</v>
      </c>
      <c r="AP328" s="20">
        <f t="shared" ca="1" si="312"/>
        <v>6246317.7631999999</v>
      </c>
      <c r="AQ328" s="20">
        <f t="shared" ca="1" si="313"/>
        <v>6246317.7631999999</v>
      </c>
      <c r="AR328" s="20">
        <f t="shared" ca="1" si="314"/>
        <v>6246300</v>
      </c>
      <c r="AS328" s="216"/>
      <c r="AT328" s="27" t="s">
        <v>17</v>
      </c>
      <c r="AU328" s="30" t="str">
        <f>VLOOKUP(AT328,TER!$R$2:$S$10,2,0)</f>
        <v>B</v>
      </c>
      <c r="AV328" s="20">
        <f t="shared" si="315"/>
        <v>3715818</v>
      </c>
      <c r="AW328" s="20">
        <f t="shared" ca="1" si="316"/>
        <v>2150000</v>
      </c>
      <c r="AX328" s="20">
        <f t="shared" ref="AX328:AY328" ca="1" si="369">W328</f>
        <v>0</v>
      </c>
      <c r="AY328" s="20">
        <f t="shared" si="369"/>
        <v>0</v>
      </c>
      <c r="AZ328" s="20">
        <f t="shared" si="318"/>
        <v>8917.9631999999983</v>
      </c>
      <c r="BA328" s="20">
        <f t="shared" si="319"/>
        <v>11147.454</v>
      </c>
      <c r="BB328" s="20">
        <f t="shared" si="320"/>
        <v>148632.72</v>
      </c>
      <c r="BC328" s="20">
        <f t="shared" ca="1" si="321"/>
        <v>6034516.1371999998</v>
      </c>
      <c r="BD328" s="37">
        <f ca="1">IF(AU328="C",VLOOKUP(BC328,TER!$J$4:$L$50,3,TRUE),IF(AU328="B",VLOOKUP(BC328,TER!$F$4:$H$50,3,TRUE),IF(AU328="A",VLOOKUP(BC328,TER!$B$4:$D$50,3,TRUE),"ERROR")))</f>
        <v>0</v>
      </c>
      <c r="BE328" s="20">
        <f t="shared" ca="1" si="322"/>
        <v>0</v>
      </c>
      <c r="BF328" s="216"/>
      <c r="BG328" s="216"/>
    </row>
    <row r="329" spans="1:59" ht="15.75" hidden="1" customHeight="1">
      <c r="A329" s="216"/>
      <c r="B329" s="27">
        <v>45</v>
      </c>
      <c r="C329" s="46" t="s">
        <v>219</v>
      </c>
      <c r="D329" s="26" t="s">
        <v>220</v>
      </c>
      <c r="E329" s="45" t="s">
        <v>57</v>
      </c>
      <c r="F329" s="46" t="s">
        <v>221</v>
      </c>
      <c r="G329" s="45" t="s">
        <v>222</v>
      </c>
      <c r="H329" s="341" t="s">
        <v>32</v>
      </c>
      <c r="I329" s="342">
        <f t="shared" si="302"/>
        <v>3715818</v>
      </c>
      <c r="J329" s="342">
        <f>I329*6.24%</f>
        <v>231867.04320000001</v>
      </c>
      <c r="K329" s="342">
        <f>I329*4%</f>
        <v>148632.72</v>
      </c>
      <c r="L329" s="343">
        <v>3000000</v>
      </c>
      <c r="M329" s="343">
        <f>1210000/31</f>
        <v>39032.258064516129</v>
      </c>
      <c r="N329" s="21">
        <f ca="1">IFERROR(__xludf.DUMMYFUNCTION("VLOOKUP(C329,IMPORTRANGE(""https://docs.google.com/spreadsheets/d/1_8zosgvsKLSoAfUB7h2fjXw03wrKRz4qTHSb38JFhpE/edit?gid=2056509001#gid=2056509001"",""DATA_ABSEN_DES24""),39,0)"),31)</f>
        <v>31</v>
      </c>
      <c r="O329" s="334">
        <f ca="1">IFERROR(__xludf.DUMMYFUNCTION("VLOOKUP(C329,IMPORTRANGE(""https://docs.google.com/spreadsheets/d/1_8zosgvsKLSoAfUB7h2fjXw03wrKRz4qTHSb38JFhpE/edit?gid=2056509001#gid=2056509001"",""DATA_ABSEN_DES24""),40,0)"),31)</f>
        <v>31</v>
      </c>
      <c r="P329" s="342">
        <f t="shared" ca="1" si="304"/>
        <v>4210000</v>
      </c>
      <c r="Q329" s="342">
        <v>31</v>
      </c>
      <c r="R329" s="342">
        <f t="shared" si="305"/>
        <v>8306317.7631999999</v>
      </c>
      <c r="S329" s="342">
        <f t="shared" ca="1" si="306"/>
        <v>8306317.7631999999</v>
      </c>
      <c r="T329" s="342">
        <f t="shared" ca="1" si="307"/>
        <v>0</v>
      </c>
      <c r="U329" s="342">
        <v>120000</v>
      </c>
      <c r="V329" s="8">
        <f ca="1">IFERROR(__xludf.DUMMYFUNCTION("VLOOKUP(C329,IMPORTRANGE(""https://docs.google.com/spreadsheets/d/1_8zosgvsKLSoAfUB7h2fjXw03wrKRz4qTHSb38JFhpE/edit?gid=2056509001#gid=2056509001"",""DATA_ABSEN_DES24""),42,0)"),0)</f>
        <v>0</v>
      </c>
      <c r="W329" s="342">
        <f t="shared" ca="1" si="308"/>
        <v>0</v>
      </c>
      <c r="X329" s="342">
        <v>0</v>
      </c>
      <c r="Y329" s="342">
        <f t="shared" ca="1" si="309"/>
        <v>8306317.7631999999</v>
      </c>
      <c r="Z329" s="21"/>
      <c r="AA329" s="21"/>
      <c r="AB329" s="21"/>
      <c r="AC329" s="21"/>
      <c r="AD329" s="21"/>
      <c r="AE329" s="342"/>
      <c r="AF329" s="342"/>
      <c r="AG329" s="342"/>
      <c r="AH329" s="342"/>
      <c r="AI329" s="342"/>
      <c r="AJ329" s="342"/>
      <c r="AK329" s="342"/>
      <c r="AL329" s="342"/>
      <c r="AM329" s="342"/>
      <c r="AN329" s="344">
        <f t="shared" ca="1" si="310"/>
        <v>8306317.7631999999</v>
      </c>
      <c r="AO329" s="31">
        <f t="shared" ca="1" si="311"/>
        <v>80945.161372000002</v>
      </c>
      <c r="AP329" s="31">
        <f t="shared" ca="1" si="312"/>
        <v>8225372.6018279996</v>
      </c>
      <c r="AQ329" s="31">
        <f t="shared" ca="1" si="313"/>
        <v>8225372.6018279996</v>
      </c>
      <c r="AR329" s="31">
        <f t="shared" ca="1" si="314"/>
        <v>8225400</v>
      </c>
      <c r="AS329" s="216"/>
      <c r="AT329" s="45" t="s">
        <v>18</v>
      </c>
      <c r="AU329" s="30" t="str">
        <f>VLOOKUP(AT329,TER!$R$2:$S$10,2,0)</f>
        <v>B</v>
      </c>
      <c r="AV329" s="31">
        <f t="shared" si="315"/>
        <v>3715818</v>
      </c>
      <c r="AW329" s="31">
        <f t="shared" ca="1" si="316"/>
        <v>4210000</v>
      </c>
      <c r="AX329" s="31">
        <f t="shared" ref="AX329:AY329" ca="1" si="370">W329</f>
        <v>0</v>
      </c>
      <c r="AY329" s="31">
        <f t="shared" si="370"/>
        <v>0</v>
      </c>
      <c r="AZ329" s="31">
        <f t="shared" si="318"/>
        <v>8917.9631999999983</v>
      </c>
      <c r="BA329" s="31">
        <f t="shared" si="319"/>
        <v>11147.454</v>
      </c>
      <c r="BB329" s="31">
        <f t="shared" si="320"/>
        <v>148632.72</v>
      </c>
      <c r="BC329" s="31">
        <f t="shared" ca="1" si="321"/>
        <v>8094516.1371999998</v>
      </c>
      <c r="BD329" s="37">
        <f ca="1">IF(AU329="C",VLOOKUP(BC329,TER!$J$4:$L$50,3,TRUE),IF(AU329="B",VLOOKUP(BC329,TER!$F$4:$H$50,3,TRUE),IF(AU329="A",VLOOKUP(BC329,TER!$B$4:$D$50,3,TRUE),"ERROR")))</f>
        <v>0.01</v>
      </c>
      <c r="BE329" s="31">
        <f t="shared" ca="1" si="322"/>
        <v>80945.161372000002</v>
      </c>
      <c r="BF329" s="216"/>
      <c r="BG329" s="216"/>
    </row>
    <row r="330" spans="1:59" ht="15.75" hidden="1" customHeight="1">
      <c r="A330" s="216"/>
      <c r="B330" s="27">
        <v>46</v>
      </c>
      <c r="C330" s="28" t="s">
        <v>223</v>
      </c>
      <c r="D330" s="29" t="s">
        <v>224</v>
      </c>
      <c r="E330" s="27" t="s">
        <v>57</v>
      </c>
      <c r="F330" s="28" t="s">
        <v>225</v>
      </c>
      <c r="G330" s="27" t="s">
        <v>31</v>
      </c>
      <c r="H330" s="332" t="s">
        <v>32</v>
      </c>
      <c r="I330" s="16">
        <f t="shared" si="302"/>
        <v>3715818</v>
      </c>
      <c r="J330" s="16">
        <v>231867.04320000001</v>
      </c>
      <c r="K330" s="16">
        <v>148632.72</v>
      </c>
      <c r="L330" s="333">
        <v>200000</v>
      </c>
      <c r="M330" s="333">
        <f t="shared" ref="M330:M331" si="371">(840000+420000)/21</f>
        <v>60000</v>
      </c>
      <c r="N330" s="21">
        <f ca="1">IFERROR(__xludf.DUMMYFUNCTION("VLOOKUP(C330,IMPORTRANGE(""https://docs.google.com/spreadsheets/d/1_8zosgvsKLSoAfUB7h2fjXw03wrKRz4qTHSb38JFhpE/edit?gid=2056509001#gid=2056509001"",""DATA_ABSEN_DES24""),39,0)"),21)</f>
        <v>21</v>
      </c>
      <c r="O330" s="334">
        <f ca="1">IFERROR(__xludf.DUMMYFUNCTION("VLOOKUP(C330,IMPORTRANGE(""https://docs.google.com/spreadsheets/d/1_8zosgvsKLSoAfUB7h2fjXw03wrKRz4qTHSb38JFhpE/edit?gid=2056509001#gid=2056509001"",""DATA_ABSEN_DES24""),40,0)"),31)</f>
        <v>31</v>
      </c>
      <c r="P330" s="16">
        <f t="shared" ca="1" si="304"/>
        <v>1460000</v>
      </c>
      <c r="Q330" s="16">
        <v>21</v>
      </c>
      <c r="R330" s="16">
        <f t="shared" si="305"/>
        <v>5556317.7631999999</v>
      </c>
      <c r="S330" s="16">
        <f t="shared" ca="1" si="306"/>
        <v>5556317.7631999999</v>
      </c>
      <c r="T330" s="16">
        <f t="shared" ca="1" si="307"/>
        <v>0</v>
      </c>
      <c r="U330" s="16">
        <v>120000</v>
      </c>
      <c r="V330" s="8">
        <f ca="1">IFERROR(__xludf.DUMMYFUNCTION("VLOOKUP(C330,IMPORTRANGE(""https://docs.google.com/spreadsheets/d/1_8zosgvsKLSoAfUB7h2fjXw03wrKRz4qTHSb38JFhpE/edit?gid=2056509001#gid=2056509001"",""DATA_ABSEN_DES24""),42,0)"),0)</f>
        <v>0</v>
      </c>
      <c r="W330" s="16">
        <f t="shared" ca="1" si="308"/>
        <v>0</v>
      </c>
      <c r="X330" s="16">
        <v>0</v>
      </c>
      <c r="Y330" s="16">
        <f t="shared" ca="1" si="309"/>
        <v>5556317.7631999999</v>
      </c>
      <c r="Z330" s="21"/>
      <c r="AA330" s="21"/>
      <c r="AB330" s="21"/>
      <c r="AC330" s="21"/>
      <c r="AD330" s="21"/>
      <c r="AE330" s="16"/>
      <c r="AF330" s="16"/>
      <c r="AG330" s="16"/>
      <c r="AH330" s="16"/>
      <c r="AI330" s="16"/>
      <c r="AJ330" s="16"/>
      <c r="AK330" s="16"/>
      <c r="AL330" s="16"/>
      <c r="AM330" s="16"/>
      <c r="AN330" s="335">
        <f t="shared" ca="1" si="310"/>
        <v>5556317.7631999999</v>
      </c>
      <c r="AO330" s="20">
        <f t="shared" ca="1" si="311"/>
        <v>0</v>
      </c>
      <c r="AP330" s="20">
        <f t="shared" ca="1" si="312"/>
        <v>5556317.7631999999</v>
      </c>
      <c r="AQ330" s="20">
        <f t="shared" ca="1" si="313"/>
        <v>5556317.7631999999</v>
      </c>
      <c r="AR330" s="20">
        <f t="shared" ca="1" si="314"/>
        <v>5556300</v>
      </c>
      <c r="AS330" s="216"/>
      <c r="AT330" s="27" t="s">
        <v>9</v>
      </c>
      <c r="AU330" s="30" t="str">
        <f>VLOOKUP(AT330,TER!$R$2:$S$10,2,0)</f>
        <v>A</v>
      </c>
      <c r="AV330" s="20">
        <f t="shared" si="315"/>
        <v>3715818</v>
      </c>
      <c r="AW330" s="20">
        <f t="shared" ca="1" si="316"/>
        <v>1460000</v>
      </c>
      <c r="AX330" s="20">
        <f t="shared" ref="AX330:AY330" ca="1" si="372">W330</f>
        <v>0</v>
      </c>
      <c r="AY330" s="20">
        <f t="shared" si="372"/>
        <v>0</v>
      </c>
      <c r="AZ330" s="20">
        <f t="shared" si="318"/>
        <v>8917.9631999999983</v>
      </c>
      <c r="BA330" s="20">
        <f t="shared" si="319"/>
        <v>11147.454</v>
      </c>
      <c r="BB330" s="20">
        <f t="shared" si="320"/>
        <v>148632.72</v>
      </c>
      <c r="BC330" s="20">
        <f t="shared" ca="1" si="321"/>
        <v>5344516.1371999998</v>
      </c>
      <c r="BD330" s="37">
        <f ca="1">IF(AU330="C",VLOOKUP(BC330,TER!$J$4:$L$50,3,TRUE),IF(AU330="B",VLOOKUP(BC330,TER!$F$4:$H$50,3,TRUE),IF(AU330="A",VLOOKUP(BC330,TER!$B$4:$D$50,3,TRUE),"ERROR")))</f>
        <v>0</v>
      </c>
      <c r="BE330" s="20">
        <f t="shared" ca="1" si="322"/>
        <v>0</v>
      </c>
      <c r="BF330" s="216"/>
      <c r="BG330" s="216"/>
    </row>
    <row r="331" spans="1:59" ht="15.75" hidden="1" customHeight="1">
      <c r="A331" s="216"/>
      <c r="B331" s="27">
        <v>47</v>
      </c>
      <c r="C331" s="28" t="s">
        <v>226</v>
      </c>
      <c r="D331" s="29" t="s">
        <v>227</v>
      </c>
      <c r="E331" s="27" t="s">
        <v>57</v>
      </c>
      <c r="F331" s="28" t="s">
        <v>228</v>
      </c>
      <c r="G331" s="27" t="s">
        <v>31</v>
      </c>
      <c r="H331" s="332" t="s">
        <v>32</v>
      </c>
      <c r="I331" s="16">
        <f t="shared" si="302"/>
        <v>3715818</v>
      </c>
      <c r="J331" s="16">
        <v>231867.04320000001</v>
      </c>
      <c r="K331" s="16">
        <v>148632.72</v>
      </c>
      <c r="L331" s="333">
        <v>200000</v>
      </c>
      <c r="M331" s="333">
        <f t="shared" si="371"/>
        <v>60000</v>
      </c>
      <c r="N331" s="21">
        <f ca="1">IFERROR(__xludf.DUMMYFUNCTION("VLOOKUP(C331,IMPORTRANGE(""https://docs.google.com/spreadsheets/d/1_8zosgvsKLSoAfUB7h2fjXw03wrKRz4qTHSb38JFhpE/edit?gid=2056509001#gid=2056509001"",""DATA_ABSEN_DES24""),39,0)"),17)</f>
        <v>17</v>
      </c>
      <c r="O331" s="334">
        <f ca="1">IFERROR(__xludf.DUMMYFUNCTION("VLOOKUP(C331,IMPORTRANGE(""https://docs.google.com/spreadsheets/d/1_8zosgvsKLSoAfUB7h2fjXw03wrKRz4qTHSb38JFhpE/edit?gid=2056509001#gid=2056509001"",""DATA_ABSEN_DES24""),40,0)"),27)</f>
        <v>27</v>
      </c>
      <c r="P331" s="16">
        <f t="shared" ca="1" si="304"/>
        <v>1220000</v>
      </c>
      <c r="Q331" s="16">
        <v>21</v>
      </c>
      <c r="R331" s="16">
        <f t="shared" si="305"/>
        <v>5556317.7631999999</v>
      </c>
      <c r="S331" s="16">
        <f t="shared" ca="1" si="306"/>
        <v>5316317.7631999999</v>
      </c>
      <c r="T331" s="16">
        <f t="shared" ca="1" si="307"/>
        <v>0</v>
      </c>
      <c r="U331" s="16">
        <v>120000</v>
      </c>
      <c r="V331" s="8">
        <f ca="1">IFERROR(__xludf.DUMMYFUNCTION("VLOOKUP(C331,IMPORTRANGE(""https://docs.google.com/spreadsheets/d/1_8zosgvsKLSoAfUB7h2fjXw03wrKRz4qTHSb38JFhpE/edit?gid=2056509001#gid=2056509001"",""DATA_ABSEN_DES24""),42,0)"),0)</f>
        <v>0</v>
      </c>
      <c r="W331" s="16">
        <f t="shared" ca="1" si="308"/>
        <v>0</v>
      </c>
      <c r="X331" s="16">
        <v>0</v>
      </c>
      <c r="Y331" s="16">
        <f t="shared" ca="1" si="309"/>
        <v>5316317.7631999999</v>
      </c>
      <c r="Z331" s="21"/>
      <c r="AA331" s="21"/>
      <c r="AB331" s="21"/>
      <c r="AC331" s="21"/>
      <c r="AD331" s="21"/>
      <c r="AE331" s="16"/>
      <c r="AF331" s="16"/>
      <c r="AG331" s="16"/>
      <c r="AH331" s="16"/>
      <c r="AI331" s="16"/>
      <c r="AJ331" s="16"/>
      <c r="AK331" s="16"/>
      <c r="AL331" s="16"/>
      <c r="AM331" s="16"/>
      <c r="AN331" s="335">
        <f t="shared" ca="1" si="310"/>
        <v>5316317.7631999999</v>
      </c>
      <c r="AO331" s="20">
        <f t="shared" ca="1" si="311"/>
        <v>0</v>
      </c>
      <c r="AP331" s="20">
        <f t="shared" ca="1" si="312"/>
        <v>5316317.7631999999</v>
      </c>
      <c r="AQ331" s="20">
        <f t="shared" ca="1" si="313"/>
        <v>5316317.7631999999</v>
      </c>
      <c r="AR331" s="20">
        <f t="shared" ca="1" si="314"/>
        <v>5316300</v>
      </c>
      <c r="AS331" s="216"/>
      <c r="AT331" s="27" t="s">
        <v>18</v>
      </c>
      <c r="AU331" s="30" t="str">
        <f>VLOOKUP(AT331,TER!$R$2:$S$10,2,0)</f>
        <v>B</v>
      </c>
      <c r="AV331" s="20">
        <f t="shared" si="315"/>
        <v>3715818</v>
      </c>
      <c r="AW331" s="20">
        <f t="shared" ca="1" si="316"/>
        <v>1220000</v>
      </c>
      <c r="AX331" s="20">
        <f t="shared" ref="AX331:AY331" ca="1" si="373">W331</f>
        <v>0</v>
      </c>
      <c r="AY331" s="20">
        <f t="shared" si="373"/>
        <v>0</v>
      </c>
      <c r="AZ331" s="20">
        <f t="shared" si="318"/>
        <v>8917.9631999999983</v>
      </c>
      <c r="BA331" s="20">
        <f t="shared" si="319"/>
        <v>11147.454</v>
      </c>
      <c r="BB331" s="20">
        <f t="shared" si="320"/>
        <v>148632.72</v>
      </c>
      <c r="BC331" s="20">
        <f t="shared" ca="1" si="321"/>
        <v>5104516.1371999998</v>
      </c>
      <c r="BD331" s="37">
        <f ca="1">IF(AU331="C",VLOOKUP(BC331,TER!$J$4:$L$50,3,TRUE),IF(AU331="B",VLOOKUP(BC331,TER!$F$4:$H$50,3,TRUE),IF(AU331="A",VLOOKUP(BC331,TER!$B$4:$D$50,3,TRUE),"ERROR")))</f>
        <v>0</v>
      </c>
      <c r="BE331" s="20">
        <f t="shared" ca="1" si="322"/>
        <v>0</v>
      </c>
      <c r="BF331" s="216"/>
      <c r="BG331" s="216"/>
    </row>
    <row r="332" spans="1:59" ht="15.75" hidden="1" customHeight="1">
      <c r="A332" s="216"/>
      <c r="B332" s="38">
        <f>COUNTA(B285:B331)</f>
        <v>47</v>
      </c>
      <c r="C332" s="421" t="s">
        <v>229</v>
      </c>
      <c r="D332" s="411"/>
      <c r="E332" s="38"/>
      <c r="F332" s="39"/>
      <c r="G332" s="38"/>
      <c r="H332" s="346"/>
      <c r="I332" s="15">
        <f t="shared" ref="I332:L332" si="374">SUM(I285:I331)</f>
        <v>174643446</v>
      </c>
      <c r="J332" s="15">
        <f t="shared" si="374"/>
        <v>10925831.030399997</v>
      </c>
      <c r="K332" s="15">
        <f t="shared" si="374"/>
        <v>7003737.839999998</v>
      </c>
      <c r="L332" s="15">
        <f t="shared" si="374"/>
        <v>17550000</v>
      </c>
      <c r="M332" s="15"/>
      <c r="N332" s="18">
        <f t="shared" ref="N332:P332" ca="1" si="375">SUM(N285:N331)</f>
        <v>952</v>
      </c>
      <c r="O332" s="18">
        <f t="shared" ca="1" si="375"/>
        <v>1443</v>
      </c>
      <c r="P332" s="15">
        <f t="shared" ca="1" si="375"/>
        <v>74790000</v>
      </c>
      <c r="Q332" s="15"/>
      <c r="R332" s="15">
        <f t="shared" ref="R332:T332" si="376">SUM(R285:R331)</f>
        <v>270618014.87039965</v>
      </c>
      <c r="S332" s="15">
        <f t="shared" ca="1" si="376"/>
        <v>267363014.87039965</v>
      </c>
      <c r="T332" s="15">
        <f t="shared" ca="1" si="376"/>
        <v>-420000</v>
      </c>
      <c r="U332" s="15"/>
      <c r="V332" s="18">
        <f t="shared" ref="V332:Y332" ca="1" si="377">SUM(V285:V331)</f>
        <v>1</v>
      </c>
      <c r="W332" s="15">
        <f t="shared" ca="1" si="377"/>
        <v>120000</v>
      </c>
      <c r="X332" s="15">
        <f t="shared" si="377"/>
        <v>0</v>
      </c>
      <c r="Y332" s="15">
        <f t="shared" ca="1" si="377"/>
        <v>267483014.87039965</v>
      </c>
      <c r="Z332" s="18"/>
      <c r="AA332" s="18"/>
      <c r="AB332" s="18"/>
      <c r="AC332" s="18"/>
      <c r="AD332" s="18"/>
      <c r="AE332" s="15"/>
      <c r="AF332" s="15"/>
      <c r="AG332" s="15"/>
      <c r="AH332" s="15"/>
      <c r="AI332" s="15"/>
      <c r="AJ332" s="15"/>
      <c r="AK332" s="15"/>
      <c r="AL332" s="15"/>
      <c r="AM332" s="15"/>
      <c r="AN332" s="347">
        <f t="shared" ref="AN332:AR332" ca="1" si="378">SUM(AN285:AN331)</f>
        <v>267483014.87039965</v>
      </c>
      <c r="AO332" s="41">
        <f t="shared" ca="1" si="378"/>
        <v>243685.48411600001</v>
      </c>
      <c r="AP332" s="41">
        <f t="shared" ca="1" si="378"/>
        <v>267239329.3862837</v>
      </c>
      <c r="AQ332" s="41">
        <f t="shared" ca="1" si="378"/>
        <v>267239329.3862837</v>
      </c>
      <c r="AR332" s="41">
        <f t="shared" ca="1" si="378"/>
        <v>267238600</v>
      </c>
      <c r="AS332" s="216"/>
      <c r="AT332" s="216"/>
      <c r="AU332" s="15"/>
      <c r="AV332" s="15"/>
      <c r="AW332" s="18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</row>
    <row r="333" spans="1:59" ht="15.75" hidden="1" customHeight="1">
      <c r="A333" s="216"/>
      <c r="B333" s="14"/>
      <c r="C333" s="12"/>
      <c r="D333" s="12"/>
      <c r="E333" s="12"/>
      <c r="F333" s="13"/>
      <c r="G333" s="13"/>
      <c r="H333" s="12"/>
      <c r="I333" s="14"/>
      <c r="J333" s="15"/>
      <c r="K333" s="15">
        <f t="shared" ref="K333:L333" si="379">COUNT(J285:J331)-COUNTIF(J285:J331,0)</f>
        <v>47</v>
      </c>
      <c r="L333" s="15">
        <f t="shared" si="379"/>
        <v>47</v>
      </c>
      <c r="M333" s="15"/>
      <c r="N333" s="15"/>
      <c r="O333" s="18"/>
      <c r="P333" s="18"/>
      <c r="Q333" s="18"/>
      <c r="R333" s="15"/>
      <c r="S333" s="15"/>
      <c r="T333" s="15"/>
      <c r="U333" s="15"/>
      <c r="V333" s="15"/>
      <c r="W333" s="15"/>
      <c r="X333" s="18"/>
      <c r="Y333" s="15"/>
      <c r="Z333" s="15"/>
      <c r="AA333" s="15"/>
      <c r="AB333" s="18"/>
      <c r="AC333" s="18"/>
      <c r="AD333" s="18"/>
      <c r="AE333" s="18"/>
      <c r="AF333" s="18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8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</row>
    <row r="334" spans="1:59" ht="15.75" hidden="1" customHeight="1">
      <c r="A334" s="216"/>
      <c r="B334" s="14"/>
      <c r="C334" s="12"/>
      <c r="D334" s="12"/>
      <c r="E334" s="12"/>
      <c r="F334" s="13"/>
      <c r="G334" s="13"/>
      <c r="H334" s="12"/>
      <c r="I334" s="14"/>
      <c r="J334" s="15"/>
      <c r="K334" s="15"/>
      <c r="L334" s="15"/>
      <c r="M334" s="15"/>
      <c r="N334" s="15"/>
      <c r="O334" s="18"/>
      <c r="P334" s="18"/>
      <c r="Q334" s="18"/>
      <c r="R334" s="15"/>
      <c r="S334" s="15"/>
      <c r="T334" s="15"/>
      <c r="U334" s="15"/>
      <c r="V334" s="15"/>
      <c r="W334" s="15"/>
      <c r="X334" s="18"/>
      <c r="Y334" s="15"/>
      <c r="Z334" s="15"/>
      <c r="AA334" s="15"/>
      <c r="AB334" s="18"/>
      <c r="AC334" s="18"/>
      <c r="AD334" s="18"/>
      <c r="AE334" s="18"/>
      <c r="AF334" s="18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8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</row>
    <row r="335" spans="1:59" ht="15.75" hidden="1" customHeight="1">
      <c r="A335" s="216"/>
      <c r="B335" s="12"/>
      <c r="C335" s="12"/>
      <c r="D335" s="13"/>
      <c r="E335" s="12"/>
      <c r="F335" s="13"/>
      <c r="G335" s="13"/>
      <c r="H335" s="12"/>
      <c r="I335" s="18"/>
      <c r="J335" s="16">
        <v>191354.592</v>
      </c>
      <c r="K335" s="16">
        <v>122663.2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6"/>
      <c r="AH335" s="16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216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</row>
    <row r="336" spans="1:59" ht="15.75" hidden="1" customHeight="1">
      <c r="A336" s="216"/>
      <c r="B336" s="412" t="s">
        <v>20</v>
      </c>
      <c r="C336" s="417" t="s">
        <v>21</v>
      </c>
      <c r="D336" s="412" t="s">
        <v>22</v>
      </c>
      <c r="E336" s="10" t="s">
        <v>23</v>
      </c>
      <c r="F336" s="236"/>
      <c r="G336" s="9" t="s">
        <v>24</v>
      </c>
      <c r="H336" s="466" t="s">
        <v>4</v>
      </c>
      <c r="I336" s="461" t="s">
        <v>259</v>
      </c>
      <c r="J336" s="429"/>
      <c r="K336" s="429"/>
      <c r="L336" s="429"/>
      <c r="M336" s="429"/>
      <c r="N336" s="429"/>
      <c r="O336" s="429"/>
      <c r="P336" s="429"/>
      <c r="Q336" s="429"/>
      <c r="R336" s="429"/>
      <c r="S336" s="429"/>
      <c r="T336" s="429"/>
      <c r="U336" s="429"/>
      <c r="V336" s="429"/>
      <c r="W336" s="429"/>
      <c r="X336" s="429"/>
      <c r="Y336" s="429"/>
      <c r="Z336" s="461"/>
      <c r="AA336" s="429"/>
      <c r="AB336" s="429"/>
      <c r="AC336" s="429"/>
      <c r="AD336" s="429"/>
      <c r="AE336" s="429"/>
      <c r="AF336" s="429"/>
      <c r="AG336" s="429"/>
      <c r="AH336" s="429"/>
      <c r="AI336" s="429"/>
      <c r="AJ336" s="429"/>
      <c r="AK336" s="429"/>
      <c r="AL336" s="429"/>
      <c r="AM336" s="429"/>
      <c r="AN336" s="464" t="s">
        <v>261</v>
      </c>
      <c r="AO336" s="418" t="s">
        <v>262</v>
      </c>
      <c r="AP336" s="418" t="s">
        <v>263</v>
      </c>
      <c r="AQ336" s="418" t="s">
        <v>264</v>
      </c>
      <c r="AR336" s="422" t="s">
        <v>265</v>
      </c>
      <c r="AS336" s="216"/>
      <c r="AT336" s="22" t="s">
        <v>262</v>
      </c>
      <c r="AU336" s="237"/>
      <c r="AV336" s="237"/>
      <c r="AW336" s="237"/>
      <c r="AX336" s="237"/>
      <c r="AY336" s="237"/>
      <c r="AZ336" s="237"/>
      <c r="BA336" s="237"/>
      <c r="BB336" s="237"/>
      <c r="BC336" s="237"/>
      <c r="BD336" s="237"/>
      <c r="BE336" s="238"/>
      <c r="BF336" s="216"/>
      <c r="BG336" s="216"/>
    </row>
    <row r="337" spans="1:59" ht="15.75" hidden="1" customHeight="1">
      <c r="A337" s="216"/>
      <c r="B337" s="413"/>
      <c r="C337" s="413"/>
      <c r="D337" s="413"/>
      <c r="E337" s="9" t="s">
        <v>26</v>
      </c>
      <c r="F337" s="11" t="s">
        <v>27</v>
      </c>
      <c r="G337" s="239"/>
      <c r="H337" s="419"/>
      <c r="I337" s="461" t="s">
        <v>25</v>
      </c>
      <c r="J337" s="462" t="s">
        <v>266</v>
      </c>
      <c r="K337" s="429"/>
      <c r="L337" s="461" t="s">
        <v>267</v>
      </c>
      <c r="M337" s="429"/>
      <c r="N337" s="429"/>
      <c r="O337" s="429"/>
      <c r="P337" s="429"/>
      <c r="Q337" s="56"/>
      <c r="R337" s="463" t="s">
        <v>268</v>
      </c>
      <c r="S337" s="429"/>
      <c r="T337" s="429"/>
      <c r="U337" s="461" t="s">
        <v>269</v>
      </c>
      <c r="V337" s="429"/>
      <c r="W337" s="429"/>
      <c r="X337" s="462" t="s">
        <v>270</v>
      </c>
      <c r="Y337" s="461" t="s">
        <v>271</v>
      </c>
      <c r="Z337" s="461"/>
      <c r="AA337" s="429"/>
      <c r="AB337" s="429"/>
      <c r="AC337" s="429"/>
      <c r="AD337" s="429"/>
      <c r="AE337" s="429"/>
      <c r="AF337" s="462"/>
      <c r="AG337" s="429"/>
      <c r="AH337" s="462"/>
      <c r="AI337" s="463"/>
      <c r="AJ337" s="429"/>
      <c r="AK337" s="429"/>
      <c r="AL337" s="462"/>
      <c r="AM337" s="461"/>
      <c r="AN337" s="460"/>
      <c r="AO337" s="413"/>
      <c r="AP337" s="413"/>
      <c r="AQ337" s="413"/>
      <c r="AR337" s="413"/>
      <c r="AS337" s="216"/>
      <c r="AT337" s="17" t="s">
        <v>4</v>
      </c>
      <c r="AU337" s="17" t="s">
        <v>276</v>
      </c>
      <c r="AV337" s="17" t="s">
        <v>277</v>
      </c>
      <c r="AW337" s="17" t="s">
        <v>278</v>
      </c>
      <c r="AX337" s="17" t="s">
        <v>269</v>
      </c>
      <c r="AY337" s="17" t="s">
        <v>270</v>
      </c>
      <c r="AZ337" s="22" t="s">
        <v>266</v>
      </c>
      <c r="BA337" s="237"/>
      <c r="BB337" s="238"/>
      <c r="BC337" s="17" t="s">
        <v>261</v>
      </c>
      <c r="BD337" s="17" t="s">
        <v>279</v>
      </c>
      <c r="BE337" s="17" t="s">
        <v>262</v>
      </c>
      <c r="BF337" s="216"/>
      <c r="BG337" s="216"/>
    </row>
    <row r="338" spans="1:59" ht="15.75" hidden="1" customHeight="1">
      <c r="A338" s="216"/>
      <c r="B338" s="414"/>
      <c r="C338" s="414"/>
      <c r="D338" s="414"/>
      <c r="E338" s="240"/>
      <c r="F338" s="241"/>
      <c r="G338" s="240"/>
      <c r="H338" s="420"/>
      <c r="I338" s="429"/>
      <c r="J338" s="330" t="s">
        <v>280</v>
      </c>
      <c r="K338" s="330" t="s">
        <v>281</v>
      </c>
      <c r="L338" s="18" t="s">
        <v>282</v>
      </c>
      <c r="M338" s="18" t="s">
        <v>283</v>
      </c>
      <c r="N338" s="330" t="s">
        <v>284</v>
      </c>
      <c r="O338" s="331" t="s">
        <v>285</v>
      </c>
      <c r="P338" s="18" t="s">
        <v>286</v>
      </c>
      <c r="Q338" s="56"/>
      <c r="R338" s="56" t="s">
        <v>282</v>
      </c>
      <c r="S338" s="56" t="s">
        <v>287</v>
      </c>
      <c r="T338" s="56" t="s">
        <v>288</v>
      </c>
      <c r="U338" s="18" t="s">
        <v>289</v>
      </c>
      <c r="V338" s="330" t="s">
        <v>290</v>
      </c>
      <c r="W338" s="18" t="s">
        <v>286</v>
      </c>
      <c r="X338" s="429"/>
      <c r="Y338" s="429"/>
      <c r="Z338" s="330"/>
      <c r="AA338" s="330"/>
      <c r="AB338" s="330"/>
      <c r="AC338" s="330"/>
      <c r="AD338" s="330"/>
      <c r="AE338" s="18"/>
      <c r="AF338" s="330"/>
      <c r="AG338" s="330"/>
      <c r="AH338" s="429"/>
      <c r="AI338" s="56"/>
      <c r="AJ338" s="56"/>
      <c r="AK338" s="56"/>
      <c r="AL338" s="429"/>
      <c r="AM338" s="429"/>
      <c r="AN338" s="428"/>
      <c r="AO338" s="414"/>
      <c r="AP338" s="414"/>
      <c r="AQ338" s="414"/>
      <c r="AR338" s="414"/>
      <c r="AS338" s="216"/>
      <c r="AT338" s="240"/>
      <c r="AU338" s="240"/>
      <c r="AV338" s="240"/>
      <c r="AW338" s="240"/>
      <c r="AX338" s="240"/>
      <c r="AY338" s="240"/>
      <c r="AZ338" s="25" t="s">
        <v>298</v>
      </c>
      <c r="BA338" s="25" t="s">
        <v>299</v>
      </c>
      <c r="BB338" s="25" t="s">
        <v>281</v>
      </c>
      <c r="BC338" s="240"/>
      <c r="BD338" s="240"/>
      <c r="BE338" s="240"/>
      <c r="BF338" s="216"/>
      <c r="BG338" s="216"/>
    </row>
    <row r="339" spans="1:59" ht="15.75" hidden="1" customHeight="1">
      <c r="A339" s="216"/>
      <c r="B339" s="27">
        <v>1</v>
      </c>
      <c r="C339" s="28" t="s">
        <v>608</v>
      </c>
      <c r="D339" s="29" t="s">
        <v>609</v>
      </c>
      <c r="E339" s="27" t="s">
        <v>57</v>
      </c>
      <c r="F339" s="28" t="s">
        <v>610</v>
      </c>
      <c r="G339" s="27" t="s">
        <v>222</v>
      </c>
      <c r="H339" s="332" t="s">
        <v>32</v>
      </c>
      <c r="I339" s="16">
        <f t="shared" ref="I339:I468" si="380">IF(H339="FULL - EXISTING",3066580,3066580/O339*N339)</f>
        <v>3066580</v>
      </c>
      <c r="J339" s="16">
        <v>213194.592</v>
      </c>
      <c r="K339" s="16">
        <v>136663.20000000001</v>
      </c>
      <c r="L339" s="16">
        <f>500000+550000+550000+500000+781000</f>
        <v>2881000</v>
      </c>
      <c r="M339" s="16"/>
      <c r="N339" s="21">
        <f ca="1">IFERROR(__xludf.DUMMYFUNCTION("VLOOKUP(C339,IMPORTRANGE(""https://docs.google.com/spreadsheets/d/1rQ2O3to3MCxQ4eTnJ5b4WStW3zTBTYg21JZurI75aCM/edit?gid=1410613181#gid=1410613181"",""DATA_ABSEN_DES24""),39,0)"),21)</f>
        <v>21</v>
      </c>
      <c r="O339" s="334">
        <f ca="1">IFERROR(__xludf.DUMMYFUNCTION("VLOOKUP(C339,IMPORTRANGE(""https://docs.google.com/spreadsheets/d/1rQ2O3to3MCxQ4eTnJ5b4WStW3zTBTYg21JZurI75aCM/edit?gid=1410613181#gid=1410613181"",""DATA_ABSEN_DES24""),40,0)"),20)</f>
        <v>20</v>
      </c>
      <c r="P339" s="16">
        <f t="shared" ref="P339:P468" ca="1" si="381">L339+(M339*N339)</f>
        <v>2881000</v>
      </c>
      <c r="Q339" s="16"/>
      <c r="R339" s="16">
        <f t="shared" ref="R339:R468" si="382">I339+J339+K339+L339+(M339*Q339)</f>
        <v>6297437.7920000004</v>
      </c>
      <c r="S339" s="16">
        <f t="shared" ref="S339:S468" ca="1" si="383">I339+J339+K339+P339</f>
        <v>6297437.7920000004</v>
      </c>
      <c r="T339" s="16">
        <f t="shared" ref="T339:T468" ca="1" si="384">IF(R339-S339&lt;0,R339-S339,0)</f>
        <v>0</v>
      </c>
      <c r="U339" s="16">
        <v>100810</v>
      </c>
      <c r="V339" s="21">
        <f ca="1">IFERROR(__xludf.DUMMYFUNCTION("VLOOKUP(C339,IMPORTRANGE(""https://docs.google.com/spreadsheets/d/1rQ2O3to3MCxQ4eTnJ5b4WStW3zTBTYg21JZurI75aCM/edit?gid=1410613181#gid=1410613181"",""DATA_ABSEN_DES24""),41,0)"),0)</f>
        <v>0</v>
      </c>
      <c r="W339" s="16">
        <f t="shared" ref="W339:W468" ca="1" si="385">U339*V339</f>
        <v>0</v>
      </c>
      <c r="X339" s="16">
        <v>0</v>
      </c>
      <c r="Y339" s="16">
        <f t="shared" ref="Y339:Y468" ca="1" si="386">I339+J339+K339+P339+W339+X339</f>
        <v>6297437.7920000004</v>
      </c>
      <c r="Z339" s="21"/>
      <c r="AA339" s="21"/>
      <c r="AB339" s="21"/>
      <c r="AC339" s="21"/>
      <c r="AD339" s="21"/>
      <c r="AE339" s="16"/>
      <c r="AF339" s="16"/>
      <c r="AG339" s="16"/>
      <c r="AH339" s="16"/>
      <c r="AI339" s="16"/>
      <c r="AJ339" s="16"/>
      <c r="AK339" s="16"/>
      <c r="AL339" s="16"/>
      <c r="AM339" s="16"/>
      <c r="AN339" s="335">
        <f t="shared" ref="AN339:AN468" ca="1" si="387">Y339-AM339</f>
        <v>6297437.7920000004</v>
      </c>
      <c r="AO339" s="20">
        <f t="shared" ref="AO339:AO468" ca="1" si="388">BE339</f>
        <v>0</v>
      </c>
      <c r="AP339" s="20">
        <f t="shared" ref="AP339:AP468" ca="1" si="389">AN339-AO339</f>
        <v>6297437.7920000004</v>
      </c>
      <c r="AQ339" s="20">
        <f t="shared" ref="AQ339:AQ468" ca="1" si="390">AP339-X339</f>
        <v>6297437.7920000004</v>
      </c>
      <c r="AR339" s="20">
        <f t="shared" ref="AR339:AR468" ca="1" si="391">ROUND(AQ339,-2)</f>
        <v>6297400</v>
      </c>
      <c r="AS339" s="216"/>
      <c r="AT339" s="30" t="s">
        <v>18</v>
      </c>
      <c r="AU339" s="30" t="str">
        <f>VLOOKUP(AT339,TER!$R$2:$S$10,2,0)</f>
        <v>B</v>
      </c>
      <c r="AV339" s="20">
        <f t="shared" ref="AV339:AV467" si="392">I339</f>
        <v>3066580</v>
      </c>
      <c r="AW339" s="20">
        <f t="shared" ref="AW339:AW467" ca="1" si="393">P339</f>
        <v>2881000</v>
      </c>
      <c r="AX339" s="20">
        <f t="shared" ref="AX339:AY339" ca="1" si="394">W339</f>
        <v>0</v>
      </c>
      <c r="AY339" s="20">
        <f t="shared" si="394"/>
        <v>0</v>
      </c>
      <c r="AZ339" s="20">
        <f t="shared" ref="AZ339:AZ467" si="395">IF(J339=0,0,AV339*0.24%)</f>
        <v>7359.7919999999995</v>
      </c>
      <c r="BA339" s="20">
        <f t="shared" ref="BA339:BA467" si="396">IF(J339=0,0,AV339*0.3%)</f>
        <v>9199.74</v>
      </c>
      <c r="BB339" s="20">
        <f t="shared" ref="BB339:BB467" si="397">IF(K339=0,0,AV339*4%)</f>
        <v>122663.2</v>
      </c>
      <c r="BC339" s="20">
        <f t="shared" ref="BC339:BC467" ca="1" si="398">SUM(AV339:BB339)</f>
        <v>6086802.7320000008</v>
      </c>
      <c r="BD339" s="37">
        <f ca="1">IF(AU339="C",VLOOKUP(BC339,TER!$J$4:$L$50,3,TRUE),IF(AU339="B",VLOOKUP(BC339,TER!$F$4:$H$50,3,TRUE),IF(AU339="A",VLOOKUP(BC339,TER!$B$4:$D$50,3,TRUE),"ERROR")))</f>
        <v>0</v>
      </c>
      <c r="BE339" s="20">
        <f t="shared" ref="BE339:BE467" ca="1" si="399">BC339*BD339</f>
        <v>0</v>
      </c>
      <c r="BF339" s="216"/>
      <c r="BG339" s="216"/>
    </row>
    <row r="340" spans="1:59" ht="15.75" hidden="1" customHeight="1">
      <c r="A340" s="216"/>
      <c r="B340" s="27">
        <v>2</v>
      </c>
      <c r="C340" s="28" t="s">
        <v>611</v>
      </c>
      <c r="D340" s="29" t="s">
        <v>612</v>
      </c>
      <c r="E340" s="27" t="s">
        <v>57</v>
      </c>
      <c r="F340" s="28" t="s">
        <v>613</v>
      </c>
      <c r="G340" s="27" t="s">
        <v>31</v>
      </c>
      <c r="H340" s="332" t="s">
        <v>32</v>
      </c>
      <c r="I340" s="16">
        <f t="shared" si="380"/>
        <v>3066580</v>
      </c>
      <c r="J340" s="16">
        <v>191354.592</v>
      </c>
      <c r="K340" s="16">
        <v>122663.2</v>
      </c>
      <c r="L340" s="16">
        <v>200000</v>
      </c>
      <c r="M340" s="16">
        <f>(724500+420000)/21</f>
        <v>54500</v>
      </c>
      <c r="N340" s="21">
        <f ca="1">IFERROR(__xludf.DUMMYFUNCTION("VLOOKUP(C340,IMPORTRANGE(""https://docs.google.com/spreadsheets/d/1rQ2O3to3MCxQ4eTnJ5b4WStW3zTBTYg21JZurI75aCM/edit?gid=1410613181#gid=1410613181"",""DATA_ABSEN_DES24""),39,0)"),21)</f>
        <v>21</v>
      </c>
      <c r="O340" s="334">
        <f ca="1">IFERROR(__xludf.DUMMYFUNCTION("VLOOKUP(C340,IMPORTRANGE(""https://docs.google.com/spreadsheets/d/1rQ2O3to3MCxQ4eTnJ5b4WStW3zTBTYg21JZurI75aCM/edit?gid=1410613181#gid=1410613181"",""DATA_ABSEN_DES24""),40,0)"),20)</f>
        <v>20</v>
      </c>
      <c r="P340" s="16">
        <f t="shared" ca="1" si="381"/>
        <v>1344500</v>
      </c>
      <c r="Q340" s="16">
        <v>21</v>
      </c>
      <c r="R340" s="16">
        <f t="shared" si="382"/>
        <v>4725097.7920000004</v>
      </c>
      <c r="S340" s="16">
        <f t="shared" ca="1" si="383"/>
        <v>4725097.7920000004</v>
      </c>
      <c r="T340" s="16">
        <f t="shared" ca="1" si="384"/>
        <v>0</v>
      </c>
      <c r="U340" s="16">
        <v>100810</v>
      </c>
      <c r="V340" s="21">
        <f ca="1">IFERROR(__xludf.DUMMYFUNCTION("VLOOKUP(C340,IMPORTRANGE(""https://docs.google.com/spreadsheets/d/1rQ2O3to3MCxQ4eTnJ5b4WStW3zTBTYg21JZurI75aCM/edit?gid=1410613181#gid=1410613181"",""DATA_ABSEN_DES24""),41,0)"),0)</f>
        <v>0</v>
      </c>
      <c r="W340" s="16">
        <f t="shared" ca="1" si="385"/>
        <v>0</v>
      </c>
      <c r="X340" s="16">
        <v>0</v>
      </c>
      <c r="Y340" s="16">
        <f t="shared" ca="1" si="386"/>
        <v>4725097.7920000004</v>
      </c>
      <c r="Z340" s="21"/>
      <c r="AA340" s="21"/>
      <c r="AB340" s="21"/>
      <c r="AC340" s="21"/>
      <c r="AD340" s="21"/>
      <c r="AE340" s="16"/>
      <c r="AF340" s="16"/>
      <c r="AG340" s="16"/>
      <c r="AH340" s="16"/>
      <c r="AI340" s="16"/>
      <c r="AJ340" s="16"/>
      <c r="AK340" s="16"/>
      <c r="AL340" s="16"/>
      <c r="AM340" s="16"/>
      <c r="AN340" s="335">
        <f t="shared" ca="1" si="387"/>
        <v>4725097.7920000004</v>
      </c>
      <c r="AO340" s="20">
        <f t="shared" ca="1" si="388"/>
        <v>0</v>
      </c>
      <c r="AP340" s="20">
        <f t="shared" ca="1" si="389"/>
        <v>4725097.7920000004</v>
      </c>
      <c r="AQ340" s="20">
        <f t="shared" ca="1" si="390"/>
        <v>4725097.7920000004</v>
      </c>
      <c r="AR340" s="20">
        <f t="shared" ca="1" si="391"/>
        <v>4725100</v>
      </c>
      <c r="AS340" s="216"/>
      <c r="AT340" s="30" t="s">
        <v>17</v>
      </c>
      <c r="AU340" s="30" t="str">
        <f>VLOOKUP(AT340,TER!$R$2:$S$10,2,0)</f>
        <v>B</v>
      </c>
      <c r="AV340" s="20">
        <f t="shared" si="392"/>
        <v>3066580</v>
      </c>
      <c r="AW340" s="20">
        <f t="shared" ca="1" si="393"/>
        <v>1344500</v>
      </c>
      <c r="AX340" s="20">
        <f t="shared" ref="AX340:AY340" ca="1" si="400">W340</f>
        <v>0</v>
      </c>
      <c r="AY340" s="20">
        <f t="shared" si="400"/>
        <v>0</v>
      </c>
      <c r="AZ340" s="20">
        <f t="shared" si="395"/>
        <v>7359.7919999999995</v>
      </c>
      <c r="BA340" s="20">
        <f t="shared" si="396"/>
        <v>9199.74</v>
      </c>
      <c r="BB340" s="20">
        <f t="shared" si="397"/>
        <v>122663.2</v>
      </c>
      <c r="BC340" s="20">
        <f t="shared" ca="1" si="398"/>
        <v>4550302.7320000008</v>
      </c>
      <c r="BD340" s="37">
        <f ca="1">IF(AU340="C",VLOOKUP(BC340,TER!$J$4:$L$50,3,TRUE),IF(AU340="B",VLOOKUP(BC340,TER!$F$4:$H$50,3,TRUE),IF(AU340="A",VLOOKUP(BC340,TER!$B$4:$D$50,3,TRUE),"ERROR")))</f>
        <v>0</v>
      </c>
      <c r="BE340" s="20">
        <f t="shared" ca="1" si="399"/>
        <v>0</v>
      </c>
      <c r="BF340" s="216"/>
      <c r="BG340" s="216"/>
    </row>
    <row r="341" spans="1:59" ht="15.75" hidden="1" customHeight="1">
      <c r="A341" s="216"/>
      <c r="B341" s="27">
        <v>3</v>
      </c>
      <c r="C341" s="28" t="s">
        <v>614</v>
      </c>
      <c r="D341" s="29" t="s">
        <v>615</v>
      </c>
      <c r="E341" s="27" t="s">
        <v>57</v>
      </c>
      <c r="F341" s="28" t="s">
        <v>616</v>
      </c>
      <c r="G341" s="27" t="s">
        <v>94</v>
      </c>
      <c r="H341" s="332" t="s">
        <v>32</v>
      </c>
      <c r="I341" s="16">
        <f t="shared" si="380"/>
        <v>3066580</v>
      </c>
      <c r="J341" s="16">
        <v>191354.592</v>
      </c>
      <c r="K341" s="16">
        <v>122663.2</v>
      </c>
      <c r="L341" s="16">
        <f>200000+250000</f>
        <v>450000</v>
      </c>
      <c r="M341" s="16">
        <f>(724500+472500)/21</f>
        <v>57000</v>
      </c>
      <c r="N341" s="21">
        <f ca="1">IFERROR(__xludf.DUMMYFUNCTION("VLOOKUP(C341,IMPORTRANGE(""https://docs.google.com/spreadsheets/d/1rQ2O3to3MCxQ4eTnJ5b4WStW3zTBTYg21JZurI75aCM/edit?gid=1410613181#gid=1410613181"",""DATA_ABSEN_DES24""),39,0)"),21)</f>
        <v>21</v>
      </c>
      <c r="O341" s="334">
        <f ca="1">IFERROR(__xludf.DUMMYFUNCTION("VLOOKUP(C341,IMPORTRANGE(""https://docs.google.com/spreadsheets/d/1rQ2O3to3MCxQ4eTnJ5b4WStW3zTBTYg21JZurI75aCM/edit?gid=1410613181#gid=1410613181"",""DATA_ABSEN_DES24""),40,0)"),20)</f>
        <v>20</v>
      </c>
      <c r="P341" s="16">
        <f t="shared" ca="1" si="381"/>
        <v>1647000</v>
      </c>
      <c r="Q341" s="16">
        <v>21</v>
      </c>
      <c r="R341" s="16">
        <f t="shared" si="382"/>
        <v>5027597.7920000004</v>
      </c>
      <c r="S341" s="16">
        <f t="shared" ca="1" si="383"/>
        <v>5027597.7920000004</v>
      </c>
      <c r="T341" s="16">
        <f t="shared" ca="1" si="384"/>
        <v>0</v>
      </c>
      <c r="U341" s="16">
        <v>100810</v>
      </c>
      <c r="V341" s="21">
        <f ca="1">IFERROR(__xludf.DUMMYFUNCTION("VLOOKUP(C341,IMPORTRANGE(""https://docs.google.com/spreadsheets/d/1rQ2O3to3MCxQ4eTnJ5b4WStW3zTBTYg21JZurI75aCM/edit?gid=1410613181#gid=1410613181"",""DATA_ABSEN_DES24""),41,0)"),0)</f>
        <v>0</v>
      </c>
      <c r="W341" s="16">
        <f t="shared" ca="1" si="385"/>
        <v>0</v>
      </c>
      <c r="X341" s="16">
        <v>0</v>
      </c>
      <c r="Y341" s="16">
        <f t="shared" ca="1" si="386"/>
        <v>5027597.7920000004</v>
      </c>
      <c r="Z341" s="21"/>
      <c r="AA341" s="21"/>
      <c r="AB341" s="21"/>
      <c r="AC341" s="21"/>
      <c r="AD341" s="21"/>
      <c r="AE341" s="16"/>
      <c r="AF341" s="16"/>
      <c r="AG341" s="16"/>
      <c r="AH341" s="16"/>
      <c r="AI341" s="16"/>
      <c r="AJ341" s="16"/>
      <c r="AK341" s="16"/>
      <c r="AL341" s="16"/>
      <c r="AM341" s="16"/>
      <c r="AN341" s="335">
        <f t="shared" ca="1" si="387"/>
        <v>5027597.7920000004</v>
      </c>
      <c r="AO341" s="20">
        <f t="shared" ca="1" si="388"/>
        <v>0</v>
      </c>
      <c r="AP341" s="20">
        <f t="shared" ca="1" si="389"/>
        <v>5027597.7920000004</v>
      </c>
      <c r="AQ341" s="20">
        <f t="shared" ca="1" si="390"/>
        <v>5027597.7920000004</v>
      </c>
      <c r="AR341" s="20">
        <f t="shared" ca="1" si="391"/>
        <v>5027600</v>
      </c>
      <c r="AS341" s="216"/>
      <c r="AT341" s="30" t="s">
        <v>8</v>
      </c>
      <c r="AU341" s="30" t="str">
        <f>VLOOKUP(AT341,TER!$R$2:$S$10,2,0)</f>
        <v>C</v>
      </c>
      <c r="AV341" s="20">
        <f t="shared" si="392"/>
        <v>3066580</v>
      </c>
      <c r="AW341" s="20">
        <f t="shared" ca="1" si="393"/>
        <v>1647000</v>
      </c>
      <c r="AX341" s="20">
        <f t="shared" ref="AX341:AY341" ca="1" si="401">W341</f>
        <v>0</v>
      </c>
      <c r="AY341" s="20">
        <f t="shared" si="401"/>
        <v>0</v>
      </c>
      <c r="AZ341" s="20">
        <f t="shared" si="395"/>
        <v>7359.7919999999995</v>
      </c>
      <c r="BA341" s="20">
        <f t="shared" si="396"/>
        <v>9199.74</v>
      </c>
      <c r="BB341" s="20">
        <f t="shared" si="397"/>
        <v>122663.2</v>
      </c>
      <c r="BC341" s="20">
        <f t="shared" ca="1" si="398"/>
        <v>4852802.7320000008</v>
      </c>
      <c r="BD341" s="37">
        <f ca="1">IF(AU341="C",VLOOKUP(BC341,TER!$J$4:$L$50,3,TRUE),IF(AU341="B",VLOOKUP(BC341,TER!$F$4:$H$50,3,TRUE),IF(AU341="A",VLOOKUP(BC341,TER!$B$4:$D$50,3,TRUE),"ERROR")))</f>
        <v>0</v>
      </c>
      <c r="BE341" s="20">
        <f t="shared" ca="1" si="399"/>
        <v>0</v>
      </c>
      <c r="BF341" s="216"/>
      <c r="BG341" s="216"/>
    </row>
    <row r="342" spans="1:59" ht="15.75" hidden="1" customHeight="1">
      <c r="A342" s="216"/>
      <c r="B342" s="27">
        <v>4</v>
      </c>
      <c r="C342" s="28" t="s">
        <v>617</v>
      </c>
      <c r="D342" s="29" t="s">
        <v>618</v>
      </c>
      <c r="E342" s="27" t="s">
        <v>57</v>
      </c>
      <c r="F342" s="28" t="s">
        <v>619</v>
      </c>
      <c r="G342" s="27" t="s">
        <v>31</v>
      </c>
      <c r="H342" s="332" t="s">
        <v>32</v>
      </c>
      <c r="I342" s="16">
        <f t="shared" si="380"/>
        <v>3066580</v>
      </c>
      <c r="J342" s="16">
        <v>191354.592</v>
      </c>
      <c r="K342" s="16">
        <v>122663.2</v>
      </c>
      <c r="L342" s="16">
        <v>200000</v>
      </c>
      <c r="M342" s="16">
        <f t="shared" ref="M342:M365" si="402">(724500+420000)/21</f>
        <v>54500</v>
      </c>
      <c r="N342" s="21">
        <f ca="1">IFERROR(__xludf.DUMMYFUNCTION("VLOOKUP(C342,IMPORTRANGE(""https://docs.google.com/spreadsheets/d/1rQ2O3to3MCxQ4eTnJ5b4WStW3zTBTYg21JZurI75aCM/edit?gid=1410613181#gid=1410613181"",""DATA_ABSEN_DES24""),39,0)"),20)</f>
        <v>20</v>
      </c>
      <c r="O342" s="334">
        <f ca="1">IFERROR(__xludf.DUMMYFUNCTION("VLOOKUP(C342,IMPORTRANGE(""https://docs.google.com/spreadsheets/d/1rQ2O3to3MCxQ4eTnJ5b4WStW3zTBTYg21JZurI75aCM/edit?gid=1410613181#gid=1410613181"",""DATA_ABSEN_DES24""),40,0)"),20)</f>
        <v>20</v>
      </c>
      <c r="P342" s="16">
        <f t="shared" ca="1" si="381"/>
        <v>1290000</v>
      </c>
      <c r="Q342" s="16">
        <v>21</v>
      </c>
      <c r="R342" s="16">
        <f t="shared" si="382"/>
        <v>4725097.7920000004</v>
      </c>
      <c r="S342" s="16">
        <f t="shared" ca="1" si="383"/>
        <v>4670597.7920000004</v>
      </c>
      <c r="T342" s="16">
        <f t="shared" ca="1" si="384"/>
        <v>0</v>
      </c>
      <c r="U342" s="16">
        <v>100810</v>
      </c>
      <c r="V342" s="21">
        <f ca="1">IFERROR(__xludf.DUMMYFUNCTION("VLOOKUP(C342,IMPORTRANGE(""https://docs.google.com/spreadsheets/d/1rQ2O3to3MCxQ4eTnJ5b4WStW3zTBTYg21JZurI75aCM/edit?gid=1410613181#gid=1410613181"",""DATA_ABSEN_DES24""),41,0)"),0)</f>
        <v>0</v>
      </c>
      <c r="W342" s="16">
        <f t="shared" ca="1" si="385"/>
        <v>0</v>
      </c>
      <c r="X342" s="16">
        <v>0</v>
      </c>
      <c r="Y342" s="16">
        <f t="shared" ca="1" si="386"/>
        <v>4670597.7920000004</v>
      </c>
      <c r="Z342" s="21"/>
      <c r="AA342" s="21"/>
      <c r="AB342" s="21"/>
      <c r="AC342" s="21"/>
      <c r="AD342" s="21"/>
      <c r="AE342" s="16"/>
      <c r="AF342" s="16"/>
      <c r="AG342" s="16"/>
      <c r="AH342" s="16"/>
      <c r="AI342" s="16"/>
      <c r="AJ342" s="16"/>
      <c r="AK342" s="16"/>
      <c r="AL342" s="16"/>
      <c r="AM342" s="16"/>
      <c r="AN342" s="335">
        <f t="shared" ca="1" si="387"/>
        <v>4670597.7920000004</v>
      </c>
      <c r="AO342" s="20">
        <f t="shared" ca="1" si="388"/>
        <v>0</v>
      </c>
      <c r="AP342" s="20">
        <f t="shared" ca="1" si="389"/>
        <v>4670597.7920000004</v>
      </c>
      <c r="AQ342" s="20">
        <f t="shared" ca="1" si="390"/>
        <v>4670597.7920000004</v>
      </c>
      <c r="AR342" s="20">
        <f t="shared" ca="1" si="391"/>
        <v>4670600</v>
      </c>
      <c r="AS342" s="216"/>
      <c r="AT342" s="30" t="s">
        <v>13</v>
      </c>
      <c r="AU342" s="30" t="str">
        <f>VLOOKUP(AT342,TER!$R$2:$S$10,2,0)</f>
        <v>A</v>
      </c>
      <c r="AV342" s="20">
        <f t="shared" si="392"/>
        <v>3066580</v>
      </c>
      <c r="AW342" s="20">
        <f t="shared" ca="1" si="393"/>
        <v>1290000</v>
      </c>
      <c r="AX342" s="20">
        <f t="shared" ref="AX342:AY342" ca="1" si="403">W342</f>
        <v>0</v>
      </c>
      <c r="AY342" s="20">
        <f t="shared" si="403"/>
        <v>0</v>
      </c>
      <c r="AZ342" s="20">
        <f t="shared" si="395"/>
        <v>7359.7919999999995</v>
      </c>
      <c r="BA342" s="20">
        <f t="shared" si="396"/>
        <v>9199.74</v>
      </c>
      <c r="BB342" s="20">
        <f t="shared" si="397"/>
        <v>122663.2</v>
      </c>
      <c r="BC342" s="20">
        <f t="shared" ca="1" si="398"/>
        <v>4495802.7320000008</v>
      </c>
      <c r="BD342" s="37">
        <f ca="1">IF(AU342="C",VLOOKUP(BC342,TER!$J$4:$L$50,3,TRUE),IF(AU342="B",VLOOKUP(BC342,TER!$F$4:$H$50,3,TRUE),IF(AU342="A",VLOOKUP(BC342,TER!$B$4:$D$50,3,TRUE),"ERROR")))</f>
        <v>0</v>
      </c>
      <c r="BE342" s="20">
        <f t="shared" ca="1" si="399"/>
        <v>0</v>
      </c>
      <c r="BF342" s="216"/>
      <c r="BG342" s="216"/>
    </row>
    <row r="343" spans="1:59" ht="15.75" hidden="1" customHeight="1">
      <c r="A343" s="216"/>
      <c r="B343" s="27">
        <v>5</v>
      </c>
      <c r="C343" s="28" t="s">
        <v>620</v>
      </c>
      <c r="D343" s="29" t="s">
        <v>621</v>
      </c>
      <c r="E343" s="27" t="s">
        <v>57</v>
      </c>
      <c r="F343" s="28" t="s">
        <v>622</v>
      </c>
      <c r="G343" s="27" t="s">
        <v>31</v>
      </c>
      <c r="H343" s="332" t="s">
        <v>32</v>
      </c>
      <c r="I343" s="16">
        <f t="shared" si="380"/>
        <v>3066580</v>
      </c>
      <c r="J343" s="348">
        <v>191354.592</v>
      </c>
      <c r="K343" s="348">
        <v>122663.2</v>
      </c>
      <c r="L343" s="16">
        <v>200000</v>
      </c>
      <c r="M343" s="16">
        <f t="shared" si="402"/>
        <v>54500</v>
      </c>
      <c r="N343" s="21">
        <f ca="1">IFERROR(__xludf.DUMMYFUNCTION("VLOOKUP(C343,IMPORTRANGE(""https://docs.google.com/spreadsheets/d/1rQ2O3to3MCxQ4eTnJ5b4WStW3zTBTYg21JZurI75aCM/edit?gid=1410613181#gid=1410613181"",""DATA_ABSEN_DES24""),39,0)"),21)</f>
        <v>21</v>
      </c>
      <c r="O343" s="334">
        <f ca="1">IFERROR(__xludf.DUMMYFUNCTION("VLOOKUP(C343,IMPORTRANGE(""https://docs.google.com/spreadsheets/d/1rQ2O3to3MCxQ4eTnJ5b4WStW3zTBTYg21JZurI75aCM/edit?gid=1410613181#gid=1410613181"",""DATA_ABSEN_DES24""),40,0)"),20)</f>
        <v>20</v>
      </c>
      <c r="P343" s="16">
        <f t="shared" ca="1" si="381"/>
        <v>1344500</v>
      </c>
      <c r="Q343" s="16">
        <v>21</v>
      </c>
      <c r="R343" s="16">
        <f t="shared" si="382"/>
        <v>4725097.7920000004</v>
      </c>
      <c r="S343" s="16">
        <f t="shared" ca="1" si="383"/>
        <v>4725097.7920000004</v>
      </c>
      <c r="T343" s="16">
        <f t="shared" ca="1" si="384"/>
        <v>0</v>
      </c>
      <c r="U343" s="16">
        <v>100810</v>
      </c>
      <c r="V343" s="21">
        <f ca="1">IFERROR(__xludf.DUMMYFUNCTION("VLOOKUP(C343,IMPORTRANGE(""https://docs.google.com/spreadsheets/d/1rQ2O3to3MCxQ4eTnJ5b4WStW3zTBTYg21JZurI75aCM/edit?gid=1410613181#gid=1410613181"",""DATA_ABSEN_DES24""),41,0)"),0)</f>
        <v>0</v>
      </c>
      <c r="W343" s="16">
        <f t="shared" ca="1" si="385"/>
        <v>0</v>
      </c>
      <c r="X343" s="16">
        <v>0</v>
      </c>
      <c r="Y343" s="16">
        <f t="shared" ca="1" si="386"/>
        <v>4725097.7920000004</v>
      </c>
      <c r="Z343" s="21"/>
      <c r="AA343" s="21"/>
      <c r="AB343" s="21"/>
      <c r="AC343" s="21"/>
      <c r="AD343" s="21"/>
      <c r="AE343" s="16"/>
      <c r="AF343" s="16"/>
      <c r="AG343" s="16"/>
      <c r="AH343" s="16"/>
      <c r="AI343" s="16"/>
      <c r="AJ343" s="16"/>
      <c r="AK343" s="16"/>
      <c r="AL343" s="16"/>
      <c r="AM343" s="16"/>
      <c r="AN343" s="335">
        <f t="shared" ca="1" si="387"/>
        <v>4725097.7920000004</v>
      </c>
      <c r="AO343" s="20">
        <f t="shared" ca="1" si="388"/>
        <v>0</v>
      </c>
      <c r="AP343" s="20">
        <f t="shared" ca="1" si="389"/>
        <v>4725097.7920000004</v>
      </c>
      <c r="AQ343" s="20">
        <f t="shared" ca="1" si="390"/>
        <v>4725097.7920000004</v>
      </c>
      <c r="AR343" s="20">
        <f t="shared" ca="1" si="391"/>
        <v>4725100</v>
      </c>
      <c r="AS343" s="216"/>
      <c r="AT343" s="27" t="s">
        <v>18</v>
      </c>
      <c r="AU343" s="30" t="str">
        <f>VLOOKUP(AT343,TER!$R$2:$S$10,2,0)</f>
        <v>B</v>
      </c>
      <c r="AV343" s="20">
        <f t="shared" si="392"/>
        <v>3066580</v>
      </c>
      <c r="AW343" s="20">
        <f t="shared" ca="1" si="393"/>
        <v>1344500</v>
      </c>
      <c r="AX343" s="20">
        <f t="shared" ref="AX343:AY343" ca="1" si="404">W343</f>
        <v>0</v>
      </c>
      <c r="AY343" s="20">
        <f t="shared" si="404"/>
        <v>0</v>
      </c>
      <c r="AZ343" s="20">
        <f t="shared" si="395"/>
        <v>7359.7919999999995</v>
      </c>
      <c r="BA343" s="20">
        <f t="shared" si="396"/>
        <v>9199.74</v>
      </c>
      <c r="BB343" s="20">
        <f t="shared" si="397"/>
        <v>122663.2</v>
      </c>
      <c r="BC343" s="20">
        <f t="shared" ca="1" si="398"/>
        <v>4550302.7320000008</v>
      </c>
      <c r="BD343" s="37">
        <f ca="1">IF(AU343="C",VLOOKUP(BC343,TER!$J$4:$L$50,3,TRUE),IF(AU343="B",VLOOKUP(BC343,TER!$F$4:$H$50,3,TRUE),IF(AU343="A",VLOOKUP(BC343,TER!$B$4:$D$50,3,TRUE),"ERROR")))</f>
        <v>0</v>
      </c>
      <c r="BE343" s="20">
        <f t="shared" ca="1" si="399"/>
        <v>0</v>
      </c>
      <c r="BF343" s="216"/>
      <c r="BG343" s="216"/>
    </row>
    <row r="344" spans="1:59" ht="15.75" hidden="1" customHeight="1">
      <c r="A344" s="216"/>
      <c r="B344" s="27">
        <v>6</v>
      </c>
      <c r="C344" s="28" t="s">
        <v>623</v>
      </c>
      <c r="D344" s="29" t="s">
        <v>624</v>
      </c>
      <c r="E344" s="27" t="s">
        <v>57</v>
      </c>
      <c r="F344" s="28" t="s">
        <v>625</v>
      </c>
      <c r="G344" s="27" t="s">
        <v>31</v>
      </c>
      <c r="H344" s="332" t="s">
        <v>32</v>
      </c>
      <c r="I344" s="16">
        <f t="shared" si="380"/>
        <v>3066580</v>
      </c>
      <c r="J344" s="16">
        <v>191354.592</v>
      </c>
      <c r="K344" s="16">
        <v>122663.2</v>
      </c>
      <c r="L344" s="16">
        <v>200000</v>
      </c>
      <c r="M344" s="16">
        <f t="shared" si="402"/>
        <v>54500</v>
      </c>
      <c r="N344" s="21">
        <f ca="1">IFERROR(__xludf.DUMMYFUNCTION("VLOOKUP(C344,IMPORTRANGE(""https://docs.google.com/spreadsheets/d/1rQ2O3to3MCxQ4eTnJ5b4WStW3zTBTYg21JZurI75aCM/edit?gid=1410613181#gid=1410613181"",""DATA_ABSEN_DES24""),39,0)"),21)</f>
        <v>21</v>
      </c>
      <c r="O344" s="334">
        <f ca="1">IFERROR(__xludf.DUMMYFUNCTION("VLOOKUP(C344,IMPORTRANGE(""https://docs.google.com/spreadsheets/d/1rQ2O3to3MCxQ4eTnJ5b4WStW3zTBTYg21JZurI75aCM/edit?gid=1410613181#gid=1410613181"",""DATA_ABSEN_DES24""),40,0)"),20)</f>
        <v>20</v>
      </c>
      <c r="P344" s="16">
        <f t="shared" ca="1" si="381"/>
        <v>1344500</v>
      </c>
      <c r="Q344" s="16">
        <v>21</v>
      </c>
      <c r="R344" s="16">
        <f t="shared" si="382"/>
        <v>4725097.7920000004</v>
      </c>
      <c r="S344" s="16">
        <f t="shared" ca="1" si="383"/>
        <v>4725097.7920000004</v>
      </c>
      <c r="T344" s="16">
        <f t="shared" ca="1" si="384"/>
        <v>0</v>
      </c>
      <c r="U344" s="16">
        <v>100810</v>
      </c>
      <c r="V344" s="21">
        <f ca="1">IFERROR(__xludf.DUMMYFUNCTION("VLOOKUP(C344,IMPORTRANGE(""https://docs.google.com/spreadsheets/d/1rQ2O3to3MCxQ4eTnJ5b4WStW3zTBTYg21JZurI75aCM/edit?gid=1410613181#gid=1410613181"",""DATA_ABSEN_DES24""),41,0)"),0)</f>
        <v>0</v>
      </c>
      <c r="W344" s="16">
        <f t="shared" ca="1" si="385"/>
        <v>0</v>
      </c>
      <c r="X344" s="16">
        <v>0</v>
      </c>
      <c r="Y344" s="16">
        <f t="shared" ca="1" si="386"/>
        <v>4725097.7920000004</v>
      </c>
      <c r="Z344" s="21"/>
      <c r="AA344" s="21"/>
      <c r="AB344" s="21"/>
      <c r="AC344" s="21"/>
      <c r="AD344" s="21"/>
      <c r="AE344" s="16"/>
      <c r="AF344" s="16"/>
      <c r="AG344" s="16"/>
      <c r="AH344" s="16"/>
      <c r="AI344" s="16"/>
      <c r="AJ344" s="16"/>
      <c r="AK344" s="16"/>
      <c r="AL344" s="16"/>
      <c r="AM344" s="16"/>
      <c r="AN344" s="335">
        <f t="shared" ca="1" si="387"/>
        <v>4725097.7920000004</v>
      </c>
      <c r="AO344" s="20">
        <f t="shared" ca="1" si="388"/>
        <v>0</v>
      </c>
      <c r="AP344" s="20">
        <f t="shared" ca="1" si="389"/>
        <v>4725097.7920000004</v>
      </c>
      <c r="AQ344" s="20">
        <f t="shared" ca="1" si="390"/>
        <v>4725097.7920000004</v>
      </c>
      <c r="AR344" s="20">
        <f t="shared" ca="1" si="391"/>
        <v>4725100</v>
      </c>
      <c r="AS344" s="216"/>
      <c r="AT344" s="30" t="s">
        <v>9</v>
      </c>
      <c r="AU344" s="30" t="str">
        <f>VLOOKUP(AT344,TER!$R$2:$S$10,2,0)</f>
        <v>A</v>
      </c>
      <c r="AV344" s="20">
        <f t="shared" si="392"/>
        <v>3066580</v>
      </c>
      <c r="AW344" s="20">
        <f t="shared" ca="1" si="393"/>
        <v>1344500</v>
      </c>
      <c r="AX344" s="20">
        <f t="shared" ref="AX344:AY344" ca="1" si="405">W344</f>
        <v>0</v>
      </c>
      <c r="AY344" s="20">
        <f t="shared" si="405"/>
        <v>0</v>
      </c>
      <c r="AZ344" s="20">
        <f t="shared" si="395"/>
        <v>7359.7919999999995</v>
      </c>
      <c r="BA344" s="20">
        <f t="shared" si="396"/>
        <v>9199.74</v>
      </c>
      <c r="BB344" s="20">
        <f t="shared" si="397"/>
        <v>122663.2</v>
      </c>
      <c r="BC344" s="20">
        <f t="shared" ca="1" si="398"/>
        <v>4550302.7320000008</v>
      </c>
      <c r="BD344" s="37">
        <f ca="1">IF(AU344="C",VLOOKUP(BC344,TER!$J$4:$L$50,3,TRUE),IF(AU344="B",VLOOKUP(BC344,TER!$F$4:$H$50,3,TRUE),IF(AU344="A",VLOOKUP(BC344,TER!$B$4:$D$50,3,TRUE),"ERROR")))</f>
        <v>0</v>
      </c>
      <c r="BE344" s="20">
        <f t="shared" ca="1" si="399"/>
        <v>0</v>
      </c>
      <c r="BF344" s="216"/>
      <c r="BG344" s="216"/>
    </row>
    <row r="345" spans="1:59" ht="15.75" hidden="1" customHeight="1">
      <c r="A345" s="216"/>
      <c r="B345" s="27">
        <v>7</v>
      </c>
      <c r="C345" s="28" t="s">
        <v>626</v>
      </c>
      <c r="D345" s="29" t="s">
        <v>627</v>
      </c>
      <c r="E345" s="27" t="s">
        <v>57</v>
      </c>
      <c r="F345" s="28" t="s">
        <v>628</v>
      </c>
      <c r="G345" s="27" t="s">
        <v>31</v>
      </c>
      <c r="H345" s="332" t="s">
        <v>32</v>
      </c>
      <c r="I345" s="16">
        <f t="shared" si="380"/>
        <v>3066580</v>
      </c>
      <c r="J345" s="16">
        <v>191354.592</v>
      </c>
      <c r="K345" s="16">
        <v>122663.2</v>
      </c>
      <c r="L345" s="16">
        <v>200000</v>
      </c>
      <c r="M345" s="16">
        <f t="shared" si="402"/>
        <v>54500</v>
      </c>
      <c r="N345" s="21">
        <f ca="1">IFERROR(__xludf.DUMMYFUNCTION("VLOOKUP(C345,IMPORTRANGE(""https://docs.google.com/spreadsheets/d/1rQ2O3to3MCxQ4eTnJ5b4WStW3zTBTYg21JZurI75aCM/edit?gid=1410613181#gid=1410613181"",""DATA_ABSEN_DES24""),39,0)"),21)</f>
        <v>21</v>
      </c>
      <c r="O345" s="334">
        <f ca="1">IFERROR(__xludf.DUMMYFUNCTION("VLOOKUP(C345,IMPORTRANGE(""https://docs.google.com/spreadsheets/d/1rQ2O3to3MCxQ4eTnJ5b4WStW3zTBTYg21JZurI75aCM/edit?gid=1410613181#gid=1410613181"",""DATA_ABSEN_DES24""),40,0)"),20)</f>
        <v>20</v>
      </c>
      <c r="P345" s="16">
        <f t="shared" ca="1" si="381"/>
        <v>1344500</v>
      </c>
      <c r="Q345" s="16">
        <v>21</v>
      </c>
      <c r="R345" s="16">
        <f t="shared" si="382"/>
        <v>4725097.7920000004</v>
      </c>
      <c r="S345" s="16">
        <f t="shared" ca="1" si="383"/>
        <v>4725097.7920000004</v>
      </c>
      <c r="T345" s="16">
        <f t="shared" ca="1" si="384"/>
        <v>0</v>
      </c>
      <c r="U345" s="16">
        <v>100810</v>
      </c>
      <c r="V345" s="21">
        <f ca="1">IFERROR(__xludf.DUMMYFUNCTION("VLOOKUP(C345,IMPORTRANGE(""https://docs.google.com/spreadsheets/d/1rQ2O3to3MCxQ4eTnJ5b4WStW3zTBTYg21JZurI75aCM/edit?gid=1410613181#gid=1410613181"",""DATA_ABSEN_DES24""),41,0)"),0)</f>
        <v>0</v>
      </c>
      <c r="W345" s="16">
        <f t="shared" ca="1" si="385"/>
        <v>0</v>
      </c>
      <c r="X345" s="16">
        <v>0</v>
      </c>
      <c r="Y345" s="16">
        <f t="shared" ca="1" si="386"/>
        <v>4725097.7920000004</v>
      </c>
      <c r="Z345" s="21"/>
      <c r="AA345" s="21"/>
      <c r="AB345" s="21"/>
      <c r="AC345" s="21"/>
      <c r="AD345" s="21"/>
      <c r="AE345" s="16"/>
      <c r="AF345" s="16"/>
      <c r="AG345" s="16"/>
      <c r="AH345" s="16"/>
      <c r="AI345" s="16"/>
      <c r="AJ345" s="16"/>
      <c r="AK345" s="16"/>
      <c r="AL345" s="16"/>
      <c r="AM345" s="16"/>
      <c r="AN345" s="335">
        <f t="shared" ca="1" si="387"/>
        <v>4725097.7920000004</v>
      </c>
      <c r="AO345" s="20">
        <f t="shared" ca="1" si="388"/>
        <v>0</v>
      </c>
      <c r="AP345" s="20">
        <f t="shared" ca="1" si="389"/>
        <v>4725097.7920000004</v>
      </c>
      <c r="AQ345" s="20">
        <f t="shared" ca="1" si="390"/>
        <v>4725097.7920000004</v>
      </c>
      <c r="AR345" s="20">
        <f t="shared" ca="1" si="391"/>
        <v>4725100</v>
      </c>
      <c r="AS345" s="216"/>
      <c r="AT345" s="30" t="s">
        <v>9</v>
      </c>
      <c r="AU345" s="30" t="str">
        <f>VLOOKUP(AT345,TER!$R$2:$S$10,2,0)</f>
        <v>A</v>
      </c>
      <c r="AV345" s="20">
        <f t="shared" si="392"/>
        <v>3066580</v>
      </c>
      <c r="AW345" s="20">
        <f t="shared" ca="1" si="393"/>
        <v>1344500</v>
      </c>
      <c r="AX345" s="20">
        <f t="shared" ref="AX345:AY345" ca="1" si="406">W345</f>
        <v>0</v>
      </c>
      <c r="AY345" s="20">
        <f t="shared" si="406"/>
        <v>0</v>
      </c>
      <c r="AZ345" s="20">
        <f t="shared" si="395"/>
        <v>7359.7919999999995</v>
      </c>
      <c r="BA345" s="20">
        <f t="shared" si="396"/>
        <v>9199.74</v>
      </c>
      <c r="BB345" s="20">
        <f t="shared" si="397"/>
        <v>122663.2</v>
      </c>
      <c r="BC345" s="20">
        <f t="shared" ca="1" si="398"/>
        <v>4550302.7320000008</v>
      </c>
      <c r="BD345" s="37">
        <f ca="1">IF(AU345="C",VLOOKUP(BC345,TER!$J$4:$L$50,3,TRUE),IF(AU345="B",VLOOKUP(BC345,TER!$F$4:$H$50,3,TRUE),IF(AU345="A",VLOOKUP(BC345,TER!$B$4:$D$50,3,TRUE),"ERROR")))</f>
        <v>0</v>
      </c>
      <c r="BE345" s="20">
        <f t="shared" ca="1" si="399"/>
        <v>0</v>
      </c>
      <c r="BF345" s="216"/>
      <c r="BG345" s="216"/>
    </row>
    <row r="346" spans="1:59" ht="15.75" hidden="1" customHeight="1">
      <c r="A346" s="216"/>
      <c r="B346" s="27">
        <v>8</v>
      </c>
      <c r="C346" s="28" t="s">
        <v>629</v>
      </c>
      <c r="D346" s="29" t="s">
        <v>630</v>
      </c>
      <c r="E346" s="27" t="s">
        <v>57</v>
      </c>
      <c r="F346" s="28" t="s">
        <v>631</v>
      </c>
      <c r="G346" s="27" t="s">
        <v>31</v>
      </c>
      <c r="H346" s="332" t="s">
        <v>32</v>
      </c>
      <c r="I346" s="16">
        <f t="shared" si="380"/>
        <v>3066580</v>
      </c>
      <c r="J346" s="16">
        <v>191354.592</v>
      </c>
      <c r="K346" s="16">
        <v>122663.2</v>
      </c>
      <c r="L346" s="16">
        <v>200000</v>
      </c>
      <c r="M346" s="16">
        <f t="shared" si="402"/>
        <v>54500</v>
      </c>
      <c r="N346" s="21">
        <f ca="1">IFERROR(__xludf.DUMMYFUNCTION("VLOOKUP(C346,IMPORTRANGE(""https://docs.google.com/spreadsheets/d/1rQ2O3to3MCxQ4eTnJ5b4WStW3zTBTYg21JZurI75aCM/edit?gid=1410613181#gid=1410613181"",""DATA_ABSEN_DES24""),39,0)"),21)</f>
        <v>21</v>
      </c>
      <c r="O346" s="334">
        <f ca="1">IFERROR(__xludf.DUMMYFUNCTION("VLOOKUP(C346,IMPORTRANGE(""https://docs.google.com/spreadsheets/d/1rQ2O3to3MCxQ4eTnJ5b4WStW3zTBTYg21JZurI75aCM/edit?gid=1410613181#gid=1410613181"",""DATA_ABSEN_DES24""),40,0)"),20)</f>
        <v>20</v>
      </c>
      <c r="P346" s="16">
        <f t="shared" ca="1" si="381"/>
        <v>1344500</v>
      </c>
      <c r="Q346" s="16">
        <v>21</v>
      </c>
      <c r="R346" s="16">
        <f t="shared" si="382"/>
        <v>4725097.7920000004</v>
      </c>
      <c r="S346" s="16">
        <f t="shared" ca="1" si="383"/>
        <v>4725097.7920000004</v>
      </c>
      <c r="T346" s="16">
        <f t="shared" ca="1" si="384"/>
        <v>0</v>
      </c>
      <c r="U346" s="16">
        <v>100810</v>
      </c>
      <c r="V346" s="21">
        <f ca="1">IFERROR(__xludf.DUMMYFUNCTION("VLOOKUP(C346,IMPORTRANGE(""https://docs.google.com/spreadsheets/d/1rQ2O3to3MCxQ4eTnJ5b4WStW3zTBTYg21JZurI75aCM/edit?gid=1410613181#gid=1410613181"",""DATA_ABSEN_DES24""),41,0)"),0)</f>
        <v>0</v>
      </c>
      <c r="W346" s="16">
        <f t="shared" ca="1" si="385"/>
        <v>0</v>
      </c>
      <c r="X346" s="16">
        <v>0</v>
      </c>
      <c r="Y346" s="16">
        <f t="shared" ca="1" si="386"/>
        <v>4725097.7920000004</v>
      </c>
      <c r="Z346" s="21"/>
      <c r="AA346" s="21"/>
      <c r="AB346" s="21"/>
      <c r="AC346" s="21"/>
      <c r="AD346" s="21"/>
      <c r="AE346" s="16"/>
      <c r="AF346" s="16"/>
      <c r="AG346" s="16"/>
      <c r="AH346" s="16"/>
      <c r="AI346" s="16"/>
      <c r="AJ346" s="16"/>
      <c r="AK346" s="16"/>
      <c r="AL346" s="16"/>
      <c r="AM346" s="16"/>
      <c r="AN346" s="335">
        <f t="shared" ca="1" si="387"/>
        <v>4725097.7920000004</v>
      </c>
      <c r="AO346" s="20">
        <f t="shared" ca="1" si="388"/>
        <v>0</v>
      </c>
      <c r="AP346" s="20">
        <f t="shared" ca="1" si="389"/>
        <v>4725097.7920000004</v>
      </c>
      <c r="AQ346" s="20">
        <f t="shared" ca="1" si="390"/>
        <v>4725097.7920000004</v>
      </c>
      <c r="AR346" s="20">
        <f t="shared" ca="1" si="391"/>
        <v>4725100</v>
      </c>
      <c r="AS346" s="216"/>
      <c r="AT346" s="30" t="s">
        <v>9</v>
      </c>
      <c r="AU346" s="30" t="str">
        <f>VLOOKUP(AT346,TER!$R$2:$S$10,2,0)</f>
        <v>A</v>
      </c>
      <c r="AV346" s="20">
        <f t="shared" si="392"/>
        <v>3066580</v>
      </c>
      <c r="AW346" s="20">
        <f t="shared" ca="1" si="393"/>
        <v>1344500</v>
      </c>
      <c r="AX346" s="20">
        <f t="shared" ref="AX346:AY346" ca="1" si="407">W346</f>
        <v>0</v>
      </c>
      <c r="AY346" s="20">
        <f t="shared" si="407"/>
        <v>0</v>
      </c>
      <c r="AZ346" s="20">
        <f t="shared" si="395"/>
        <v>7359.7919999999995</v>
      </c>
      <c r="BA346" s="20">
        <f t="shared" si="396"/>
        <v>9199.74</v>
      </c>
      <c r="BB346" s="20">
        <f t="shared" si="397"/>
        <v>122663.2</v>
      </c>
      <c r="BC346" s="20">
        <f t="shared" ca="1" si="398"/>
        <v>4550302.7320000008</v>
      </c>
      <c r="BD346" s="37">
        <f ca="1">IF(AU346="C",VLOOKUP(BC346,TER!$J$4:$L$50,3,TRUE),IF(AU346="B",VLOOKUP(BC346,TER!$F$4:$H$50,3,TRUE),IF(AU346="A",VLOOKUP(BC346,TER!$B$4:$D$50,3,TRUE),"ERROR")))</f>
        <v>0</v>
      </c>
      <c r="BE346" s="20">
        <f t="shared" ca="1" si="399"/>
        <v>0</v>
      </c>
      <c r="BF346" s="216"/>
      <c r="BG346" s="216"/>
    </row>
    <row r="347" spans="1:59" ht="15.75" hidden="1" customHeight="1">
      <c r="A347" s="216"/>
      <c r="B347" s="27">
        <v>9</v>
      </c>
      <c r="C347" s="28" t="s">
        <v>632</v>
      </c>
      <c r="D347" s="29" t="s">
        <v>633</v>
      </c>
      <c r="E347" s="27" t="s">
        <v>57</v>
      </c>
      <c r="F347" s="28" t="s">
        <v>634</v>
      </c>
      <c r="G347" s="27" t="s">
        <v>31</v>
      </c>
      <c r="H347" s="332" t="s">
        <v>32</v>
      </c>
      <c r="I347" s="16">
        <f t="shared" si="380"/>
        <v>3066580</v>
      </c>
      <c r="J347" s="16">
        <v>191354.592</v>
      </c>
      <c r="K347" s="16">
        <v>122663.2</v>
      </c>
      <c r="L347" s="16">
        <v>200000</v>
      </c>
      <c r="M347" s="16">
        <f t="shared" si="402"/>
        <v>54500</v>
      </c>
      <c r="N347" s="21">
        <f ca="1">IFERROR(__xludf.DUMMYFUNCTION("VLOOKUP(C347,IMPORTRANGE(""https://docs.google.com/spreadsheets/d/1rQ2O3to3MCxQ4eTnJ5b4WStW3zTBTYg21JZurI75aCM/edit?gid=1410613181#gid=1410613181"",""DATA_ABSEN_DES24""),39,0)"),21)</f>
        <v>21</v>
      </c>
      <c r="O347" s="334">
        <f ca="1">IFERROR(__xludf.DUMMYFUNCTION("VLOOKUP(C347,IMPORTRANGE(""https://docs.google.com/spreadsheets/d/1rQ2O3to3MCxQ4eTnJ5b4WStW3zTBTYg21JZurI75aCM/edit?gid=1410613181#gid=1410613181"",""DATA_ABSEN_DES24""),40,0)"),20)</f>
        <v>20</v>
      </c>
      <c r="P347" s="16">
        <f t="shared" ca="1" si="381"/>
        <v>1344500</v>
      </c>
      <c r="Q347" s="16">
        <v>21</v>
      </c>
      <c r="R347" s="16">
        <f t="shared" si="382"/>
        <v>4725097.7920000004</v>
      </c>
      <c r="S347" s="16">
        <f t="shared" ca="1" si="383"/>
        <v>4725097.7920000004</v>
      </c>
      <c r="T347" s="16">
        <f t="shared" ca="1" si="384"/>
        <v>0</v>
      </c>
      <c r="U347" s="16">
        <v>100810</v>
      </c>
      <c r="V347" s="21">
        <f ca="1">IFERROR(__xludf.DUMMYFUNCTION("VLOOKUP(C347,IMPORTRANGE(""https://docs.google.com/spreadsheets/d/1rQ2O3to3MCxQ4eTnJ5b4WStW3zTBTYg21JZurI75aCM/edit?gid=1410613181#gid=1410613181"",""DATA_ABSEN_DES24""),41,0)"),0)</f>
        <v>0</v>
      </c>
      <c r="W347" s="16">
        <f t="shared" ca="1" si="385"/>
        <v>0</v>
      </c>
      <c r="X347" s="16">
        <v>0</v>
      </c>
      <c r="Y347" s="16">
        <f t="shared" ca="1" si="386"/>
        <v>4725097.7920000004</v>
      </c>
      <c r="Z347" s="21"/>
      <c r="AA347" s="21"/>
      <c r="AB347" s="21"/>
      <c r="AC347" s="21"/>
      <c r="AD347" s="21"/>
      <c r="AE347" s="16"/>
      <c r="AF347" s="16"/>
      <c r="AG347" s="16"/>
      <c r="AH347" s="16"/>
      <c r="AI347" s="16"/>
      <c r="AJ347" s="16"/>
      <c r="AK347" s="16"/>
      <c r="AL347" s="16"/>
      <c r="AM347" s="16"/>
      <c r="AN347" s="335">
        <f t="shared" ca="1" si="387"/>
        <v>4725097.7920000004</v>
      </c>
      <c r="AO347" s="20">
        <f t="shared" ca="1" si="388"/>
        <v>0</v>
      </c>
      <c r="AP347" s="20">
        <f t="shared" ca="1" si="389"/>
        <v>4725097.7920000004</v>
      </c>
      <c r="AQ347" s="20">
        <f t="shared" ca="1" si="390"/>
        <v>4725097.7920000004</v>
      </c>
      <c r="AR347" s="20">
        <f t="shared" ca="1" si="391"/>
        <v>4725100</v>
      </c>
      <c r="AS347" s="216"/>
      <c r="AT347" s="30" t="s">
        <v>9</v>
      </c>
      <c r="AU347" s="30" t="str">
        <f>VLOOKUP(AT347,TER!$R$2:$S$10,2,0)</f>
        <v>A</v>
      </c>
      <c r="AV347" s="20">
        <f t="shared" si="392"/>
        <v>3066580</v>
      </c>
      <c r="AW347" s="20">
        <f t="shared" ca="1" si="393"/>
        <v>1344500</v>
      </c>
      <c r="AX347" s="20">
        <f t="shared" ref="AX347:AY347" ca="1" si="408">W347</f>
        <v>0</v>
      </c>
      <c r="AY347" s="20">
        <f t="shared" si="408"/>
        <v>0</v>
      </c>
      <c r="AZ347" s="20">
        <f t="shared" si="395"/>
        <v>7359.7919999999995</v>
      </c>
      <c r="BA347" s="20">
        <f t="shared" si="396"/>
        <v>9199.74</v>
      </c>
      <c r="BB347" s="20">
        <f t="shared" si="397"/>
        <v>122663.2</v>
      </c>
      <c r="BC347" s="20">
        <f t="shared" ca="1" si="398"/>
        <v>4550302.7320000008</v>
      </c>
      <c r="BD347" s="37">
        <f ca="1">IF(AU347="C",VLOOKUP(BC347,TER!$J$4:$L$50,3,TRUE),IF(AU347="B",VLOOKUP(BC347,TER!$F$4:$H$50,3,TRUE),IF(AU347="A",VLOOKUP(BC347,TER!$B$4:$D$50,3,TRUE),"ERROR")))</f>
        <v>0</v>
      </c>
      <c r="BE347" s="20">
        <f t="shared" ca="1" si="399"/>
        <v>0</v>
      </c>
      <c r="BF347" s="216"/>
      <c r="BG347" s="216"/>
    </row>
    <row r="348" spans="1:59" ht="15.75" hidden="1" customHeight="1">
      <c r="A348" s="216"/>
      <c r="B348" s="27">
        <v>10</v>
      </c>
      <c r="C348" s="28" t="s">
        <v>635</v>
      </c>
      <c r="D348" s="29" t="s">
        <v>636</v>
      </c>
      <c r="E348" s="27" t="s">
        <v>57</v>
      </c>
      <c r="F348" s="28" t="s">
        <v>637</v>
      </c>
      <c r="G348" s="27" t="s">
        <v>31</v>
      </c>
      <c r="H348" s="332" t="s">
        <v>32</v>
      </c>
      <c r="I348" s="16">
        <f t="shared" si="380"/>
        <v>3066580</v>
      </c>
      <c r="J348" s="16">
        <v>191354.592</v>
      </c>
      <c r="K348" s="16">
        <v>122663.2</v>
      </c>
      <c r="L348" s="16">
        <v>200000</v>
      </c>
      <c r="M348" s="16">
        <f t="shared" si="402"/>
        <v>54500</v>
      </c>
      <c r="N348" s="21">
        <f ca="1">IFERROR(__xludf.DUMMYFUNCTION("VLOOKUP(C348,IMPORTRANGE(""https://docs.google.com/spreadsheets/d/1rQ2O3to3MCxQ4eTnJ5b4WStW3zTBTYg21JZurI75aCM/edit?gid=1410613181#gid=1410613181"",""DATA_ABSEN_DES24""),39,0)"),20)</f>
        <v>20</v>
      </c>
      <c r="O348" s="334">
        <f ca="1">IFERROR(__xludf.DUMMYFUNCTION("VLOOKUP(C348,IMPORTRANGE(""https://docs.google.com/spreadsheets/d/1rQ2O3to3MCxQ4eTnJ5b4WStW3zTBTYg21JZurI75aCM/edit?gid=1410613181#gid=1410613181"",""DATA_ABSEN_DES24""),40,0)"),20)</f>
        <v>20</v>
      </c>
      <c r="P348" s="16">
        <f t="shared" ca="1" si="381"/>
        <v>1290000</v>
      </c>
      <c r="Q348" s="16">
        <v>21</v>
      </c>
      <c r="R348" s="16">
        <f t="shared" si="382"/>
        <v>4725097.7920000004</v>
      </c>
      <c r="S348" s="16">
        <f t="shared" ca="1" si="383"/>
        <v>4670597.7920000004</v>
      </c>
      <c r="T348" s="16">
        <f t="shared" ca="1" si="384"/>
        <v>0</v>
      </c>
      <c r="U348" s="16">
        <v>100810</v>
      </c>
      <c r="V348" s="21">
        <f ca="1">IFERROR(__xludf.DUMMYFUNCTION("VLOOKUP(C348,IMPORTRANGE(""https://docs.google.com/spreadsheets/d/1rQ2O3to3MCxQ4eTnJ5b4WStW3zTBTYg21JZurI75aCM/edit?gid=1410613181#gid=1410613181"",""DATA_ABSEN_DES24""),41,0)"),0)</f>
        <v>0</v>
      </c>
      <c r="W348" s="16">
        <f t="shared" ca="1" si="385"/>
        <v>0</v>
      </c>
      <c r="X348" s="16">
        <v>0</v>
      </c>
      <c r="Y348" s="16">
        <f t="shared" ca="1" si="386"/>
        <v>4670597.7920000004</v>
      </c>
      <c r="Z348" s="21"/>
      <c r="AA348" s="21"/>
      <c r="AB348" s="21"/>
      <c r="AC348" s="21"/>
      <c r="AD348" s="21"/>
      <c r="AE348" s="16"/>
      <c r="AF348" s="16"/>
      <c r="AG348" s="16"/>
      <c r="AH348" s="16"/>
      <c r="AI348" s="16"/>
      <c r="AJ348" s="16"/>
      <c r="AK348" s="16"/>
      <c r="AL348" s="16"/>
      <c r="AM348" s="16"/>
      <c r="AN348" s="335">
        <f t="shared" ca="1" si="387"/>
        <v>4670597.7920000004</v>
      </c>
      <c r="AO348" s="20">
        <f t="shared" ca="1" si="388"/>
        <v>0</v>
      </c>
      <c r="AP348" s="20">
        <f t="shared" ca="1" si="389"/>
        <v>4670597.7920000004</v>
      </c>
      <c r="AQ348" s="20">
        <f t="shared" ca="1" si="390"/>
        <v>4670597.7920000004</v>
      </c>
      <c r="AR348" s="20">
        <f t="shared" ca="1" si="391"/>
        <v>4670600</v>
      </c>
      <c r="AS348" s="216"/>
      <c r="AT348" s="30" t="s">
        <v>13</v>
      </c>
      <c r="AU348" s="30" t="str">
        <f>VLOOKUP(AT348,TER!$R$2:$S$10,2,0)</f>
        <v>A</v>
      </c>
      <c r="AV348" s="20">
        <f t="shared" si="392"/>
        <v>3066580</v>
      </c>
      <c r="AW348" s="20">
        <f t="shared" ca="1" si="393"/>
        <v>1290000</v>
      </c>
      <c r="AX348" s="20">
        <f t="shared" ref="AX348:AY348" ca="1" si="409">W348</f>
        <v>0</v>
      </c>
      <c r="AY348" s="20">
        <f t="shared" si="409"/>
        <v>0</v>
      </c>
      <c r="AZ348" s="20">
        <f t="shared" si="395"/>
        <v>7359.7919999999995</v>
      </c>
      <c r="BA348" s="20">
        <f t="shared" si="396"/>
        <v>9199.74</v>
      </c>
      <c r="BB348" s="20">
        <f t="shared" si="397"/>
        <v>122663.2</v>
      </c>
      <c r="BC348" s="20">
        <f t="shared" ca="1" si="398"/>
        <v>4495802.7320000008</v>
      </c>
      <c r="BD348" s="37">
        <f ca="1">IF(AU348="C",VLOOKUP(BC348,TER!$J$4:$L$50,3,TRUE),IF(AU348="B",VLOOKUP(BC348,TER!$F$4:$H$50,3,TRUE),IF(AU348="A",VLOOKUP(BC348,TER!$B$4:$D$50,3,TRUE),"ERROR")))</f>
        <v>0</v>
      </c>
      <c r="BE348" s="20">
        <f t="shared" ca="1" si="399"/>
        <v>0</v>
      </c>
      <c r="BF348" s="216"/>
      <c r="BG348" s="216"/>
    </row>
    <row r="349" spans="1:59" ht="15.75" hidden="1" customHeight="1">
      <c r="A349" s="216"/>
      <c r="B349" s="27">
        <v>11</v>
      </c>
      <c r="C349" s="28" t="s">
        <v>638</v>
      </c>
      <c r="D349" s="29" t="s">
        <v>639</v>
      </c>
      <c r="E349" s="27" t="s">
        <v>57</v>
      </c>
      <c r="F349" s="28" t="s">
        <v>640</v>
      </c>
      <c r="G349" s="27" t="s">
        <v>31</v>
      </c>
      <c r="H349" s="332" t="s">
        <v>32</v>
      </c>
      <c r="I349" s="16">
        <f t="shared" si="380"/>
        <v>3066580</v>
      </c>
      <c r="J349" s="16">
        <v>191354.592</v>
      </c>
      <c r="K349" s="16">
        <v>122663.2</v>
      </c>
      <c r="L349" s="16">
        <v>200000</v>
      </c>
      <c r="M349" s="16">
        <f t="shared" si="402"/>
        <v>54500</v>
      </c>
      <c r="N349" s="21">
        <f ca="1">IFERROR(__xludf.DUMMYFUNCTION("VLOOKUP(C349,IMPORTRANGE(""https://docs.google.com/spreadsheets/d/1rQ2O3to3MCxQ4eTnJ5b4WStW3zTBTYg21JZurI75aCM/edit?gid=1410613181#gid=1410613181"",""DATA_ABSEN_DES24""),39,0)"),20)</f>
        <v>20</v>
      </c>
      <c r="O349" s="334">
        <f ca="1">IFERROR(__xludf.DUMMYFUNCTION("VLOOKUP(C349,IMPORTRANGE(""https://docs.google.com/spreadsheets/d/1rQ2O3to3MCxQ4eTnJ5b4WStW3zTBTYg21JZurI75aCM/edit?gid=1410613181#gid=1410613181"",""DATA_ABSEN_DES24""),40,0)"),20)</f>
        <v>20</v>
      </c>
      <c r="P349" s="16">
        <f t="shared" ca="1" si="381"/>
        <v>1290000</v>
      </c>
      <c r="Q349" s="16">
        <v>21</v>
      </c>
      <c r="R349" s="16">
        <f t="shared" si="382"/>
        <v>4725097.7920000004</v>
      </c>
      <c r="S349" s="16">
        <f t="shared" ca="1" si="383"/>
        <v>4670597.7920000004</v>
      </c>
      <c r="T349" s="16">
        <f t="shared" ca="1" si="384"/>
        <v>0</v>
      </c>
      <c r="U349" s="16">
        <v>100810</v>
      </c>
      <c r="V349" s="21">
        <f ca="1">IFERROR(__xludf.DUMMYFUNCTION("VLOOKUP(C349,IMPORTRANGE(""https://docs.google.com/spreadsheets/d/1rQ2O3to3MCxQ4eTnJ5b4WStW3zTBTYg21JZurI75aCM/edit?gid=1410613181#gid=1410613181"",""DATA_ABSEN_DES24""),41,0)"),0)</f>
        <v>0</v>
      </c>
      <c r="W349" s="16">
        <f t="shared" ca="1" si="385"/>
        <v>0</v>
      </c>
      <c r="X349" s="16">
        <v>0</v>
      </c>
      <c r="Y349" s="16">
        <f t="shared" ca="1" si="386"/>
        <v>4670597.7920000004</v>
      </c>
      <c r="Z349" s="21"/>
      <c r="AA349" s="21"/>
      <c r="AB349" s="21"/>
      <c r="AC349" s="21"/>
      <c r="AD349" s="21"/>
      <c r="AE349" s="16"/>
      <c r="AF349" s="16"/>
      <c r="AG349" s="16"/>
      <c r="AH349" s="16"/>
      <c r="AI349" s="16"/>
      <c r="AJ349" s="16"/>
      <c r="AK349" s="16"/>
      <c r="AL349" s="16"/>
      <c r="AM349" s="16"/>
      <c r="AN349" s="335">
        <f t="shared" ca="1" si="387"/>
        <v>4670597.7920000004</v>
      </c>
      <c r="AO349" s="20">
        <f t="shared" ca="1" si="388"/>
        <v>0</v>
      </c>
      <c r="AP349" s="20">
        <f t="shared" ca="1" si="389"/>
        <v>4670597.7920000004</v>
      </c>
      <c r="AQ349" s="20">
        <f t="shared" ca="1" si="390"/>
        <v>4670597.7920000004</v>
      </c>
      <c r="AR349" s="20">
        <f t="shared" ca="1" si="391"/>
        <v>4670600</v>
      </c>
      <c r="AS349" s="216"/>
      <c r="AT349" s="30" t="s">
        <v>9</v>
      </c>
      <c r="AU349" s="30" t="str">
        <f>VLOOKUP(AT349,TER!$R$2:$S$10,2,0)</f>
        <v>A</v>
      </c>
      <c r="AV349" s="20">
        <f t="shared" si="392"/>
        <v>3066580</v>
      </c>
      <c r="AW349" s="20">
        <f t="shared" ca="1" si="393"/>
        <v>1290000</v>
      </c>
      <c r="AX349" s="20">
        <f t="shared" ref="AX349:AY349" ca="1" si="410">W349</f>
        <v>0</v>
      </c>
      <c r="AY349" s="20">
        <f t="shared" si="410"/>
        <v>0</v>
      </c>
      <c r="AZ349" s="20">
        <f t="shared" si="395"/>
        <v>7359.7919999999995</v>
      </c>
      <c r="BA349" s="20">
        <f t="shared" si="396"/>
        <v>9199.74</v>
      </c>
      <c r="BB349" s="20">
        <f t="shared" si="397"/>
        <v>122663.2</v>
      </c>
      <c r="BC349" s="20">
        <f t="shared" ca="1" si="398"/>
        <v>4495802.7320000008</v>
      </c>
      <c r="BD349" s="37">
        <f ca="1">IF(AU349="C",VLOOKUP(BC349,TER!$J$4:$L$50,3,TRUE),IF(AU349="B",VLOOKUP(BC349,TER!$F$4:$H$50,3,TRUE),IF(AU349="A",VLOOKUP(BC349,TER!$B$4:$D$50,3,TRUE),"ERROR")))</f>
        <v>0</v>
      </c>
      <c r="BE349" s="20">
        <f t="shared" ca="1" si="399"/>
        <v>0</v>
      </c>
      <c r="BF349" s="216"/>
      <c r="BG349" s="216"/>
    </row>
    <row r="350" spans="1:59" ht="15.75" hidden="1" customHeight="1">
      <c r="A350" s="216"/>
      <c r="B350" s="27">
        <v>12</v>
      </c>
      <c r="C350" s="28" t="s">
        <v>641</v>
      </c>
      <c r="D350" s="29" t="s">
        <v>642</v>
      </c>
      <c r="E350" s="27" t="s">
        <v>57</v>
      </c>
      <c r="F350" s="28" t="s">
        <v>643</v>
      </c>
      <c r="G350" s="27" t="s">
        <v>31</v>
      </c>
      <c r="H350" s="332" t="s">
        <v>32</v>
      </c>
      <c r="I350" s="16">
        <f t="shared" si="380"/>
        <v>3066580</v>
      </c>
      <c r="J350" s="16">
        <v>191354.592</v>
      </c>
      <c r="K350" s="16">
        <v>122663.2</v>
      </c>
      <c r="L350" s="16">
        <v>200000</v>
      </c>
      <c r="M350" s="16">
        <f t="shared" si="402"/>
        <v>54500</v>
      </c>
      <c r="N350" s="21">
        <f ca="1">IFERROR(__xludf.DUMMYFUNCTION("VLOOKUP(C350,IMPORTRANGE(""https://docs.google.com/spreadsheets/d/1rQ2O3to3MCxQ4eTnJ5b4WStW3zTBTYg21JZurI75aCM/edit?gid=1410613181#gid=1410613181"",""DATA_ABSEN_DES24""),39,0)"),20)</f>
        <v>20</v>
      </c>
      <c r="O350" s="334">
        <f ca="1">IFERROR(__xludf.DUMMYFUNCTION("VLOOKUP(C350,IMPORTRANGE(""https://docs.google.com/spreadsheets/d/1rQ2O3to3MCxQ4eTnJ5b4WStW3zTBTYg21JZurI75aCM/edit?gid=1410613181#gid=1410613181"",""DATA_ABSEN_DES24""),40,0)"),20)</f>
        <v>20</v>
      </c>
      <c r="P350" s="16">
        <f t="shared" ca="1" si="381"/>
        <v>1290000</v>
      </c>
      <c r="Q350" s="16">
        <v>21</v>
      </c>
      <c r="R350" s="16">
        <f t="shared" si="382"/>
        <v>4725097.7920000004</v>
      </c>
      <c r="S350" s="16">
        <f t="shared" ca="1" si="383"/>
        <v>4670597.7920000004</v>
      </c>
      <c r="T350" s="16">
        <f t="shared" ca="1" si="384"/>
        <v>0</v>
      </c>
      <c r="U350" s="16">
        <v>100810</v>
      </c>
      <c r="V350" s="21">
        <f ca="1">IFERROR(__xludf.DUMMYFUNCTION("VLOOKUP(C350,IMPORTRANGE(""https://docs.google.com/spreadsheets/d/1rQ2O3to3MCxQ4eTnJ5b4WStW3zTBTYg21JZurI75aCM/edit?gid=1410613181#gid=1410613181"",""DATA_ABSEN_DES24""),41,0)"),0)</f>
        <v>0</v>
      </c>
      <c r="W350" s="16">
        <f t="shared" ca="1" si="385"/>
        <v>0</v>
      </c>
      <c r="X350" s="16">
        <v>0</v>
      </c>
      <c r="Y350" s="16">
        <f t="shared" ca="1" si="386"/>
        <v>4670597.7920000004</v>
      </c>
      <c r="Z350" s="21"/>
      <c r="AA350" s="21"/>
      <c r="AB350" s="21"/>
      <c r="AC350" s="21"/>
      <c r="AD350" s="21"/>
      <c r="AE350" s="16"/>
      <c r="AF350" s="16"/>
      <c r="AG350" s="16"/>
      <c r="AH350" s="16"/>
      <c r="AI350" s="16"/>
      <c r="AJ350" s="16"/>
      <c r="AK350" s="16"/>
      <c r="AL350" s="16"/>
      <c r="AM350" s="16"/>
      <c r="AN350" s="335">
        <f t="shared" ca="1" si="387"/>
        <v>4670597.7920000004</v>
      </c>
      <c r="AO350" s="20">
        <f t="shared" ca="1" si="388"/>
        <v>0</v>
      </c>
      <c r="AP350" s="20">
        <f t="shared" ca="1" si="389"/>
        <v>4670597.7920000004</v>
      </c>
      <c r="AQ350" s="20">
        <f t="shared" ca="1" si="390"/>
        <v>4670597.7920000004</v>
      </c>
      <c r="AR350" s="20">
        <f t="shared" ca="1" si="391"/>
        <v>4670600</v>
      </c>
      <c r="AS350" s="216"/>
      <c r="AT350" s="30" t="s">
        <v>9</v>
      </c>
      <c r="AU350" s="30" t="str">
        <f>VLOOKUP(AT350,TER!$R$2:$S$10,2,0)</f>
        <v>A</v>
      </c>
      <c r="AV350" s="20">
        <f t="shared" si="392"/>
        <v>3066580</v>
      </c>
      <c r="AW350" s="20">
        <f t="shared" ca="1" si="393"/>
        <v>1290000</v>
      </c>
      <c r="AX350" s="20">
        <f t="shared" ref="AX350:AY350" ca="1" si="411">W350</f>
        <v>0</v>
      </c>
      <c r="AY350" s="20">
        <f t="shared" si="411"/>
        <v>0</v>
      </c>
      <c r="AZ350" s="20">
        <f t="shared" si="395"/>
        <v>7359.7919999999995</v>
      </c>
      <c r="BA350" s="20">
        <f t="shared" si="396"/>
        <v>9199.74</v>
      </c>
      <c r="BB350" s="20">
        <f t="shared" si="397"/>
        <v>122663.2</v>
      </c>
      <c r="BC350" s="20">
        <f t="shared" ca="1" si="398"/>
        <v>4495802.7320000008</v>
      </c>
      <c r="BD350" s="37">
        <f ca="1">IF(AU350="C",VLOOKUP(BC350,TER!$J$4:$L$50,3,TRUE),IF(AU350="B",VLOOKUP(BC350,TER!$F$4:$H$50,3,TRUE),IF(AU350="A",VLOOKUP(BC350,TER!$B$4:$D$50,3,TRUE),"ERROR")))</f>
        <v>0</v>
      </c>
      <c r="BE350" s="20">
        <f t="shared" ca="1" si="399"/>
        <v>0</v>
      </c>
      <c r="BF350" s="216"/>
      <c r="BG350" s="216"/>
    </row>
    <row r="351" spans="1:59" ht="15.75" hidden="1" customHeight="1">
      <c r="A351" s="216"/>
      <c r="B351" s="27">
        <v>13</v>
      </c>
      <c r="C351" s="28" t="s">
        <v>644</v>
      </c>
      <c r="D351" s="29" t="s">
        <v>645</v>
      </c>
      <c r="E351" s="27" t="s">
        <v>57</v>
      </c>
      <c r="F351" s="28" t="s">
        <v>646</v>
      </c>
      <c r="G351" s="27" t="s">
        <v>31</v>
      </c>
      <c r="H351" s="332" t="s">
        <v>32</v>
      </c>
      <c r="I351" s="16">
        <f t="shared" si="380"/>
        <v>3066580</v>
      </c>
      <c r="J351" s="16">
        <v>191354.592</v>
      </c>
      <c r="K351" s="16">
        <v>122663.2</v>
      </c>
      <c r="L351" s="16">
        <v>200000</v>
      </c>
      <c r="M351" s="16">
        <f t="shared" si="402"/>
        <v>54500</v>
      </c>
      <c r="N351" s="21">
        <f ca="1">IFERROR(__xludf.DUMMYFUNCTION("VLOOKUP(C351,IMPORTRANGE(""https://docs.google.com/spreadsheets/d/1rQ2O3to3MCxQ4eTnJ5b4WStW3zTBTYg21JZurI75aCM/edit?gid=1410613181#gid=1410613181"",""DATA_ABSEN_DES24""),39,0)"),21)</f>
        <v>21</v>
      </c>
      <c r="O351" s="334">
        <f ca="1">IFERROR(__xludf.DUMMYFUNCTION("VLOOKUP(C351,IMPORTRANGE(""https://docs.google.com/spreadsheets/d/1rQ2O3to3MCxQ4eTnJ5b4WStW3zTBTYg21JZurI75aCM/edit?gid=1410613181#gid=1410613181"",""DATA_ABSEN_DES24""),40,0)"),20)</f>
        <v>20</v>
      </c>
      <c r="P351" s="16">
        <f t="shared" ca="1" si="381"/>
        <v>1344500</v>
      </c>
      <c r="Q351" s="16">
        <v>21</v>
      </c>
      <c r="R351" s="16">
        <f t="shared" si="382"/>
        <v>4725097.7920000004</v>
      </c>
      <c r="S351" s="16">
        <f t="shared" ca="1" si="383"/>
        <v>4725097.7920000004</v>
      </c>
      <c r="T351" s="16">
        <f t="shared" ca="1" si="384"/>
        <v>0</v>
      </c>
      <c r="U351" s="16">
        <v>100810</v>
      </c>
      <c r="V351" s="21">
        <f ca="1">IFERROR(__xludf.DUMMYFUNCTION("VLOOKUP(C351,IMPORTRANGE(""https://docs.google.com/spreadsheets/d/1rQ2O3to3MCxQ4eTnJ5b4WStW3zTBTYg21JZurI75aCM/edit?gid=1410613181#gid=1410613181"",""DATA_ABSEN_DES24""),41,0)"),0)</f>
        <v>0</v>
      </c>
      <c r="W351" s="16">
        <f t="shared" ca="1" si="385"/>
        <v>0</v>
      </c>
      <c r="X351" s="16">
        <v>0</v>
      </c>
      <c r="Y351" s="16">
        <f t="shared" ca="1" si="386"/>
        <v>4725097.7920000004</v>
      </c>
      <c r="Z351" s="21"/>
      <c r="AA351" s="21"/>
      <c r="AB351" s="21"/>
      <c r="AC351" s="21"/>
      <c r="AD351" s="21"/>
      <c r="AE351" s="16"/>
      <c r="AF351" s="16"/>
      <c r="AG351" s="16"/>
      <c r="AH351" s="16"/>
      <c r="AI351" s="16"/>
      <c r="AJ351" s="16"/>
      <c r="AK351" s="16"/>
      <c r="AL351" s="16"/>
      <c r="AM351" s="16"/>
      <c r="AN351" s="335">
        <f t="shared" ca="1" si="387"/>
        <v>4725097.7920000004</v>
      </c>
      <c r="AO351" s="20">
        <f t="shared" ca="1" si="388"/>
        <v>0</v>
      </c>
      <c r="AP351" s="20">
        <f t="shared" ca="1" si="389"/>
        <v>4725097.7920000004</v>
      </c>
      <c r="AQ351" s="20">
        <f t="shared" ca="1" si="390"/>
        <v>4725097.7920000004</v>
      </c>
      <c r="AR351" s="20">
        <f t="shared" ca="1" si="391"/>
        <v>4725100</v>
      </c>
      <c r="AS351" s="216"/>
      <c r="AT351" s="30" t="s">
        <v>18</v>
      </c>
      <c r="AU351" s="30" t="str">
        <f>VLOOKUP(AT351,TER!$R$2:$S$10,2,0)</f>
        <v>B</v>
      </c>
      <c r="AV351" s="20">
        <f t="shared" si="392"/>
        <v>3066580</v>
      </c>
      <c r="AW351" s="20">
        <f t="shared" ca="1" si="393"/>
        <v>1344500</v>
      </c>
      <c r="AX351" s="20">
        <f t="shared" ref="AX351:AY351" ca="1" si="412">W351</f>
        <v>0</v>
      </c>
      <c r="AY351" s="20">
        <f t="shared" si="412"/>
        <v>0</v>
      </c>
      <c r="AZ351" s="20">
        <f t="shared" si="395"/>
        <v>7359.7919999999995</v>
      </c>
      <c r="BA351" s="20">
        <f t="shared" si="396"/>
        <v>9199.74</v>
      </c>
      <c r="BB351" s="20">
        <f t="shared" si="397"/>
        <v>122663.2</v>
      </c>
      <c r="BC351" s="20">
        <f t="shared" ca="1" si="398"/>
        <v>4550302.7320000008</v>
      </c>
      <c r="BD351" s="37">
        <f ca="1">IF(AU351="C",VLOOKUP(BC351,TER!$J$4:$L$50,3,TRUE),IF(AU351="B",VLOOKUP(BC351,TER!$F$4:$H$50,3,TRUE),IF(AU351="A",VLOOKUP(BC351,TER!$B$4:$D$50,3,TRUE),"ERROR")))</f>
        <v>0</v>
      </c>
      <c r="BE351" s="20">
        <f t="shared" ca="1" si="399"/>
        <v>0</v>
      </c>
      <c r="BF351" s="216"/>
      <c r="BG351" s="216"/>
    </row>
    <row r="352" spans="1:59" ht="15.75" hidden="1" customHeight="1">
      <c r="A352" s="216"/>
      <c r="B352" s="27">
        <v>14</v>
      </c>
      <c r="C352" s="28" t="s">
        <v>230</v>
      </c>
      <c r="D352" s="29" t="s">
        <v>231</v>
      </c>
      <c r="E352" s="27" t="s">
        <v>57</v>
      </c>
      <c r="F352" s="28" t="s">
        <v>232</v>
      </c>
      <c r="G352" s="27" t="s">
        <v>31</v>
      </c>
      <c r="H352" s="332" t="s">
        <v>32</v>
      </c>
      <c r="I352" s="16">
        <f t="shared" si="380"/>
        <v>3066580</v>
      </c>
      <c r="J352" s="16">
        <v>191354.592</v>
      </c>
      <c r="K352" s="16">
        <v>122663.2</v>
      </c>
      <c r="L352" s="16">
        <v>200000</v>
      </c>
      <c r="M352" s="16">
        <f t="shared" si="402"/>
        <v>54500</v>
      </c>
      <c r="N352" s="21">
        <f ca="1">IFERROR(__xludf.DUMMYFUNCTION("VLOOKUP(C352,IMPORTRANGE(""https://docs.google.com/spreadsheets/d/1rQ2O3to3MCxQ4eTnJ5b4WStW3zTBTYg21JZurI75aCM/edit?gid=1410613181#gid=1410613181"",""DATA_ABSEN_DES24""),39,0)"),21)</f>
        <v>21</v>
      </c>
      <c r="O352" s="334">
        <f ca="1">IFERROR(__xludf.DUMMYFUNCTION("VLOOKUP(C352,IMPORTRANGE(""https://docs.google.com/spreadsheets/d/1rQ2O3to3MCxQ4eTnJ5b4WStW3zTBTYg21JZurI75aCM/edit?gid=1410613181#gid=1410613181"",""DATA_ABSEN_DES24""),40,0)"),20)</f>
        <v>20</v>
      </c>
      <c r="P352" s="16">
        <f t="shared" ca="1" si="381"/>
        <v>1344500</v>
      </c>
      <c r="Q352" s="16">
        <v>21</v>
      </c>
      <c r="R352" s="16">
        <f t="shared" si="382"/>
        <v>4725097.7920000004</v>
      </c>
      <c r="S352" s="16">
        <f t="shared" ca="1" si="383"/>
        <v>4725097.7920000004</v>
      </c>
      <c r="T352" s="16">
        <f t="shared" ca="1" si="384"/>
        <v>0</v>
      </c>
      <c r="U352" s="16">
        <v>100810</v>
      </c>
      <c r="V352" s="21">
        <f ca="1">IFERROR(__xludf.DUMMYFUNCTION("VLOOKUP(C352,IMPORTRANGE(""https://docs.google.com/spreadsheets/d/1rQ2O3to3MCxQ4eTnJ5b4WStW3zTBTYg21JZurI75aCM/edit?gid=1410613181#gid=1410613181"",""DATA_ABSEN_DES24""),41,0)"),0)</f>
        <v>0</v>
      </c>
      <c r="W352" s="16">
        <f t="shared" ca="1" si="385"/>
        <v>0</v>
      </c>
      <c r="X352" s="16">
        <v>0</v>
      </c>
      <c r="Y352" s="16">
        <f t="shared" ca="1" si="386"/>
        <v>4725097.7920000004</v>
      </c>
      <c r="Z352" s="21"/>
      <c r="AA352" s="21"/>
      <c r="AB352" s="21"/>
      <c r="AC352" s="21"/>
      <c r="AD352" s="21"/>
      <c r="AE352" s="16"/>
      <c r="AF352" s="16"/>
      <c r="AG352" s="16"/>
      <c r="AH352" s="16"/>
      <c r="AI352" s="16"/>
      <c r="AJ352" s="16"/>
      <c r="AK352" s="16"/>
      <c r="AL352" s="16"/>
      <c r="AM352" s="16"/>
      <c r="AN352" s="335">
        <f t="shared" ca="1" si="387"/>
        <v>4725097.7920000004</v>
      </c>
      <c r="AO352" s="20">
        <f t="shared" ca="1" si="388"/>
        <v>0</v>
      </c>
      <c r="AP352" s="20">
        <f t="shared" ca="1" si="389"/>
        <v>4725097.7920000004</v>
      </c>
      <c r="AQ352" s="20">
        <f t="shared" ca="1" si="390"/>
        <v>4725097.7920000004</v>
      </c>
      <c r="AR352" s="20">
        <f t="shared" ca="1" si="391"/>
        <v>4725100</v>
      </c>
      <c r="AS352" s="216"/>
      <c r="AT352" s="30" t="s">
        <v>18</v>
      </c>
      <c r="AU352" s="30" t="str">
        <f>VLOOKUP(AT352,TER!$R$2:$S$10,2,0)</f>
        <v>B</v>
      </c>
      <c r="AV352" s="20">
        <f t="shared" si="392"/>
        <v>3066580</v>
      </c>
      <c r="AW352" s="20">
        <f t="shared" ca="1" si="393"/>
        <v>1344500</v>
      </c>
      <c r="AX352" s="20">
        <f t="shared" ref="AX352:AY352" ca="1" si="413">W352</f>
        <v>0</v>
      </c>
      <c r="AY352" s="20">
        <f t="shared" si="413"/>
        <v>0</v>
      </c>
      <c r="AZ352" s="20">
        <f t="shared" si="395"/>
        <v>7359.7919999999995</v>
      </c>
      <c r="BA352" s="20">
        <f t="shared" si="396"/>
        <v>9199.74</v>
      </c>
      <c r="BB352" s="20">
        <f t="shared" si="397"/>
        <v>122663.2</v>
      </c>
      <c r="BC352" s="20">
        <f t="shared" ca="1" si="398"/>
        <v>4550302.7320000008</v>
      </c>
      <c r="BD352" s="37">
        <f ca="1">IF(AU352="C",VLOOKUP(BC352,TER!$J$4:$L$50,3,TRUE),IF(AU352="B",VLOOKUP(BC352,TER!$F$4:$H$50,3,TRUE),IF(AU352="A",VLOOKUP(BC352,TER!$B$4:$D$50,3,TRUE),"ERROR")))</f>
        <v>0</v>
      </c>
      <c r="BE352" s="20">
        <f t="shared" ca="1" si="399"/>
        <v>0</v>
      </c>
      <c r="BF352" s="216"/>
      <c r="BG352" s="216"/>
    </row>
    <row r="353" spans="1:59" ht="15.75" hidden="1" customHeight="1">
      <c r="A353" s="216"/>
      <c r="B353" s="27">
        <v>15</v>
      </c>
      <c r="C353" s="28" t="s">
        <v>647</v>
      </c>
      <c r="D353" s="29" t="s">
        <v>648</v>
      </c>
      <c r="E353" s="27" t="s">
        <v>57</v>
      </c>
      <c r="F353" s="28" t="s">
        <v>649</v>
      </c>
      <c r="G353" s="27" t="s">
        <v>31</v>
      </c>
      <c r="H353" s="332" t="s">
        <v>32</v>
      </c>
      <c r="I353" s="16">
        <f t="shared" si="380"/>
        <v>3066580</v>
      </c>
      <c r="J353" s="16">
        <v>191354.592</v>
      </c>
      <c r="K353" s="16">
        <v>122663.2</v>
      </c>
      <c r="L353" s="16">
        <v>200000</v>
      </c>
      <c r="M353" s="16">
        <f t="shared" si="402"/>
        <v>54500</v>
      </c>
      <c r="N353" s="21">
        <f ca="1">IFERROR(__xludf.DUMMYFUNCTION("VLOOKUP(C353,IMPORTRANGE(""https://docs.google.com/spreadsheets/d/1rQ2O3to3MCxQ4eTnJ5b4WStW3zTBTYg21JZurI75aCM/edit?gid=1410613181#gid=1410613181"",""DATA_ABSEN_DES24""),39,0)"),21)</f>
        <v>21</v>
      </c>
      <c r="O353" s="334">
        <f ca="1">IFERROR(__xludf.DUMMYFUNCTION("VLOOKUP(C353,IMPORTRANGE(""https://docs.google.com/spreadsheets/d/1rQ2O3to3MCxQ4eTnJ5b4WStW3zTBTYg21JZurI75aCM/edit?gid=1410613181#gid=1410613181"",""DATA_ABSEN_DES24""),40,0)"),20)</f>
        <v>20</v>
      </c>
      <c r="P353" s="16">
        <f t="shared" ca="1" si="381"/>
        <v>1344500</v>
      </c>
      <c r="Q353" s="16">
        <v>21</v>
      </c>
      <c r="R353" s="16">
        <f t="shared" si="382"/>
        <v>4725097.7920000004</v>
      </c>
      <c r="S353" s="16">
        <f t="shared" ca="1" si="383"/>
        <v>4725097.7920000004</v>
      </c>
      <c r="T353" s="16">
        <f t="shared" ca="1" si="384"/>
        <v>0</v>
      </c>
      <c r="U353" s="16">
        <v>100810</v>
      </c>
      <c r="V353" s="21">
        <f ca="1">IFERROR(__xludf.DUMMYFUNCTION("VLOOKUP(C353,IMPORTRANGE(""https://docs.google.com/spreadsheets/d/1rQ2O3to3MCxQ4eTnJ5b4WStW3zTBTYg21JZurI75aCM/edit?gid=1410613181#gid=1410613181"",""DATA_ABSEN_DES24""),41,0)"),0)</f>
        <v>0</v>
      </c>
      <c r="W353" s="16">
        <f t="shared" ca="1" si="385"/>
        <v>0</v>
      </c>
      <c r="X353" s="16">
        <v>0</v>
      </c>
      <c r="Y353" s="16">
        <f t="shared" ca="1" si="386"/>
        <v>4725097.7920000004</v>
      </c>
      <c r="Z353" s="21"/>
      <c r="AA353" s="21"/>
      <c r="AB353" s="21"/>
      <c r="AC353" s="21"/>
      <c r="AD353" s="21"/>
      <c r="AE353" s="16"/>
      <c r="AF353" s="16"/>
      <c r="AG353" s="16"/>
      <c r="AH353" s="16"/>
      <c r="AI353" s="16"/>
      <c r="AJ353" s="16"/>
      <c r="AK353" s="16"/>
      <c r="AL353" s="16"/>
      <c r="AM353" s="16"/>
      <c r="AN353" s="335">
        <f t="shared" ca="1" si="387"/>
        <v>4725097.7920000004</v>
      </c>
      <c r="AO353" s="20">
        <f t="shared" ca="1" si="388"/>
        <v>0</v>
      </c>
      <c r="AP353" s="20">
        <f t="shared" ca="1" si="389"/>
        <v>4725097.7920000004</v>
      </c>
      <c r="AQ353" s="20">
        <f t="shared" ca="1" si="390"/>
        <v>4725097.7920000004</v>
      </c>
      <c r="AR353" s="20">
        <f t="shared" ca="1" si="391"/>
        <v>4725100</v>
      </c>
      <c r="AS353" s="216"/>
      <c r="AT353" s="30" t="s">
        <v>17</v>
      </c>
      <c r="AU353" s="30" t="str">
        <f>VLOOKUP(AT353,TER!$R$2:$S$10,2,0)</f>
        <v>B</v>
      </c>
      <c r="AV353" s="20">
        <f t="shared" si="392"/>
        <v>3066580</v>
      </c>
      <c r="AW353" s="20">
        <f t="shared" ca="1" si="393"/>
        <v>1344500</v>
      </c>
      <c r="AX353" s="20">
        <f t="shared" ref="AX353:AY353" ca="1" si="414">W353</f>
        <v>0</v>
      </c>
      <c r="AY353" s="20">
        <f t="shared" si="414"/>
        <v>0</v>
      </c>
      <c r="AZ353" s="20">
        <f t="shared" si="395"/>
        <v>7359.7919999999995</v>
      </c>
      <c r="BA353" s="20">
        <f t="shared" si="396"/>
        <v>9199.74</v>
      </c>
      <c r="BB353" s="20">
        <f t="shared" si="397"/>
        <v>122663.2</v>
      </c>
      <c r="BC353" s="20">
        <f t="shared" ca="1" si="398"/>
        <v>4550302.7320000008</v>
      </c>
      <c r="BD353" s="37">
        <f ca="1">IF(AU353="C",VLOOKUP(BC353,TER!$J$4:$L$50,3,TRUE),IF(AU353="B",VLOOKUP(BC353,TER!$F$4:$H$50,3,TRUE),IF(AU353="A",VLOOKUP(BC353,TER!$B$4:$D$50,3,TRUE),"ERROR")))</f>
        <v>0</v>
      </c>
      <c r="BE353" s="20">
        <f t="shared" ca="1" si="399"/>
        <v>0</v>
      </c>
      <c r="BF353" s="216"/>
      <c r="BG353" s="216"/>
    </row>
    <row r="354" spans="1:59" ht="15.75" hidden="1" customHeight="1">
      <c r="A354" s="216"/>
      <c r="B354" s="27">
        <v>16</v>
      </c>
      <c r="C354" s="28" t="s">
        <v>650</v>
      </c>
      <c r="D354" s="29" t="s">
        <v>651</v>
      </c>
      <c r="E354" s="27" t="s">
        <v>57</v>
      </c>
      <c r="F354" s="28" t="s">
        <v>652</v>
      </c>
      <c r="G354" s="27" t="s">
        <v>31</v>
      </c>
      <c r="H354" s="332" t="s">
        <v>32</v>
      </c>
      <c r="I354" s="16">
        <f t="shared" si="380"/>
        <v>3066580</v>
      </c>
      <c r="J354" s="16">
        <v>191354.592</v>
      </c>
      <c r="K354" s="16">
        <v>122663.2</v>
      </c>
      <c r="L354" s="16">
        <v>200000</v>
      </c>
      <c r="M354" s="16">
        <f t="shared" si="402"/>
        <v>54500</v>
      </c>
      <c r="N354" s="21">
        <f ca="1">IFERROR(__xludf.DUMMYFUNCTION("VLOOKUP(C354,IMPORTRANGE(""https://docs.google.com/spreadsheets/d/1rQ2O3to3MCxQ4eTnJ5b4WStW3zTBTYg21JZurI75aCM/edit?gid=1410613181#gid=1410613181"",""DATA_ABSEN_DES24""),39,0)"),21)</f>
        <v>21</v>
      </c>
      <c r="O354" s="334">
        <f ca="1">IFERROR(__xludf.DUMMYFUNCTION("VLOOKUP(C354,IMPORTRANGE(""https://docs.google.com/spreadsheets/d/1rQ2O3to3MCxQ4eTnJ5b4WStW3zTBTYg21JZurI75aCM/edit?gid=1410613181#gid=1410613181"",""DATA_ABSEN_DES24""),40,0)"),20)</f>
        <v>20</v>
      </c>
      <c r="P354" s="16">
        <f t="shared" ca="1" si="381"/>
        <v>1344500</v>
      </c>
      <c r="Q354" s="16">
        <v>21</v>
      </c>
      <c r="R354" s="16">
        <f t="shared" si="382"/>
        <v>4725097.7920000004</v>
      </c>
      <c r="S354" s="16">
        <f t="shared" ca="1" si="383"/>
        <v>4725097.7920000004</v>
      </c>
      <c r="T354" s="16">
        <f t="shared" ca="1" si="384"/>
        <v>0</v>
      </c>
      <c r="U354" s="16">
        <v>100810</v>
      </c>
      <c r="V354" s="21">
        <f ca="1">IFERROR(__xludf.DUMMYFUNCTION("VLOOKUP(C354,IMPORTRANGE(""https://docs.google.com/spreadsheets/d/1rQ2O3to3MCxQ4eTnJ5b4WStW3zTBTYg21JZurI75aCM/edit?gid=1410613181#gid=1410613181"",""DATA_ABSEN_DES24""),41,0)"),0)</f>
        <v>0</v>
      </c>
      <c r="W354" s="16">
        <f t="shared" ca="1" si="385"/>
        <v>0</v>
      </c>
      <c r="X354" s="16">
        <v>0</v>
      </c>
      <c r="Y354" s="16">
        <f t="shared" ca="1" si="386"/>
        <v>4725097.7920000004</v>
      </c>
      <c r="Z354" s="21"/>
      <c r="AA354" s="21"/>
      <c r="AB354" s="21"/>
      <c r="AC354" s="21"/>
      <c r="AD354" s="21"/>
      <c r="AE354" s="16"/>
      <c r="AF354" s="16"/>
      <c r="AG354" s="16"/>
      <c r="AH354" s="16"/>
      <c r="AI354" s="16"/>
      <c r="AJ354" s="16"/>
      <c r="AK354" s="16"/>
      <c r="AL354" s="16"/>
      <c r="AM354" s="16"/>
      <c r="AN354" s="335">
        <f t="shared" ca="1" si="387"/>
        <v>4725097.7920000004</v>
      </c>
      <c r="AO354" s="20">
        <f t="shared" ca="1" si="388"/>
        <v>0</v>
      </c>
      <c r="AP354" s="20">
        <f t="shared" ca="1" si="389"/>
        <v>4725097.7920000004</v>
      </c>
      <c r="AQ354" s="20">
        <f t="shared" ca="1" si="390"/>
        <v>4725097.7920000004</v>
      </c>
      <c r="AR354" s="20">
        <f t="shared" ca="1" si="391"/>
        <v>4725100</v>
      </c>
      <c r="AS354" s="216"/>
      <c r="AT354" s="30" t="s">
        <v>9</v>
      </c>
      <c r="AU354" s="30" t="str">
        <f>VLOOKUP(AT354,TER!$R$2:$S$10,2,0)</f>
        <v>A</v>
      </c>
      <c r="AV354" s="20">
        <f t="shared" si="392"/>
        <v>3066580</v>
      </c>
      <c r="AW354" s="20">
        <f t="shared" ca="1" si="393"/>
        <v>1344500</v>
      </c>
      <c r="AX354" s="20">
        <f t="shared" ref="AX354:AY354" ca="1" si="415">W354</f>
        <v>0</v>
      </c>
      <c r="AY354" s="20">
        <f t="shared" si="415"/>
        <v>0</v>
      </c>
      <c r="AZ354" s="20">
        <f t="shared" si="395"/>
        <v>7359.7919999999995</v>
      </c>
      <c r="BA354" s="20">
        <f t="shared" si="396"/>
        <v>9199.74</v>
      </c>
      <c r="BB354" s="20">
        <f t="shared" si="397"/>
        <v>122663.2</v>
      </c>
      <c r="BC354" s="20">
        <f t="shared" ca="1" si="398"/>
        <v>4550302.7320000008</v>
      </c>
      <c r="BD354" s="37">
        <f ca="1">IF(AU354="C",VLOOKUP(BC354,TER!$J$4:$L$50,3,TRUE),IF(AU354="B",VLOOKUP(BC354,TER!$F$4:$H$50,3,TRUE),IF(AU354="A",VLOOKUP(BC354,TER!$B$4:$D$50,3,TRUE),"ERROR")))</f>
        <v>0</v>
      </c>
      <c r="BE354" s="20">
        <f t="shared" ca="1" si="399"/>
        <v>0</v>
      </c>
      <c r="BF354" s="216"/>
      <c r="BG354" s="216"/>
    </row>
    <row r="355" spans="1:59" ht="15.75" hidden="1" customHeight="1">
      <c r="A355" s="216"/>
      <c r="B355" s="27">
        <v>17</v>
      </c>
      <c r="C355" s="28" t="s">
        <v>653</v>
      </c>
      <c r="D355" s="29" t="s">
        <v>654</v>
      </c>
      <c r="E355" s="27" t="s">
        <v>57</v>
      </c>
      <c r="F355" s="28" t="s">
        <v>655</v>
      </c>
      <c r="G355" s="27" t="s">
        <v>31</v>
      </c>
      <c r="H355" s="332" t="s">
        <v>32</v>
      </c>
      <c r="I355" s="16">
        <f t="shared" si="380"/>
        <v>3066580</v>
      </c>
      <c r="J355" s="16">
        <v>191354.592</v>
      </c>
      <c r="K355" s="16">
        <v>122663.2</v>
      </c>
      <c r="L355" s="16">
        <v>200000</v>
      </c>
      <c r="M355" s="16">
        <f t="shared" si="402"/>
        <v>54500</v>
      </c>
      <c r="N355" s="21">
        <f ca="1">IFERROR(__xludf.DUMMYFUNCTION("VLOOKUP(C355,IMPORTRANGE(""https://docs.google.com/spreadsheets/d/1rQ2O3to3MCxQ4eTnJ5b4WStW3zTBTYg21JZurI75aCM/edit?gid=1410613181#gid=1410613181"",""DATA_ABSEN_DES24""),39,0)"),20)</f>
        <v>20</v>
      </c>
      <c r="O355" s="334">
        <f ca="1">IFERROR(__xludf.DUMMYFUNCTION("VLOOKUP(C355,IMPORTRANGE(""https://docs.google.com/spreadsheets/d/1rQ2O3to3MCxQ4eTnJ5b4WStW3zTBTYg21JZurI75aCM/edit?gid=1410613181#gid=1410613181"",""DATA_ABSEN_DES24""),40,0)"),20)</f>
        <v>20</v>
      </c>
      <c r="P355" s="16">
        <f t="shared" ca="1" si="381"/>
        <v>1290000</v>
      </c>
      <c r="Q355" s="16">
        <v>21</v>
      </c>
      <c r="R355" s="16">
        <f t="shared" si="382"/>
        <v>4725097.7920000004</v>
      </c>
      <c r="S355" s="16">
        <f t="shared" ca="1" si="383"/>
        <v>4670597.7920000004</v>
      </c>
      <c r="T355" s="16">
        <f t="shared" ca="1" si="384"/>
        <v>0</v>
      </c>
      <c r="U355" s="16">
        <v>100810</v>
      </c>
      <c r="V355" s="21">
        <f ca="1">IFERROR(__xludf.DUMMYFUNCTION("VLOOKUP(C355,IMPORTRANGE(""https://docs.google.com/spreadsheets/d/1rQ2O3to3MCxQ4eTnJ5b4WStW3zTBTYg21JZurI75aCM/edit?gid=1410613181#gid=1410613181"",""DATA_ABSEN_DES24""),41,0)"),0)</f>
        <v>0</v>
      </c>
      <c r="W355" s="16">
        <f t="shared" ca="1" si="385"/>
        <v>0</v>
      </c>
      <c r="X355" s="16">
        <v>0</v>
      </c>
      <c r="Y355" s="16">
        <f t="shared" ca="1" si="386"/>
        <v>4670597.7920000004</v>
      </c>
      <c r="Z355" s="21"/>
      <c r="AA355" s="21"/>
      <c r="AB355" s="21"/>
      <c r="AC355" s="21"/>
      <c r="AD355" s="21"/>
      <c r="AE355" s="16"/>
      <c r="AF355" s="16"/>
      <c r="AG355" s="16"/>
      <c r="AH355" s="16"/>
      <c r="AI355" s="16"/>
      <c r="AJ355" s="16"/>
      <c r="AK355" s="16"/>
      <c r="AL355" s="16"/>
      <c r="AM355" s="16"/>
      <c r="AN355" s="335">
        <f t="shared" ca="1" si="387"/>
        <v>4670597.7920000004</v>
      </c>
      <c r="AO355" s="20">
        <f t="shared" ca="1" si="388"/>
        <v>0</v>
      </c>
      <c r="AP355" s="20">
        <f t="shared" ca="1" si="389"/>
        <v>4670597.7920000004</v>
      </c>
      <c r="AQ355" s="20">
        <f t="shared" ca="1" si="390"/>
        <v>4670597.7920000004</v>
      </c>
      <c r="AR355" s="20">
        <f t="shared" ca="1" si="391"/>
        <v>4670600</v>
      </c>
      <c r="AS355" s="216"/>
      <c r="AT355" s="30" t="s">
        <v>13</v>
      </c>
      <c r="AU355" s="30" t="str">
        <f>VLOOKUP(AT355,TER!$R$2:$S$10,2,0)</f>
        <v>A</v>
      </c>
      <c r="AV355" s="20">
        <f t="shared" si="392"/>
        <v>3066580</v>
      </c>
      <c r="AW355" s="20">
        <f t="shared" ca="1" si="393"/>
        <v>1290000</v>
      </c>
      <c r="AX355" s="20">
        <f t="shared" ref="AX355:AY355" ca="1" si="416">W355</f>
        <v>0</v>
      </c>
      <c r="AY355" s="20">
        <f t="shared" si="416"/>
        <v>0</v>
      </c>
      <c r="AZ355" s="20">
        <f t="shared" si="395"/>
        <v>7359.7919999999995</v>
      </c>
      <c r="BA355" s="20">
        <f t="shared" si="396"/>
        <v>9199.74</v>
      </c>
      <c r="BB355" s="20">
        <f t="shared" si="397"/>
        <v>122663.2</v>
      </c>
      <c r="BC355" s="20">
        <f t="shared" ca="1" si="398"/>
        <v>4495802.7320000008</v>
      </c>
      <c r="BD355" s="37">
        <f ca="1">IF(AU355="C",VLOOKUP(BC355,TER!$J$4:$L$50,3,TRUE),IF(AU355="B",VLOOKUP(BC355,TER!$F$4:$H$50,3,TRUE),IF(AU355="A",VLOOKUP(BC355,TER!$B$4:$D$50,3,TRUE),"ERROR")))</f>
        <v>0</v>
      </c>
      <c r="BE355" s="20">
        <f t="shared" ca="1" si="399"/>
        <v>0</v>
      </c>
      <c r="BF355" s="216"/>
      <c r="BG355" s="216"/>
    </row>
    <row r="356" spans="1:59" ht="15.75" hidden="1" customHeight="1">
      <c r="A356" s="216"/>
      <c r="B356" s="27">
        <v>18</v>
      </c>
      <c r="C356" s="28" t="s">
        <v>656</v>
      </c>
      <c r="D356" s="29" t="s">
        <v>657</v>
      </c>
      <c r="E356" s="27" t="s">
        <v>57</v>
      </c>
      <c r="F356" s="28" t="s">
        <v>658</v>
      </c>
      <c r="G356" s="27" t="s">
        <v>31</v>
      </c>
      <c r="H356" s="332" t="s">
        <v>32</v>
      </c>
      <c r="I356" s="16">
        <f t="shared" si="380"/>
        <v>3066580</v>
      </c>
      <c r="J356" s="16">
        <v>191354.592</v>
      </c>
      <c r="K356" s="16">
        <v>122663.2</v>
      </c>
      <c r="L356" s="16">
        <v>200000</v>
      </c>
      <c r="M356" s="16">
        <f t="shared" si="402"/>
        <v>54500</v>
      </c>
      <c r="N356" s="21">
        <f ca="1">IFERROR(__xludf.DUMMYFUNCTION("VLOOKUP(C356,IMPORTRANGE(""https://docs.google.com/spreadsheets/d/1rQ2O3to3MCxQ4eTnJ5b4WStW3zTBTYg21JZurI75aCM/edit?gid=1410613181#gid=1410613181"",""DATA_ABSEN_DES24""),39,0)"),21)</f>
        <v>21</v>
      </c>
      <c r="O356" s="334">
        <f ca="1">IFERROR(__xludf.DUMMYFUNCTION("VLOOKUP(C356,IMPORTRANGE(""https://docs.google.com/spreadsheets/d/1rQ2O3to3MCxQ4eTnJ5b4WStW3zTBTYg21JZurI75aCM/edit?gid=1410613181#gid=1410613181"",""DATA_ABSEN_DES24""),40,0)"),20)</f>
        <v>20</v>
      </c>
      <c r="P356" s="16">
        <f t="shared" ca="1" si="381"/>
        <v>1344500</v>
      </c>
      <c r="Q356" s="16">
        <v>21</v>
      </c>
      <c r="R356" s="16">
        <f t="shared" si="382"/>
        <v>4725097.7920000004</v>
      </c>
      <c r="S356" s="16">
        <f t="shared" ca="1" si="383"/>
        <v>4725097.7920000004</v>
      </c>
      <c r="T356" s="16">
        <f t="shared" ca="1" si="384"/>
        <v>0</v>
      </c>
      <c r="U356" s="16">
        <v>100810</v>
      </c>
      <c r="V356" s="21">
        <f ca="1">IFERROR(__xludf.DUMMYFUNCTION("VLOOKUP(C356,IMPORTRANGE(""https://docs.google.com/spreadsheets/d/1rQ2O3to3MCxQ4eTnJ5b4WStW3zTBTYg21JZurI75aCM/edit?gid=1410613181#gid=1410613181"",""DATA_ABSEN_DES24""),41,0)"),0)</f>
        <v>0</v>
      </c>
      <c r="W356" s="16">
        <f t="shared" ca="1" si="385"/>
        <v>0</v>
      </c>
      <c r="X356" s="16">
        <v>0</v>
      </c>
      <c r="Y356" s="16">
        <f t="shared" ca="1" si="386"/>
        <v>4725097.7920000004</v>
      </c>
      <c r="Z356" s="21"/>
      <c r="AA356" s="21"/>
      <c r="AB356" s="21"/>
      <c r="AC356" s="21"/>
      <c r="AD356" s="21"/>
      <c r="AE356" s="16"/>
      <c r="AF356" s="16"/>
      <c r="AG356" s="16"/>
      <c r="AH356" s="16"/>
      <c r="AI356" s="16"/>
      <c r="AJ356" s="16"/>
      <c r="AK356" s="16"/>
      <c r="AL356" s="16"/>
      <c r="AM356" s="16"/>
      <c r="AN356" s="335">
        <f t="shared" ca="1" si="387"/>
        <v>4725097.7920000004</v>
      </c>
      <c r="AO356" s="20">
        <f t="shared" ca="1" si="388"/>
        <v>0</v>
      </c>
      <c r="AP356" s="20">
        <f t="shared" ca="1" si="389"/>
        <v>4725097.7920000004</v>
      </c>
      <c r="AQ356" s="20">
        <f t="shared" ca="1" si="390"/>
        <v>4725097.7920000004</v>
      </c>
      <c r="AR356" s="20">
        <f t="shared" ca="1" si="391"/>
        <v>4725100</v>
      </c>
      <c r="AS356" s="216"/>
      <c r="AT356" s="30" t="s">
        <v>9</v>
      </c>
      <c r="AU356" s="30" t="str">
        <f>VLOOKUP(AT356,TER!$R$2:$S$10,2,0)</f>
        <v>A</v>
      </c>
      <c r="AV356" s="20">
        <f t="shared" si="392"/>
        <v>3066580</v>
      </c>
      <c r="AW356" s="20">
        <f t="shared" ca="1" si="393"/>
        <v>1344500</v>
      </c>
      <c r="AX356" s="20">
        <f t="shared" ref="AX356:AY356" ca="1" si="417">W356</f>
        <v>0</v>
      </c>
      <c r="AY356" s="20">
        <f t="shared" si="417"/>
        <v>0</v>
      </c>
      <c r="AZ356" s="20">
        <f t="shared" si="395"/>
        <v>7359.7919999999995</v>
      </c>
      <c r="BA356" s="20">
        <f t="shared" si="396"/>
        <v>9199.74</v>
      </c>
      <c r="BB356" s="20">
        <f t="shared" si="397"/>
        <v>122663.2</v>
      </c>
      <c r="BC356" s="20">
        <f t="shared" ca="1" si="398"/>
        <v>4550302.7320000008</v>
      </c>
      <c r="BD356" s="37">
        <f ca="1">IF(AU356="C",VLOOKUP(BC356,TER!$J$4:$L$50,3,TRUE),IF(AU356="B",VLOOKUP(BC356,TER!$F$4:$H$50,3,TRUE),IF(AU356="A",VLOOKUP(BC356,TER!$B$4:$D$50,3,TRUE),"ERROR")))</f>
        <v>0</v>
      </c>
      <c r="BE356" s="20">
        <f t="shared" ca="1" si="399"/>
        <v>0</v>
      </c>
      <c r="BF356" s="216"/>
      <c r="BG356" s="216"/>
    </row>
    <row r="357" spans="1:59" ht="15.75" hidden="1" customHeight="1">
      <c r="A357" s="216"/>
      <c r="B357" s="27">
        <v>19</v>
      </c>
      <c r="C357" s="28" t="s">
        <v>659</v>
      </c>
      <c r="D357" s="29" t="s">
        <v>660</v>
      </c>
      <c r="E357" s="27" t="s">
        <v>57</v>
      </c>
      <c r="F357" s="28" t="s">
        <v>661</v>
      </c>
      <c r="G357" s="27" t="s">
        <v>31</v>
      </c>
      <c r="H357" s="332" t="s">
        <v>32</v>
      </c>
      <c r="I357" s="16">
        <f t="shared" si="380"/>
        <v>3066580</v>
      </c>
      <c r="J357" s="16">
        <v>191354.592</v>
      </c>
      <c r="K357" s="16">
        <v>122663.2</v>
      </c>
      <c r="L357" s="16">
        <v>200000</v>
      </c>
      <c r="M357" s="16">
        <f t="shared" si="402"/>
        <v>54500</v>
      </c>
      <c r="N357" s="21">
        <f ca="1">IFERROR(__xludf.DUMMYFUNCTION("VLOOKUP(C357,IMPORTRANGE(""https://docs.google.com/spreadsheets/d/1rQ2O3to3MCxQ4eTnJ5b4WStW3zTBTYg21JZurI75aCM/edit?gid=1410613181#gid=1410613181"",""DATA_ABSEN_DES24""),39,0)"),20)</f>
        <v>20</v>
      </c>
      <c r="O357" s="334">
        <f ca="1">IFERROR(__xludf.DUMMYFUNCTION("VLOOKUP(C357,IMPORTRANGE(""https://docs.google.com/spreadsheets/d/1rQ2O3to3MCxQ4eTnJ5b4WStW3zTBTYg21JZurI75aCM/edit?gid=1410613181#gid=1410613181"",""DATA_ABSEN_DES24""),40,0)"),20)</f>
        <v>20</v>
      </c>
      <c r="P357" s="16">
        <f t="shared" ca="1" si="381"/>
        <v>1290000</v>
      </c>
      <c r="Q357" s="16">
        <v>21</v>
      </c>
      <c r="R357" s="16">
        <f t="shared" si="382"/>
        <v>4725097.7920000004</v>
      </c>
      <c r="S357" s="16">
        <f t="shared" ca="1" si="383"/>
        <v>4670597.7920000004</v>
      </c>
      <c r="T357" s="16">
        <f t="shared" ca="1" si="384"/>
        <v>0</v>
      </c>
      <c r="U357" s="16">
        <v>100810</v>
      </c>
      <c r="V357" s="21">
        <f ca="1">IFERROR(__xludf.DUMMYFUNCTION("VLOOKUP(C357,IMPORTRANGE(""https://docs.google.com/spreadsheets/d/1rQ2O3to3MCxQ4eTnJ5b4WStW3zTBTYg21JZurI75aCM/edit?gid=1410613181#gid=1410613181"",""DATA_ABSEN_DES24""),41,0)"),0)</f>
        <v>0</v>
      </c>
      <c r="W357" s="16">
        <f t="shared" ca="1" si="385"/>
        <v>0</v>
      </c>
      <c r="X357" s="16">
        <v>0</v>
      </c>
      <c r="Y357" s="16">
        <f t="shared" ca="1" si="386"/>
        <v>4670597.7920000004</v>
      </c>
      <c r="Z357" s="21"/>
      <c r="AA357" s="21"/>
      <c r="AB357" s="21"/>
      <c r="AC357" s="21"/>
      <c r="AD357" s="21"/>
      <c r="AE357" s="16"/>
      <c r="AF357" s="16"/>
      <c r="AG357" s="16"/>
      <c r="AH357" s="16"/>
      <c r="AI357" s="16"/>
      <c r="AJ357" s="16"/>
      <c r="AK357" s="16"/>
      <c r="AL357" s="16"/>
      <c r="AM357" s="16"/>
      <c r="AN357" s="335">
        <f t="shared" ca="1" si="387"/>
        <v>4670597.7920000004</v>
      </c>
      <c r="AO357" s="20">
        <f t="shared" ca="1" si="388"/>
        <v>0</v>
      </c>
      <c r="AP357" s="20">
        <f t="shared" ca="1" si="389"/>
        <v>4670597.7920000004</v>
      </c>
      <c r="AQ357" s="20">
        <f t="shared" ca="1" si="390"/>
        <v>4670597.7920000004</v>
      </c>
      <c r="AR357" s="20">
        <f t="shared" ca="1" si="391"/>
        <v>4670600</v>
      </c>
      <c r="AS357" s="216"/>
      <c r="AT357" s="30" t="s">
        <v>17</v>
      </c>
      <c r="AU357" s="30" t="str">
        <f>VLOOKUP(AT357,TER!$R$2:$S$10,2,0)</f>
        <v>B</v>
      </c>
      <c r="AV357" s="20">
        <f t="shared" si="392"/>
        <v>3066580</v>
      </c>
      <c r="AW357" s="20">
        <f t="shared" ca="1" si="393"/>
        <v>1290000</v>
      </c>
      <c r="AX357" s="20">
        <f t="shared" ref="AX357:AY357" ca="1" si="418">W357</f>
        <v>0</v>
      </c>
      <c r="AY357" s="20">
        <f t="shared" si="418"/>
        <v>0</v>
      </c>
      <c r="AZ357" s="20">
        <f t="shared" si="395"/>
        <v>7359.7919999999995</v>
      </c>
      <c r="BA357" s="20">
        <f t="shared" si="396"/>
        <v>9199.74</v>
      </c>
      <c r="BB357" s="20">
        <f t="shared" si="397"/>
        <v>122663.2</v>
      </c>
      <c r="BC357" s="20">
        <f t="shared" ca="1" si="398"/>
        <v>4495802.7320000008</v>
      </c>
      <c r="BD357" s="37">
        <f ca="1">IF(AU357="C",VLOOKUP(BC357,TER!$J$4:$L$50,3,TRUE),IF(AU357="B",VLOOKUP(BC357,TER!$F$4:$H$50,3,TRUE),IF(AU357="A",VLOOKUP(BC357,TER!$B$4:$D$50,3,TRUE),"ERROR")))</f>
        <v>0</v>
      </c>
      <c r="BE357" s="20">
        <f t="shared" ca="1" si="399"/>
        <v>0</v>
      </c>
      <c r="BF357" s="216"/>
      <c r="BG357" s="216"/>
    </row>
    <row r="358" spans="1:59" ht="15.75" hidden="1" customHeight="1">
      <c r="A358" s="216"/>
      <c r="B358" s="27">
        <v>20</v>
      </c>
      <c r="C358" s="28" t="s">
        <v>662</v>
      </c>
      <c r="D358" s="29" t="s">
        <v>663</v>
      </c>
      <c r="E358" s="27" t="s">
        <v>57</v>
      </c>
      <c r="F358" s="28" t="s">
        <v>664</v>
      </c>
      <c r="G358" s="27" t="s">
        <v>31</v>
      </c>
      <c r="H358" s="332" t="s">
        <v>32</v>
      </c>
      <c r="I358" s="16">
        <f t="shared" si="380"/>
        <v>3066580</v>
      </c>
      <c r="J358" s="16">
        <v>191354.592</v>
      </c>
      <c r="K358" s="16">
        <v>122663.2</v>
      </c>
      <c r="L358" s="16">
        <v>200000</v>
      </c>
      <c r="M358" s="16">
        <f t="shared" si="402"/>
        <v>54500</v>
      </c>
      <c r="N358" s="21">
        <f ca="1">IFERROR(__xludf.DUMMYFUNCTION("VLOOKUP(C358,IMPORTRANGE(""https://docs.google.com/spreadsheets/d/1rQ2O3to3MCxQ4eTnJ5b4WStW3zTBTYg21JZurI75aCM/edit?gid=1410613181#gid=1410613181"",""DATA_ABSEN_DES24""),39,0)"),21)</f>
        <v>21</v>
      </c>
      <c r="O358" s="334">
        <f ca="1">IFERROR(__xludf.DUMMYFUNCTION("VLOOKUP(C358,IMPORTRANGE(""https://docs.google.com/spreadsheets/d/1rQ2O3to3MCxQ4eTnJ5b4WStW3zTBTYg21JZurI75aCM/edit?gid=1410613181#gid=1410613181"",""DATA_ABSEN_DES24""),40,0)"),20)</f>
        <v>20</v>
      </c>
      <c r="P358" s="16">
        <f t="shared" ca="1" si="381"/>
        <v>1344500</v>
      </c>
      <c r="Q358" s="16">
        <v>21</v>
      </c>
      <c r="R358" s="16">
        <f t="shared" si="382"/>
        <v>4725097.7920000004</v>
      </c>
      <c r="S358" s="16">
        <f t="shared" ca="1" si="383"/>
        <v>4725097.7920000004</v>
      </c>
      <c r="T358" s="16">
        <f t="shared" ca="1" si="384"/>
        <v>0</v>
      </c>
      <c r="U358" s="16">
        <v>100810</v>
      </c>
      <c r="V358" s="21">
        <f ca="1">IFERROR(__xludf.DUMMYFUNCTION("VLOOKUP(C358,IMPORTRANGE(""https://docs.google.com/spreadsheets/d/1rQ2O3to3MCxQ4eTnJ5b4WStW3zTBTYg21JZurI75aCM/edit?gid=1410613181#gid=1410613181"",""DATA_ABSEN_DES24""),41,0)"),0)</f>
        <v>0</v>
      </c>
      <c r="W358" s="16">
        <f t="shared" ca="1" si="385"/>
        <v>0</v>
      </c>
      <c r="X358" s="16">
        <v>0</v>
      </c>
      <c r="Y358" s="16">
        <f t="shared" ca="1" si="386"/>
        <v>4725097.7920000004</v>
      </c>
      <c r="Z358" s="21"/>
      <c r="AA358" s="21"/>
      <c r="AB358" s="21"/>
      <c r="AC358" s="21"/>
      <c r="AD358" s="21"/>
      <c r="AE358" s="16"/>
      <c r="AF358" s="16"/>
      <c r="AG358" s="16"/>
      <c r="AH358" s="16"/>
      <c r="AI358" s="16"/>
      <c r="AJ358" s="16"/>
      <c r="AK358" s="16"/>
      <c r="AL358" s="16"/>
      <c r="AM358" s="16"/>
      <c r="AN358" s="335">
        <f t="shared" ca="1" si="387"/>
        <v>4725097.7920000004</v>
      </c>
      <c r="AO358" s="20">
        <f t="shared" ca="1" si="388"/>
        <v>0</v>
      </c>
      <c r="AP358" s="20">
        <f t="shared" ca="1" si="389"/>
        <v>4725097.7920000004</v>
      </c>
      <c r="AQ358" s="20">
        <f t="shared" ca="1" si="390"/>
        <v>4725097.7920000004</v>
      </c>
      <c r="AR358" s="20">
        <f t="shared" ca="1" si="391"/>
        <v>4725100</v>
      </c>
      <c r="AS358" s="216"/>
      <c r="AT358" s="30" t="s">
        <v>9</v>
      </c>
      <c r="AU358" s="30" t="str">
        <f>VLOOKUP(AT358,TER!$R$2:$S$10,2,0)</f>
        <v>A</v>
      </c>
      <c r="AV358" s="20">
        <f t="shared" si="392"/>
        <v>3066580</v>
      </c>
      <c r="AW358" s="20">
        <f t="shared" ca="1" si="393"/>
        <v>1344500</v>
      </c>
      <c r="AX358" s="20">
        <f t="shared" ref="AX358:AY358" ca="1" si="419">W358</f>
        <v>0</v>
      </c>
      <c r="AY358" s="20">
        <f t="shared" si="419"/>
        <v>0</v>
      </c>
      <c r="AZ358" s="20">
        <f t="shared" si="395"/>
        <v>7359.7919999999995</v>
      </c>
      <c r="BA358" s="20">
        <f t="shared" si="396"/>
        <v>9199.74</v>
      </c>
      <c r="BB358" s="20">
        <f t="shared" si="397"/>
        <v>122663.2</v>
      </c>
      <c r="BC358" s="20">
        <f t="shared" ca="1" si="398"/>
        <v>4550302.7320000008</v>
      </c>
      <c r="BD358" s="37">
        <f ca="1">IF(AU358="C",VLOOKUP(BC358,TER!$J$4:$L$50,3,TRUE),IF(AU358="B",VLOOKUP(BC358,TER!$F$4:$H$50,3,TRUE),IF(AU358="A",VLOOKUP(BC358,TER!$B$4:$D$50,3,TRUE),"ERROR")))</f>
        <v>0</v>
      </c>
      <c r="BE358" s="20">
        <f t="shared" ca="1" si="399"/>
        <v>0</v>
      </c>
      <c r="BF358" s="216"/>
      <c r="BG358" s="216"/>
    </row>
    <row r="359" spans="1:59" ht="15.75" hidden="1" customHeight="1">
      <c r="A359" s="216"/>
      <c r="B359" s="27">
        <v>21</v>
      </c>
      <c r="C359" s="28" t="s">
        <v>665</v>
      </c>
      <c r="D359" s="29" t="s">
        <v>666</v>
      </c>
      <c r="E359" s="27" t="s">
        <v>57</v>
      </c>
      <c r="F359" s="28" t="s">
        <v>667</v>
      </c>
      <c r="G359" s="27" t="s">
        <v>31</v>
      </c>
      <c r="H359" s="332" t="s">
        <v>32</v>
      </c>
      <c r="I359" s="16">
        <f t="shared" si="380"/>
        <v>3066580</v>
      </c>
      <c r="J359" s="16">
        <v>191354.592</v>
      </c>
      <c r="K359" s="16">
        <v>122663.2</v>
      </c>
      <c r="L359" s="16">
        <v>200000</v>
      </c>
      <c r="M359" s="16">
        <f t="shared" si="402"/>
        <v>54500</v>
      </c>
      <c r="N359" s="21">
        <f ca="1">IFERROR(__xludf.DUMMYFUNCTION("VLOOKUP(C359,IMPORTRANGE(""https://docs.google.com/spreadsheets/d/1rQ2O3to3MCxQ4eTnJ5b4WStW3zTBTYg21JZurI75aCM/edit?gid=1410613181#gid=1410613181"",""DATA_ABSEN_DES24""),39,0)"),20)</f>
        <v>20</v>
      </c>
      <c r="O359" s="334">
        <f ca="1">IFERROR(__xludf.DUMMYFUNCTION("VLOOKUP(C359,IMPORTRANGE(""https://docs.google.com/spreadsheets/d/1rQ2O3to3MCxQ4eTnJ5b4WStW3zTBTYg21JZurI75aCM/edit?gid=1410613181#gid=1410613181"",""DATA_ABSEN_DES24""),40,0)"),20)</f>
        <v>20</v>
      </c>
      <c r="P359" s="16">
        <f t="shared" ca="1" si="381"/>
        <v>1290000</v>
      </c>
      <c r="Q359" s="16">
        <v>21</v>
      </c>
      <c r="R359" s="16">
        <f t="shared" si="382"/>
        <v>4725097.7920000004</v>
      </c>
      <c r="S359" s="16">
        <f t="shared" ca="1" si="383"/>
        <v>4670597.7920000004</v>
      </c>
      <c r="T359" s="16">
        <f t="shared" ca="1" si="384"/>
        <v>0</v>
      </c>
      <c r="U359" s="16">
        <v>100810</v>
      </c>
      <c r="V359" s="21">
        <f ca="1">IFERROR(__xludf.DUMMYFUNCTION("VLOOKUP(C359,IMPORTRANGE(""https://docs.google.com/spreadsheets/d/1rQ2O3to3MCxQ4eTnJ5b4WStW3zTBTYg21JZurI75aCM/edit?gid=1410613181#gid=1410613181"",""DATA_ABSEN_DES24""),41,0)"),0)</f>
        <v>0</v>
      </c>
      <c r="W359" s="16">
        <f t="shared" ca="1" si="385"/>
        <v>0</v>
      </c>
      <c r="X359" s="16">
        <v>0</v>
      </c>
      <c r="Y359" s="16">
        <f t="shared" ca="1" si="386"/>
        <v>4670597.7920000004</v>
      </c>
      <c r="Z359" s="21"/>
      <c r="AA359" s="21"/>
      <c r="AB359" s="21"/>
      <c r="AC359" s="21"/>
      <c r="AD359" s="21"/>
      <c r="AE359" s="16"/>
      <c r="AF359" s="16"/>
      <c r="AG359" s="16"/>
      <c r="AH359" s="16"/>
      <c r="AI359" s="16"/>
      <c r="AJ359" s="16"/>
      <c r="AK359" s="16"/>
      <c r="AL359" s="16"/>
      <c r="AM359" s="16"/>
      <c r="AN359" s="335">
        <f t="shared" ca="1" si="387"/>
        <v>4670597.7920000004</v>
      </c>
      <c r="AO359" s="20">
        <f t="shared" ca="1" si="388"/>
        <v>0</v>
      </c>
      <c r="AP359" s="20">
        <f t="shared" ca="1" si="389"/>
        <v>4670597.7920000004</v>
      </c>
      <c r="AQ359" s="20">
        <f t="shared" ca="1" si="390"/>
        <v>4670597.7920000004</v>
      </c>
      <c r="AR359" s="20">
        <f t="shared" ca="1" si="391"/>
        <v>4670600</v>
      </c>
      <c r="AS359" s="216"/>
      <c r="AT359" s="30" t="s">
        <v>18</v>
      </c>
      <c r="AU359" s="30" t="str">
        <f>VLOOKUP(AT359,TER!$R$2:$S$10,2,0)</f>
        <v>B</v>
      </c>
      <c r="AV359" s="20">
        <f t="shared" si="392"/>
        <v>3066580</v>
      </c>
      <c r="AW359" s="20">
        <f t="shared" ca="1" si="393"/>
        <v>1290000</v>
      </c>
      <c r="AX359" s="20">
        <f t="shared" ref="AX359:AY359" ca="1" si="420">W359</f>
        <v>0</v>
      </c>
      <c r="AY359" s="20">
        <f t="shared" si="420"/>
        <v>0</v>
      </c>
      <c r="AZ359" s="20">
        <f t="shared" si="395"/>
        <v>7359.7919999999995</v>
      </c>
      <c r="BA359" s="20">
        <f t="shared" si="396"/>
        <v>9199.74</v>
      </c>
      <c r="BB359" s="20">
        <f t="shared" si="397"/>
        <v>122663.2</v>
      </c>
      <c r="BC359" s="20">
        <f t="shared" ca="1" si="398"/>
        <v>4495802.7320000008</v>
      </c>
      <c r="BD359" s="37">
        <f ca="1">IF(AU359="C",VLOOKUP(BC359,TER!$J$4:$L$50,3,TRUE),IF(AU359="B",VLOOKUP(BC359,TER!$F$4:$H$50,3,TRUE),IF(AU359="A",VLOOKUP(BC359,TER!$B$4:$D$50,3,TRUE),"ERROR")))</f>
        <v>0</v>
      </c>
      <c r="BE359" s="20">
        <f t="shared" ca="1" si="399"/>
        <v>0</v>
      </c>
      <c r="BF359" s="216"/>
      <c r="BG359" s="216"/>
    </row>
    <row r="360" spans="1:59" ht="15.75" hidden="1" customHeight="1">
      <c r="A360" s="216"/>
      <c r="B360" s="27">
        <v>22</v>
      </c>
      <c r="C360" s="28" t="s">
        <v>668</v>
      </c>
      <c r="D360" s="29" t="s">
        <v>669</v>
      </c>
      <c r="E360" s="27" t="s">
        <v>57</v>
      </c>
      <c r="F360" s="28" t="s">
        <v>670</v>
      </c>
      <c r="G360" s="27" t="s">
        <v>31</v>
      </c>
      <c r="H360" s="332" t="s">
        <v>32</v>
      </c>
      <c r="I360" s="16">
        <f t="shared" si="380"/>
        <v>3066580</v>
      </c>
      <c r="J360" s="16">
        <v>191354.592</v>
      </c>
      <c r="K360" s="16">
        <v>122663.2</v>
      </c>
      <c r="L360" s="16">
        <v>200000</v>
      </c>
      <c r="M360" s="16">
        <f t="shared" si="402"/>
        <v>54500</v>
      </c>
      <c r="N360" s="21">
        <f ca="1">IFERROR(__xludf.DUMMYFUNCTION("VLOOKUP(C360,IMPORTRANGE(""https://docs.google.com/spreadsheets/d/1rQ2O3to3MCxQ4eTnJ5b4WStW3zTBTYg21JZurI75aCM/edit?gid=1410613181#gid=1410613181"",""DATA_ABSEN_DES24""),39,0)"),20)</f>
        <v>20</v>
      </c>
      <c r="O360" s="334">
        <f ca="1">IFERROR(__xludf.DUMMYFUNCTION("VLOOKUP(C360,IMPORTRANGE(""https://docs.google.com/spreadsheets/d/1rQ2O3to3MCxQ4eTnJ5b4WStW3zTBTYg21JZurI75aCM/edit?gid=1410613181#gid=1410613181"",""DATA_ABSEN_DES24""),40,0)"),20)</f>
        <v>20</v>
      </c>
      <c r="P360" s="16">
        <f t="shared" ca="1" si="381"/>
        <v>1290000</v>
      </c>
      <c r="Q360" s="16">
        <v>21</v>
      </c>
      <c r="R360" s="16">
        <f t="shared" si="382"/>
        <v>4725097.7920000004</v>
      </c>
      <c r="S360" s="16">
        <f t="shared" ca="1" si="383"/>
        <v>4670597.7920000004</v>
      </c>
      <c r="T360" s="16">
        <f t="shared" ca="1" si="384"/>
        <v>0</v>
      </c>
      <c r="U360" s="16">
        <v>100810</v>
      </c>
      <c r="V360" s="21">
        <f ca="1">IFERROR(__xludf.DUMMYFUNCTION("VLOOKUP(C360,IMPORTRANGE(""https://docs.google.com/spreadsheets/d/1rQ2O3to3MCxQ4eTnJ5b4WStW3zTBTYg21JZurI75aCM/edit?gid=1410613181#gid=1410613181"",""DATA_ABSEN_DES24""),41,0)"),0)</f>
        <v>0</v>
      </c>
      <c r="W360" s="16">
        <f t="shared" ca="1" si="385"/>
        <v>0</v>
      </c>
      <c r="X360" s="16">
        <v>0</v>
      </c>
      <c r="Y360" s="16">
        <f t="shared" ca="1" si="386"/>
        <v>4670597.7920000004</v>
      </c>
      <c r="Z360" s="21"/>
      <c r="AA360" s="21"/>
      <c r="AB360" s="21"/>
      <c r="AC360" s="21"/>
      <c r="AD360" s="21"/>
      <c r="AE360" s="16"/>
      <c r="AF360" s="16"/>
      <c r="AG360" s="16"/>
      <c r="AH360" s="16"/>
      <c r="AI360" s="16"/>
      <c r="AJ360" s="16"/>
      <c r="AK360" s="16"/>
      <c r="AL360" s="16"/>
      <c r="AM360" s="16"/>
      <c r="AN360" s="335">
        <f t="shared" ca="1" si="387"/>
        <v>4670597.7920000004</v>
      </c>
      <c r="AO360" s="20">
        <f t="shared" ca="1" si="388"/>
        <v>0</v>
      </c>
      <c r="AP360" s="20">
        <f t="shared" ca="1" si="389"/>
        <v>4670597.7920000004</v>
      </c>
      <c r="AQ360" s="20">
        <f t="shared" ca="1" si="390"/>
        <v>4670597.7920000004</v>
      </c>
      <c r="AR360" s="20">
        <f t="shared" ca="1" si="391"/>
        <v>4670600</v>
      </c>
      <c r="AS360" s="216"/>
      <c r="AT360" s="30" t="s">
        <v>18</v>
      </c>
      <c r="AU360" s="30" t="str">
        <f>VLOOKUP(AT360,TER!$R$2:$S$10,2,0)</f>
        <v>B</v>
      </c>
      <c r="AV360" s="20">
        <f t="shared" si="392"/>
        <v>3066580</v>
      </c>
      <c r="AW360" s="20">
        <f t="shared" ca="1" si="393"/>
        <v>1290000</v>
      </c>
      <c r="AX360" s="20">
        <f t="shared" ref="AX360:AY360" ca="1" si="421">W360</f>
        <v>0</v>
      </c>
      <c r="AY360" s="20">
        <f t="shared" si="421"/>
        <v>0</v>
      </c>
      <c r="AZ360" s="20">
        <f t="shared" si="395"/>
        <v>7359.7919999999995</v>
      </c>
      <c r="BA360" s="20">
        <f t="shared" si="396"/>
        <v>9199.74</v>
      </c>
      <c r="BB360" s="20">
        <f t="shared" si="397"/>
        <v>122663.2</v>
      </c>
      <c r="BC360" s="20">
        <f t="shared" ca="1" si="398"/>
        <v>4495802.7320000008</v>
      </c>
      <c r="BD360" s="37">
        <f ca="1">IF(AU360="C",VLOOKUP(BC360,TER!$J$4:$L$50,3,TRUE),IF(AU360="B",VLOOKUP(BC360,TER!$F$4:$H$50,3,TRUE),IF(AU360="A",VLOOKUP(BC360,TER!$B$4:$D$50,3,TRUE),"ERROR")))</f>
        <v>0</v>
      </c>
      <c r="BE360" s="20">
        <f t="shared" ca="1" si="399"/>
        <v>0</v>
      </c>
      <c r="BF360" s="216"/>
      <c r="BG360" s="216"/>
    </row>
    <row r="361" spans="1:59" ht="15.75" hidden="1" customHeight="1">
      <c r="A361" s="216"/>
      <c r="B361" s="27">
        <v>23</v>
      </c>
      <c r="C361" s="28" t="s">
        <v>671</v>
      </c>
      <c r="D361" s="29" t="s">
        <v>672</v>
      </c>
      <c r="E361" s="27" t="s">
        <v>57</v>
      </c>
      <c r="F361" s="28" t="s">
        <v>673</v>
      </c>
      <c r="G361" s="27" t="s">
        <v>31</v>
      </c>
      <c r="H361" s="332" t="s">
        <v>32</v>
      </c>
      <c r="I361" s="16">
        <f t="shared" si="380"/>
        <v>3066580</v>
      </c>
      <c r="J361" s="16">
        <v>191354.592</v>
      </c>
      <c r="K361" s="16">
        <v>122663.2</v>
      </c>
      <c r="L361" s="16">
        <v>200000</v>
      </c>
      <c r="M361" s="16">
        <f t="shared" si="402"/>
        <v>54500</v>
      </c>
      <c r="N361" s="21">
        <f ca="1">IFERROR(__xludf.DUMMYFUNCTION("VLOOKUP(C361,IMPORTRANGE(""https://docs.google.com/spreadsheets/d/1rQ2O3to3MCxQ4eTnJ5b4WStW3zTBTYg21JZurI75aCM/edit?gid=1410613181#gid=1410613181"",""DATA_ABSEN_DES24""),39,0)"),21)</f>
        <v>21</v>
      </c>
      <c r="O361" s="334">
        <f ca="1">IFERROR(__xludf.DUMMYFUNCTION("VLOOKUP(C361,IMPORTRANGE(""https://docs.google.com/spreadsheets/d/1rQ2O3to3MCxQ4eTnJ5b4WStW3zTBTYg21JZurI75aCM/edit?gid=1410613181#gid=1410613181"",""DATA_ABSEN_DES24""),40,0)"),20)</f>
        <v>20</v>
      </c>
      <c r="P361" s="16">
        <f t="shared" ca="1" si="381"/>
        <v>1344500</v>
      </c>
      <c r="Q361" s="16">
        <v>21</v>
      </c>
      <c r="R361" s="16">
        <f t="shared" si="382"/>
        <v>4725097.7920000004</v>
      </c>
      <c r="S361" s="16">
        <f t="shared" ca="1" si="383"/>
        <v>4725097.7920000004</v>
      </c>
      <c r="T361" s="16">
        <f t="shared" ca="1" si="384"/>
        <v>0</v>
      </c>
      <c r="U361" s="16">
        <v>100810</v>
      </c>
      <c r="V361" s="21">
        <f ca="1">IFERROR(__xludf.DUMMYFUNCTION("VLOOKUP(C361,IMPORTRANGE(""https://docs.google.com/spreadsheets/d/1rQ2O3to3MCxQ4eTnJ5b4WStW3zTBTYg21JZurI75aCM/edit?gid=1410613181#gid=1410613181"",""DATA_ABSEN_DES24""),41,0)"),0)</f>
        <v>0</v>
      </c>
      <c r="W361" s="16">
        <f t="shared" ca="1" si="385"/>
        <v>0</v>
      </c>
      <c r="X361" s="16">
        <v>0</v>
      </c>
      <c r="Y361" s="16">
        <f t="shared" ca="1" si="386"/>
        <v>4725097.7920000004</v>
      </c>
      <c r="Z361" s="21"/>
      <c r="AA361" s="21"/>
      <c r="AB361" s="21"/>
      <c r="AC361" s="21"/>
      <c r="AD361" s="21"/>
      <c r="AE361" s="16"/>
      <c r="AF361" s="16"/>
      <c r="AG361" s="16"/>
      <c r="AH361" s="16"/>
      <c r="AI361" s="16"/>
      <c r="AJ361" s="16"/>
      <c r="AK361" s="16"/>
      <c r="AL361" s="16"/>
      <c r="AM361" s="16"/>
      <c r="AN361" s="335">
        <f t="shared" ca="1" si="387"/>
        <v>4725097.7920000004</v>
      </c>
      <c r="AO361" s="20">
        <f t="shared" ca="1" si="388"/>
        <v>0</v>
      </c>
      <c r="AP361" s="20">
        <f t="shared" ca="1" si="389"/>
        <v>4725097.7920000004</v>
      </c>
      <c r="AQ361" s="20">
        <f t="shared" ca="1" si="390"/>
        <v>4725097.7920000004</v>
      </c>
      <c r="AR361" s="20">
        <f t="shared" ca="1" si="391"/>
        <v>4725100</v>
      </c>
      <c r="AS361" s="216"/>
      <c r="AT361" s="30" t="s">
        <v>9</v>
      </c>
      <c r="AU361" s="30" t="str">
        <f>VLOOKUP(AT361,TER!$R$2:$S$10,2,0)</f>
        <v>A</v>
      </c>
      <c r="AV361" s="20">
        <f t="shared" si="392"/>
        <v>3066580</v>
      </c>
      <c r="AW361" s="20">
        <f t="shared" ca="1" si="393"/>
        <v>1344500</v>
      </c>
      <c r="AX361" s="20">
        <f t="shared" ref="AX361:AY361" ca="1" si="422">W361</f>
        <v>0</v>
      </c>
      <c r="AY361" s="20">
        <f t="shared" si="422"/>
        <v>0</v>
      </c>
      <c r="AZ361" s="20">
        <f t="shared" si="395"/>
        <v>7359.7919999999995</v>
      </c>
      <c r="BA361" s="20">
        <f t="shared" si="396"/>
        <v>9199.74</v>
      </c>
      <c r="BB361" s="20">
        <f t="shared" si="397"/>
        <v>122663.2</v>
      </c>
      <c r="BC361" s="20">
        <f t="shared" ca="1" si="398"/>
        <v>4550302.7320000008</v>
      </c>
      <c r="BD361" s="37">
        <f ca="1">IF(AU361="C",VLOOKUP(BC361,TER!$J$4:$L$50,3,TRUE),IF(AU361="B",VLOOKUP(BC361,TER!$F$4:$H$50,3,TRUE),IF(AU361="A",VLOOKUP(BC361,TER!$B$4:$D$50,3,TRUE),"ERROR")))</f>
        <v>0</v>
      </c>
      <c r="BE361" s="20">
        <f t="shared" ca="1" si="399"/>
        <v>0</v>
      </c>
      <c r="BF361" s="216"/>
      <c r="BG361" s="216"/>
    </row>
    <row r="362" spans="1:59" ht="15.75" hidden="1" customHeight="1">
      <c r="A362" s="216"/>
      <c r="B362" s="27">
        <v>24</v>
      </c>
      <c r="C362" s="28" t="s">
        <v>674</v>
      </c>
      <c r="D362" s="29" t="s">
        <v>675</v>
      </c>
      <c r="E362" s="28" t="s">
        <v>57</v>
      </c>
      <c r="F362" s="28" t="s">
        <v>676</v>
      </c>
      <c r="G362" s="27" t="s">
        <v>31</v>
      </c>
      <c r="H362" s="332" t="s">
        <v>32</v>
      </c>
      <c r="I362" s="16">
        <f t="shared" si="380"/>
        <v>3066580</v>
      </c>
      <c r="J362" s="16">
        <v>191354.592</v>
      </c>
      <c r="K362" s="16">
        <v>122663.2</v>
      </c>
      <c r="L362" s="16">
        <v>200000</v>
      </c>
      <c r="M362" s="16">
        <f t="shared" si="402"/>
        <v>54500</v>
      </c>
      <c r="N362" s="21">
        <f ca="1">IFERROR(__xludf.DUMMYFUNCTION("VLOOKUP(C362,IMPORTRANGE(""https://docs.google.com/spreadsheets/d/1rQ2O3to3MCxQ4eTnJ5b4WStW3zTBTYg21JZurI75aCM/edit?gid=1410613181#gid=1410613181"",""DATA_ABSEN_DES24""),39,0)"),21)</f>
        <v>21</v>
      </c>
      <c r="O362" s="334">
        <f ca="1">IFERROR(__xludf.DUMMYFUNCTION("VLOOKUP(C362,IMPORTRANGE(""https://docs.google.com/spreadsheets/d/1rQ2O3to3MCxQ4eTnJ5b4WStW3zTBTYg21JZurI75aCM/edit?gid=1410613181#gid=1410613181"",""DATA_ABSEN_DES24""),40,0)"),20)</f>
        <v>20</v>
      </c>
      <c r="P362" s="16">
        <f t="shared" ca="1" si="381"/>
        <v>1344500</v>
      </c>
      <c r="Q362" s="16">
        <v>21</v>
      </c>
      <c r="R362" s="16">
        <f t="shared" si="382"/>
        <v>4725097.7920000004</v>
      </c>
      <c r="S362" s="16">
        <f t="shared" ca="1" si="383"/>
        <v>4725097.7920000004</v>
      </c>
      <c r="T362" s="16">
        <f t="shared" ca="1" si="384"/>
        <v>0</v>
      </c>
      <c r="U362" s="16">
        <v>100810</v>
      </c>
      <c r="V362" s="21">
        <f ca="1">IFERROR(__xludf.DUMMYFUNCTION("VLOOKUP(C362,IMPORTRANGE(""https://docs.google.com/spreadsheets/d/1rQ2O3to3MCxQ4eTnJ5b4WStW3zTBTYg21JZurI75aCM/edit?gid=1410613181#gid=1410613181"",""DATA_ABSEN_DES24""),41,0)"),0)</f>
        <v>0</v>
      </c>
      <c r="W362" s="16">
        <f t="shared" ca="1" si="385"/>
        <v>0</v>
      </c>
      <c r="X362" s="16">
        <v>0</v>
      </c>
      <c r="Y362" s="16">
        <f t="shared" ca="1" si="386"/>
        <v>4725097.7920000004</v>
      </c>
      <c r="Z362" s="21"/>
      <c r="AA362" s="21"/>
      <c r="AB362" s="21"/>
      <c r="AC362" s="21"/>
      <c r="AD362" s="21"/>
      <c r="AE362" s="16"/>
      <c r="AF362" s="16"/>
      <c r="AG362" s="16"/>
      <c r="AH362" s="16"/>
      <c r="AI362" s="16"/>
      <c r="AJ362" s="16"/>
      <c r="AK362" s="16"/>
      <c r="AL362" s="16"/>
      <c r="AM362" s="16"/>
      <c r="AN362" s="335">
        <f t="shared" ca="1" si="387"/>
        <v>4725097.7920000004</v>
      </c>
      <c r="AO362" s="20">
        <f t="shared" ca="1" si="388"/>
        <v>0</v>
      </c>
      <c r="AP362" s="20">
        <f t="shared" ca="1" si="389"/>
        <v>4725097.7920000004</v>
      </c>
      <c r="AQ362" s="20">
        <f t="shared" ca="1" si="390"/>
        <v>4725097.7920000004</v>
      </c>
      <c r="AR362" s="20">
        <f t="shared" ca="1" si="391"/>
        <v>4725100</v>
      </c>
      <c r="AS362" s="216"/>
      <c r="AT362" s="30" t="s">
        <v>13</v>
      </c>
      <c r="AU362" s="30" t="str">
        <f>VLOOKUP(AT362,TER!$R$2:$S$10,2,0)</f>
        <v>A</v>
      </c>
      <c r="AV362" s="20">
        <f t="shared" si="392"/>
        <v>3066580</v>
      </c>
      <c r="AW362" s="20">
        <f t="shared" ca="1" si="393"/>
        <v>1344500</v>
      </c>
      <c r="AX362" s="20">
        <f t="shared" ref="AX362:AY362" ca="1" si="423">W362</f>
        <v>0</v>
      </c>
      <c r="AY362" s="20">
        <f t="shared" si="423"/>
        <v>0</v>
      </c>
      <c r="AZ362" s="20">
        <f t="shared" si="395"/>
        <v>7359.7919999999995</v>
      </c>
      <c r="BA362" s="20">
        <f t="shared" si="396"/>
        <v>9199.74</v>
      </c>
      <c r="BB362" s="20">
        <f t="shared" si="397"/>
        <v>122663.2</v>
      </c>
      <c r="BC362" s="20">
        <f t="shared" ca="1" si="398"/>
        <v>4550302.7320000008</v>
      </c>
      <c r="BD362" s="37">
        <f ca="1">IF(AU362="C",VLOOKUP(BC362,TER!$J$4:$L$50,3,TRUE),IF(AU362="B",VLOOKUP(BC362,TER!$F$4:$H$50,3,TRUE),IF(AU362="A",VLOOKUP(BC362,TER!$B$4:$D$50,3,TRUE),"ERROR")))</f>
        <v>0</v>
      </c>
      <c r="BE362" s="20">
        <f t="shared" ca="1" si="399"/>
        <v>0</v>
      </c>
      <c r="BF362" s="216"/>
      <c r="BG362" s="216"/>
    </row>
    <row r="363" spans="1:59" ht="15.75" hidden="1" customHeight="1">
      <c r="A363" s="216"/>
      <c r="B363" s="27">
        <v>25</v>
      </c>
      <c r="C363" s="28" t="s">
        <v>677</v>
      </c>
      <c r="D363" s="29" t="s">
        <v>678</v>
      </c>
      <c r="E363" s="27" t="s">
        <v>57</v>
      </c>
      <c r="F363" s="28" t="s">
        <v>679</v>
      </c>
      <c r="G363" s="27" t="s">
        <v>31</v>
      </c>
      <c r="H363" s="332" t="s">
        <v>32</v>
      </c>
      <c r="I363" s="16">
        <f t="shared" si="380"/>
        <v>3066580</v>
      </c>
      <c r="J363" s="16">
        <v>191354.592</v>
      </c>
      <c r="K363" s="16">
        <v>122663.2</v>
      </c>
      <c r="L363" s="16">
        <v>200000</v>
      </c>
      <c r="M363" s="16">
        <f t="shared" si="402"/>
        <v>54500</v>
      </c>
      <c r="N363" s="21">
        <f ca="1">IFERROR(__xludf.DUMMYFUNCTION("VLOOKUP(C363,IMPORTRANGE(""https://docs.google.com/spreadsheets/d/1rQ2O3to3MCxQ4eTnJ5b4WStW3zTBTYg21JZurI75aCM/edit?gid=1410613181#gid=1410613181"",""DATA_ABSEN_DES24""),39,0)"),21)</f>
        <v>21</v>
      </c>
      <c r="O363" s="334">
        <f ca="1">IFERROR(__xludf.DUMMYFUNCTION("VLOOKUP(C363,IMPORTRANGE(""https://docs.google.com/spreadsheets/d/1rQ2O3to3MCxQ4eTnJ5b4WStW3zTBTYg21JZurI75aCM/edit?gid=1410613181#gid=1410613181"",""DATA_ABSEN_DES24""),40,0)"),20)</f>
        <v>20</v>
      </c>
      <c r="P363" s="16">
        <f t="shared" ca="1" si="381"/>
        <v>1344500</v>
      </c>
      <c r="Q363" s="16">
        <v>21</v>
      </c>
      <c r="R363" s="16">
        <f t="shared" si="382"/>
        <v>4725097.7920000004</v>
      </c>
      <c r="S363" s="16">
        <f t="shared" ca="1" si="383"/>
        <v>4725097.7920000004</v>
      </c>
      <c r="T363" s="16">
        <f t="shared" ca="1" si="384"/>
        <v>0</v>
      </c>
      <c r="U363" s="16">
        <v>100810</v>
      </c>
      <c r="V363" s="21">
        <f ca="1">IFERROR(__xludf.DUMMYFUNCTION("VLOOKUP(C363,IMPORTRANGE(""https://docs.google.com/spreadsheets/d/1rQ2O3to3MCxQ4eTnJ5b4WStW3zTBTYg21JZurI75aCM/edit?gid=1410613181#gid=1410613181"",""DATA_ABSEN_DES24""),41,0)"),0)</f>
        <v>0</v>
      </c>
      <c r="W363" s="16">
        <f t="shared" ca="1" si="385"/>
        <v>0</v>
      </c>
      <c r="X363" s="16">
        <v>0</v>
      </c>
      <c r="Y363" s="16">
        <f t="shared" ca="1" si="386"/>
        <v>4725097.7920000004</v>
      </c>
      <c r="Z363" s="21"/>
      <c r="AA363" s="21"/>
      <c r="AB363" s="21"/>
      <c r="AC363" s="21"/>
      <c r="AD363" s="21"/>
      <c r="AE363" s="16"/>
      <c r="AF363" s="16"/>
      <c r="AG363" s="16"/>
      <c r="AH363" s="16"/>
      <c r="AI363" s="16"/>
      <c r="AJ363" s="16"/>
      <c r="AK363" s="16"/>
      <c r="AL363" s="16"/>
      <c r="AM363" s="16"/>
      <c r="AN363" s="335">
        <f t="shared" ca="1" si="387"/>
        <v>4725097.7920000004</v>
      </c>
      <c r="AO363" s="20">
        <f t="shared" ca="1" si="388"/>
        <v>0</v>
      </c>
      <c r="AP363" s="20">
        <f t="shared" ca="1" si="389"/>
        <v>4725097.7920000004</v>
      </c>
      <c r="AQ363" s="20">
        <f t="shared" ca="1" si="390"/>
        <v>4725097.7920000004</v>
      </c>
      <c r="AR363" s="20">
        <f t="shared" ca="1" si="391"/>
        <v>4725100</v>
      </c>
      <c r="AS363" s="216"/>
      <c r="AT363" s="30" t="s">
        <v>9</v>
      </c>
      <c r="AU363" s="30" t="str">
        <f>VLOOKUP(AT363,TER!$R$2:$S$10,2,0)</f>
        <v>A</v>
      </c>
      <c r="AV363" s="20">
        <f t="shared" si="392"/>
        <v>3066580</v>
      </c>
      <c r="AW363" s="20">
        <f t="shared" ca="1" si="393"/>
        <v>1344500</v>
      </c>
      <c r="AX363" s="20">
        <f t="shared" ref="AX363:AY363" ca="1" si="424">W363</f>
        <v>0</v>
      </c>
      <c r="AY363" s="20">
        <f t="shared" si="424"/>
        <v>0</v>
      </c>
      <c r="AZ363" s="20">
        <f t="shared" si="395"/>
        <v>7359.7919999999995</v>
      </c>
      <c r="BA363" s="20">
        <f t="shared" si="396"/>
        <v>9199.74</v>
      </c>
      <c r="BB363" s="20">
        <f t="shared" si="397"/>
        <v>122663.2</v>
      </c>
      <c r="BC363" s="20">
        <f t="shared" ca="1" si="398"/>
        <v>4550302.7320000008</v>
      </c>
      <c r="BD363" s="37">
        <f ca="1">IF(AU363="C",VLOOKUP(BC363,TER!$J$4:$L$50,3,TRUE),IF(AU363="B",VLOOKUP(BC363,TER!$F$4:$H$50,3,TRUE),IF(AU363="A",VLOOKUP(BC363,TER!$B$4:$D$50,3,TRUE),"ERROR")))</f>
        <v>0</v>
      </c>
      <c r="BE363" s="20">
        <f t="shared" ca="1" si="399"/>
        <v>0</v>
      </c>
      <c r="BF363" s="216"/>
      <c r="BG363" s="216"/>
    </row>
    <row r="364" spans="1:59" ht="15.75" hidden="1" customHeight="1">
      <c r="A364" s="216"/>
      <c r="B364" s="27">
        <v>26</v>
      </c>
      <c r="C364" s="28" t="s">
        <v>680</v>
      </c>
      <c r="D364" s="29" t="s">
        <v>681</v>
      </c>
      <c r="E364" s="27" t="s">
        <v>57</v>
      </c>
      <c r="F364" s="28" t="s">
        <v>682</v>
      </c>
      <c r="G364" s="27" t="s">
        <v>31</v>
      </c>
      <c r="H364" s="332" t="s">
        <v>32</v>
      </c>
      <c r="I364" s="16">
        <f t="shared" si="380"/>
        <v>3066580</v>
      </c>
      <c r="J364" s="16">
        <v>191354.592</v>
      </c>
      <c r="K364" s="16">
        <v>122663.2</v>
      </c>
      <c r="L364" s="16">
        <v>200000</v>
      </c>
      <c r="M364" s="16">
        <f t="shared" si="402"/>
        <v>54500</v>
      </c>
      <c r="N364" s="21">
        <f ca="1">IFERROR(__xludf.DUMMYFUNCTION("VLOOKUP(C364,IMPORTRANGE(""https://docs.google.com/spreadsheets/d/1rQ2O3to3MCxQ4eTnJ5b4WStW3zTBTYg21JZurI75aCM/edit?gid=1410613181#gid=1410613181"",""DATA_ABSEN_DES24""),39,0)"),21)</f>
        <v>21</v>
      </c>
      <c r="O364" s="334">
        <f ca="1">IFERROR(__xludf.DUMMYFUNCTION("VLOOKUP(C364,IMPORTRANGE(""https://docs.google.com/spreadsheets/d/1rQ2O3to3MCxQ4eTnJ5b4WStW3zTBTYg21JZurI75aCM/edit?gid=1410613181#gid=1410613181"",""DATA_ABSEN_DES24""),40,0)"),20)</f>
        <v>20</v>
      </c>
      <c r="P364" s="16">
        <f t="shared" ca="1" si="381"/>
        <v>1344500</v>
      </c>
      <c r="Q364" s="16">
        <v>21</v>
      </c>
      <c r="R364" s="16">
        <f t="shared" si="382"/>
        <v>4725097.7920000004</v>
      </c>
      <c r="S364" s="16">
        <f t="shared" ca="1" si="383"/>
        <v>4725097.7920000004</v>
      </c>
      <c r="T364" s="16">
        <f t="shared" ca="1" si="384"/>
        <v>0</v>
      </c>
      <c r="U364" s="16">
        <v>100810</v>
      </c>
      <c r="V364" s="21">
        <f ca="1">IFERROR(__xludf.DUMMYFUNCTION("VLOOKUP(C364,IMPORTRANGE(""https://docs.google.com/spreadsheets/d/1rQ2O3to3MCxQ4eTnJ5b4WStW3zTBTYg21JZurI75aCM/edit?gid=1410613181#gid=1410613181"",""DATA_ABSEN_DES24""),41,0)"),0)</f>
        <v>0</v>
      </c>
      <c r="W364" s="16">
        <f t="shared" ca="1" si="385"/>
        <v>0</v>
      </c>
      <c r="X364" s="16">
        <v>0</v>
      </c>
      <c r="Y364" s="16">
        <f t="shared" ca="1" si="386"/>
        <v>4725097.7920000004</v>
      </c>
      <c r="Z364" s="21"/>
      <c r="AA364" s="21"/>
      <c r="AB364" s="21"/>
      <c r="AC364" s="21"/>
      <c r="AD364" s="21"/>
      <c r="AE364" s="16"/>
      <c r="AF364" s="16"/>
      <c r="AG364" s="16"/>
      <c r="AH364" s="16"/>
      <c r="AI364" s="16"/>
      <c r="AJ364" s="16"/>
      <c r="AK364" s="16"/>
      <c r="AL364" s="16"/>
      <c r="AM364" s="16"/>
      <c r="AN364" s="335">
        <f t="shared" ca="1" si="387"/>
        <v>4725097.7920000004</v>
      </c>
      <c r="AO364" s="20">
        <f t="shared" ca="1" si="388"/>
        <v>0</v>
      </c>
      <c r="AP364" s="20">
        <f t="shared" ca="1" si="389"/>
        <v>4725097.7920000004</v>
      </c>
      <c r="AQ364" s="20">
        <f t="shared" ca="1" si="390"/>
        <v>4725097.7920000004</v>
      </c>
      <c r="AR364" s="20">
        <f t="shared" ca="1" si="391"/>
        <v>4725100</v>
      </c>
      <c r="AS364" s="216"/>
      <c r="AT364" s="30" t="s">
        <v>17</v>
      </c>
      <c r="AU364" s="30" t="str">
        <f>VLOOKUP(AT364,TER!$R$2:$S$10,2,0)</f>
        <v>B</v>
      </c>
      <c r="AV364" s="20">
        <f t="shared" si="392"/>
        <v>3066580</v>
      </c>
      <c r="AW364" s="20">
        <f t="shared" ca="1" si="393"/>
        <v>1344500</v>
      </c>
      <c r="AX364" s="20">
        <f t="shared" ref="AX364:AY364" ca="1" si="425">W364</f>
        <v>0</v>
      </c>
      <c r="AY364" s="20">
        <f t="shared" si="425"/>
        <v>0</v>
      </c>
      <c r="AZ364" s="20">
        <f t="shared" si="395"/>
        <v>7359.7919999999995</v>
      </c>
      <c r="BA364" s="20">
        <f t="shared" si="396"/>
        <v>9199.74</v>
      </c>
      <c r="BB364" s="20">
        <f t="shared" si="397"/>
        <v>122663.2</v>
      </c>
      <c r="BC364" s="20">
        <f t="shared" ca="1" si="398"/>
        <v>4550302.7320000008</v>
      </c>
      <c r="BD364" s="37">
        <f ca="1">IF(AU364="C",VLOOKUP(BC364,TER!$J$4:$L$50,3,TRUE),IF(AU364="B",VLOOKUP(BC364,TER!$F$4:$H$50,3,TRUE),IF(AU364="A",VLOOKUP(BC364,TER!$B$4:$D$50,3,TRUE),"ERROR")))</f>
        <v>0</v>
      </c>
      <c r="BE364" s="20">
        <f t="shared" ca="1" si="399"/>
        <v>0</v>
      </c>
      <c r="BF364" s="216"/>
      <c r="BG364" s="216"/>
    </row>
    <row r="365" spans="1:59" ht="15.75" hidden="1" customHeight="1">
      <c r="A365" s="216"/>
      <c r="B365" s="27">
        <v>27</v>
      </c>
      <c r="C365" s="28" t="s">
        <v>683</v>
      </c>
      <c r="D365" s="29" t="s">
        <v>684</v>
      </c>
      <c r="E365" s="27" t="s">
        <v>57</v>
      </c>
      <c r="F365" s="28" t="s">
        <v>685</v>
      </c>
      <c r="G365" s="27" t="s">
        <v>31</v>
      </c>
      <c r="H365" s="332" t="s">
        <v>32</v>
      </c>
      <c r="I365" s="16">
        <f t="shared" si="380"/>
        <v>3066580</v>
      </c>
      <c r="J365" s="16">
        <v>191354.592</v>
      </c>
      <c r="K365" s="16">
        <v>122663.2</v>
      </c>
      <c r="L365" s="16">
        <v>200000</v>
      </c>
      <c r="M365" s="16">
        <f t="shared" si="402"/>
        <v>54500</v>
      </c>
      <c r="N365" s="21">
        <f ca="1">IFERROR(__xludf.DUMMYFUNCTION("VLOOKUP(C365,IMPORTRANGE(""https://docs.google.com/spreadsheets/d/1rQ2O3to3MCxQ4eTnJ5b4WStW3zTBTYg21JZurI75aCM/edit?gid=1410613181#gid=1410613181"",""DATA_ABSEN_DES24""),39,0)"),21)</f>
        <v>21</v>
      </c>
      <c r="O365" s="334">
        <f ca="1">IFERROR(__xludf.DUMMYFUNCTION("VLOOKUP(C365,IMPORTRANGE(""https://docs.google.com/spreadsheets/d/1rQ2O3to3MCxQ4eTnJ5b4WStW3zTBTYg21JZurI75aCM/edit?gid=1410613181#gid=1410613181"",""DATA_ABSEN_DES24""),40,0)"),20)</f>
        <v>20</v>
      </c>
      <c r="P365" s="16">
        <f t="shared" ca="1" si="381"/>
        <v>1344500</v>
      </c>
      <c r="Q365" s="16">
        <v>21</v>
      </c>
      <c r="R365" s="16">
        <f t="shared" si="382"/>
        <v>4725097.7920000004</v>
      </c>
      <c r="S365" s="16">
        <f t="shared" ca="1" si="383"/>
        <v>4725097.7920000004</v>
      </c>
      <c r="T365" s="16">
        <f t="shared" ca="1" si="384"/>
        <v>0</v>
      </c>
      <c r="U365" s="16">
        <v>100810</v>
      </c>
      <c r="V365" s="21">
        <f ca="1">IFERROR(__xludf.DUMMYFUNCTION("VLOOKUP(C365,IMPORTRANGE(""https://docs.google.com/spreadsheets/d/1rQ2O3to3MCxQ4eTnJ5b4WStW3zTBTYg21JZurI75aCM/edit?gid=1410613181#gid=1410613181"",""DATA_ABSEN_DES24""),41,0)"),0)</f>
        <v>0</v>
      </c>
      <c r="W365" s="16">
        <f t="shared" ca="1" si="385"/>
        <v>0</v>
      </c>
      <c r="X365" s="16">
        <v>0</v>
      </c>
      <c r="Y365" s="16">
        <f t="shared" ca="1" si="386"/>
        <v>4725097.7920000004</v>
      </c>
      <c r="Z365" s="21"/>
      <c r="AA365" s="21"/>
      <c r="AB365" s="21"/>
      <c r="AC365" s="21"/>
      <c r="AD365" s="21"/>
      <c r="AE365" s="16"/>
      <c r="AF365" s="16"/>
      <c r="AG365" s="16"/>
      <c r="AH365" s="16"/>
      <c r="AI365" s="16"/>
      <c r="AJ365" s="16"/>
      <c r="AK365" s="16"/>
      <c r="AL365" s="16"/>
      <c r="AM365" s="16"/>
      <c r="AN365" s="335">
        <f t="shared" ca="1" si="387"/>
        <v>4725097.7920000004</v>
      </c>
      <c r="AO365" s="20">
        <f t="shared" ca="1" si="388"/>
        <v>0</v>
      </c>
      <c r="AP365" s="20">
        <f t="shared" ca="1" si="389"/>
        <v>4725097.7920000004</v>
      </c>
      <c r="AQ365" s="20">
        <f t="shared" ca="1" si="390"/>
        <v>4725097.7920000004</v>
      </c>
      <c r="AR365" s="20">
        <f t="shared" ca="1" si="391"/>
        <v>4725100</v>
      </c>
      <c r="AS365" s="216"/>
      <c r="AT365" s="30" t="s">
        <v>18</v>
      </c>
      <c r="AU365" s="30" t="str">
        <f>VLOOKUP(AT365,TER!$R$2:$S$10,2,0)</f>
        <v>B</v>
      </c>
      <c r="AV365" s="20">
        <f t="shared" si="392"/>
        <v>3066580</v>
      </c>
      <c r="AW365" s="20">
        <f t="shared" ca="1" si="393"/>
        <v>1344500</v>
      </c>
      <c r="AX365" s="20">
        <f t="shared" ref="AX365:AY365" ca="1" si="426">W365</f>
        <v>0</v>
      </c>
      <c r="AY365" s="20">
        <f t="shared" si="426"/>
        <v>0</v>
      </c>
      <c r="AZ365" s="20">
        <f t="shared" si="395"/>
        <v>7359.7919999999995</v>
      </c>
      <c r="BA365" s="20">
        <f t="shared" si="396"/>
        <v>9199.74</v>
      </c>
      <c r="BB365" s="20">
        <f t="shared" si="397"/>
        <v>122663.2</v>
      </c>
      <c r="BC365" s="20">
        <f t="shared" ca="1" si="398"/>
        <v>4550302.7320000008</v>
      </c>
      <c r="BD365" s="37">
        <f ca="1">IF(AU365="C",VLOOKUP(BC365,TER!$J$4:$L$50,3,TRUE),IF(AU365="B",VLOOKUP(BC365,TER!$F$4:$H$50,3,TRUE),IF(AU365="A",VLOOKUP(BC365,TER!$B$4:$D$50,3,TRUE),"ERROR")))</f>
        <v>0</v>
      </c>
      <c r="BE365" s="20">
        <f t="shared" ca="1" si="399"/>
        <v>0</v>
      </c>
      <c r="BF365" s="216"/>
      <c r="BG365" s="216"/>
    </row>
    <row r="366" spans="1:59" ht="15.75" hidden="1" customHeight="1">
      <c r="A366" s="216"/>
      <c r="B366" s="27">
        <v>28</v>
      </c>
      <c r="C366" s="28" t="s">
        <v>233</v>
      </c>
      <c r="D366" s="29" t="s">
        <v>234</v>
      </c>
      <c r="E366" s="27" t="s">
        <v>57</v>
      </c>
      <c r="F366" s="28" t="s">
        <v>235</v>
      </c>
      <c r="G366" s="27" t="s">
        <v>94</v>
      </c>
      <c r="H366" s="332" t="s">
        <v>32</v>
      </c>
      <c r="I366" s="16">
        <f t="shared" si="380"/>
        <v>3066580</v>
      </c>
      <c r="J366" s="16">
        <v>191354.592</v>
      </c>
      <c r="K366" s="16">
        <v>122663.2</v>
      </c>
      <c r="L366" s="16">
        <f>200000+250000</f>
        <v>450000</v>
      </c>
      <c r="M366" s="16">
        <f>(724500+472500)/21</f>
        <v>57000</v>
      </c>
      <c r="N366" s="21">
        <f ca="1">IFERROR(__xludf.DUMMYFUNCTION("VLOOKUP(C366,IMPORTRANGE(""https://docs.google.com/spreadsheets/d/1rQ2O3to3MCxQ4eTnJ5b4WStW3zTBTYg21JZurI75aCM/edit?gid=1410613181#gid=1410613181"",""DATA_ABSEN_DES24""),39,0)"),21)</f>
        <v>21</v>
      </c>
      <c r="O366" s="334">
        <f ca="1">IFERROR(__xludf.DUMMYFUNCTION("VLOOKUP(C366,IMPORTRANGE(""https://docs.google.com/spreadsheets/d/1rQ2O3to3MCxQ4eTnJ5b4WStW3zTBTYg21JZurI75aCM/edit?gid=1410613181#gid=1410613181"",""DATA_ABSEN_DES24""),40,0)"),20)</f>
        <v>20</v>
      </c>
      <c r="P366" s="16">
        <f t="shared" ca="1" si="381"/>
        <v>1647000</v>
      </c>
      <c r="Q366" s="16">
        <v>21</v>
      </c>
      <c r="R366" s="16">
        <f t="shared" si="382"/>
        <v>5027597.7920000004</v>
      </c>
      <c r="S366" s="16">
        <f t="shared" ca="1" si="383"/>
        <v>5027597.7920000004</v>
      </c>
      <c r="T366" s="16">
        <f t="shared" ca="1" si="384"/>
        <v>0</v>
      </c>
      <c r="U366" s="16">
        <v>100810</v>
      </c>
      <c r="V366" s="21">
        <f ca="1">IFERROR(__xludf.DUMMYFUNCTION("VLOOKUP(C366,IMPORTRANGE(""https://docs.google.com/spreadsheets/d/1rQ2O3to3MCxQ4eTnJ5b4WStW3zTBTYg21JZurI75aCM/edit?gid=1410613181#gid=1410613181"",""DATA_ABSEN_DES24""),41,0)"),0)</f>
        <v>0</v>
      </c>
      <c r="W366" s="16">
        <f t="shared" ca="1" si="385"/>
        <v>0</v>
      </c>
      <c r="X366" s="16">
        <v>0</v>
      </c>
      <c r="Y366" s="16">
        <f t="shared" ca="1" si="386"/>
        <v>5027597.7920000004</v>
      </c>
      <c r="Z366" s="21"/>
      <c r="AA366" s="21"/>
      <c r="AB366" s="21"/>
      <c r="AC366" s="21"/>
      <c r="AD366" s="21"/>
      <c r="AE366" s="16"/>
      <c r="AF366" s="16"/>
      <c r="AG366" s="16"/>
      <c r="AH366" s="16"/>
      <c r="AI366" s="16"/>
      <c r="AJ366" s="16"/>
      <c r="AK366" s="16"/>
      <c r="AL366" s="16"/>
      <c r="AM366" s="16"/>
      <c r="AN366" s="335">
        <f t="shared" ca="1" si="387"/>
        <v>5027597.7920000004</v>
      </c>
      <c r="AO366" s="20">
        <f t="shared" ca="1" si="388"/>
        <v>0</v>
      </c>
      <c r="AP366" s="20">
        <f t="shared" ca="1" si="389"/>
        <v>5027597.7920000004</v>
      </c>
      <c r="AQ366" s="20">
        <f t="shared" ca="1" si="390"/>
        <v>5027597.7920000004</v>
      </c>
      <c r="AR366" s="20">
        <f t="shared" ca="1" si="391"/>
        <v>5027600</v>
      </c>
      <c r="AS366" s="216"/>
      <c r="AT366" s="30" t="s">
        <v>17</v>
      </c>
      <c r="AU366" s="30" t="str">
        <f>VLOOKUP(AT366,TER!$R$2:$S$10,2,0)</f>
        <v>B</v>
      </c>
      <c r="AV366" s="20">
        <f t="shared" si="392"/>
        <v>3066580</v>
      </c>
      <c r="AW366" s="20">
        <f t="shared" ca="1" si="393"/>
        <v>1647000</v>
      </c>
      <c r="AX366" s="20">
        <f t="shared" ref="AX366:AY366" ca="1" si="427">W366</f>
        <v>0</v>
      </c>
      <c r="AY366" s="20">
        <f t="shared" si="427"/>
        <v>0</v>
      </c>
      <c r="AZ366" s="20">
        <f t="shared" si="395"/>
        <v>7359.7919999999995</v>
      </c>
      <c r="BA366" s="20">
        <f t="shared" si="396"/>
        <v>9199.74</v>
      </c>
      <c r="BB366" s="20">
        <f t="shared" si="397"/>
        <v>122663.2</v>
      </c>
      <c r="BC366" s="20">
        <f t="shared" ca="1" si="398"/>
        <v>4852802.7320000008</v>
      </c>
      <c r="BD366" s="37">
        <f ca="1">IF(AU366="C",VLOOKUP(BC366,TER!$J$4:$L$50,3,TRUE),IF(AU366="B",VLOOKUP(BC366,TER!$F$4:$H$50,3,TRUE),IF(AU366="A",VLOOKUP(BC366,TER!$B$4:$D$50,3,TRUE),"ERROR")))</f>
        <v>0</v>
      </c>
      <c r="BE366" s="20">
        <f t="shared" ca="1" si="399"/>
        <v>0</v>
      </c>
      <c r="BF366" s="216"/>
      <c r="BG366" s="216"/>
    </row>
    <row r="367" spans="1:59" ht="15.75" hidden="1" customHeight="1">
      <c r="A367" s="216"/>
      <c r="B367" s="27">
        <v>29</v>
      </c>
      <c r="C367" s="28" t="s">
        <v>686</v>
      </c>
      <c r="D367" s="29" t="s">
        <v>687</v>
      </c>
      <c r="E367" s="27" t="s">
        <v>57</v>
      </c>
      <c r="F367" s="28" t="s">
        <v>688</v>
      </c>
      <c r="G367" s="27" t="s">
        <v>31</v>
      </c>
      <c r="H367" s="332" t="s">
        <v>32</v>
      </c>
      <c r="I367" s="16">
        <f t="shared" si="380"/>
        <v>3066580</v>
      </c>
      <c r="J367" s="348">
        <v>191354.592</v>
      </c>
      <c r="K367" s="348">
        <v>122663.2</v>
      </c>
      <c r="L367" s="16">
        <v>200000</v>
      </c>
      <c r="M367" s="16">
        <f t="shared" ref="M367:M379" si="428">(724500+420000)/21</f>
        <v>54500</v>
      </c>
      <c r="N367" s="21">
        <f ca="1">IFERROR(__xludf.DUMMYFUNCTION("VLOOKUP(C367,IMPORTRANGE(""https://docs.google.com/spreadsheets/d/1rQ2O3to3MCxQ4eTnJ5b4WStW3zTBTYg21JZurI75aCM/edit?gid=1410613181#gid=1410613181"",""DATA_ABSEN_DES24""),39,0)"),20)</f>
        <v>20</v>
      </c>
      <c r="O367" s="334">
        <f ca="1">IFERROR(__xludf.DUMMYFUNCTION("VLOOKUP(C367,IMPORTRANGE(""https://docs.google.com/spreadsheets/d/1rQ2O3to3MCxQ4eTnJ5b4WStW3zTBTYg21JZurI75aCM/edit?gid=1410613181#gid=1410613181"",""DATA_ABSEN_DES24""),40,0)"),20)</f>
        <v>20</v>
      </c>
      <c r="P367" s="16">
        <f t="shared" ca="1" si="381"/>
        <v>1290000</v>
      </c>
      <c r="Q367" s="16">
        <v>21</v>
      </c>
      <c r="R367" s="16">
        <f t="shared" si="382"/>
        <v>4725097.7920000004</v>
      </c>
      <c r="S367" s="16">
        <f t="shared" ca="1" si="383"/>
        <v>4670597.7920000004</v>
      </c>
      <c r="T367" s="16">
        <f t="shared" ca="1" si="384"/>
        <v>0</v>
      </c>
      <c r="U367" s="16">
        <v>100810</v>
      </c>
      <c r="V367" s="21">
        <f ca="1">IFERROR(__xludf.DUMMYFUNCTION("VLOOKUP(C367,IMPORTRANGE(""https://docs.google.com/spreadsheets/d/1rQ2O3to3MCxQ4eTnJ5b4WStW3zTBTYg21JZurI75aCM/edit?gid=1410613181#gid=1410613181"",""DATA_ABSEN_DES24""),41,0)"),0)</f>
        <v>0</v>
      </c>
      <c r="W367" s="16">
        <f t="shared" ca="1" si="385"/>
        <v>0</v>
      </c>
      <c r="X367" s="16">
        <v>0</v>
      </c>
      <c r="Y367" s="16">
        <f t="shared" ca="1" si="386"/>
        <v>4670597.7920000004</v>
      </c>
      <c r="Z367" s="21"/>
      <c r="AA367" s="21"/>
      <c r="AB367" s="21"/>
      <c r="AC367" s="21"/>
      <c r="AD367" s="21"/>
      <c r="AE367" s="16"/>
      <c r="AF367" s="16"/>
      <c r="AG367" s="16"/>
      <c r="AH367" s="16"/>
      <c r="AI367" s="16"/>
      <c r="AJ367" s="16"/>
      <c r="AK367" s="16"/>
      <c r="AL367" s="16"/>
      <c r="AM367" s="16"/>
      <c r="AN367" s="335">
        <f t="shared" ca="1" si="387"/>
        <v>4670597.7920000004</v>
      </c>
      <c r="AO367" s="20">
        <f t="shared" ca="1" si="388"/>
        <v>0</v>
      </c>
      <c r="AP367" s="20">
        <f t="shared" ca="1" si="389"/>
        <v>4670597.7920000004</v>
      </c>
      <c r="AQ367" s="20">
        <f t="shared" ca="1" si="390"/>
        <v>4670597.7920000004</v>
      </c>
      <c r="AR367" s="20">
        <f t="shared" ca="1" si="391"/>
        <v>4670600</v>
      </c>
      <c r="AS367" s="216"/>
      <c r="AT367" s="27" t="s">
        <v>17</v>
      </c>
      <c r="AU367" s="30" t="str">
        <f>VLOOKUP(AT367,TER!$R$2:$S$10,2,0)</f>
        <v>B</v>
      </c>
      <c r="AV367" s="20">
        <f t="shared" si="392"/>
        <v>3066580</v>
      </c>
      <c r="AW367" s="20">
        <f t="shared" ca="1" si="393"/>
        <v>1290000</v>
      </c>
      <c r="AX367" s="20">
        <f t="shared" ref="AX367:AY367" ca="1" si="429">W367</f>
        <v>0</v>
      </c>
      <c r="AY367" s="20">
        <f t="shared" si="429"/>
        <v>0</v>
      </c>
      <c r="AZ367" s="20">
        <f t="shared" si="395"/>
        <v>7359.7919999999995</v>
      </c>
      <c r="BA367" s="20">
        <f t="shared" si="396"/>
        <v>9199.74</v>
      </c>
      <c r="BB367" s="20">
        <f t="shared" si="397"/>
        <v>122663.2</v>
      </c>
      <c r="BC367" s="20">
        <f t="shared" ca="1" si="398"/>
        <v>4495802.7320000008</v>
      </c>
      <c r="BD367" s="37">
        <f ca="1">IF(AU367="C",VLOOKUP(BC367,TER!$J$4:$L$50,3,TRUE),IF(AU367="B",VLOOKUP(BC367,TER!$F$4:$H$50,3,TRUE),IF(AU367="A",VLOOKUP(BC367,TER!$B$4:$D$50,3,TRUE),"ERROR")))</f>
        <v>0</v>
      </c>
      <c r="BE367" s="20">
        <f t="shared" ca="1" si="399"/>
        <v>0</v>
      </c>
      <c r="BF367" s="216"/>
      <c r="BG367" s="216"/>
    </row>
    <row r="368" spans="1:59" ht="15.75" hidden="1" customHeight="1">
      <c r="A368" s="216"/>
      <c r="B368" s="27">
        <v>30</v>
      </c>
      <c r="C368" s="28" t="s">
        <v>689</v>
      </c>
      <c r="D368" s="29" t="s">
        <v>690</v>
      </c>
      <c r="E368" s="27" t="s">
        <v>57</v>
      </c>
      <c r="F368" s="28" t="s">
        <v>691</v>
      </c>
      <c r="G368" s="27" t="s">
        <v>31</v>
      </c>
      <c r="H368" s="332" t="s">
        <v>32</v>
      </c>
      <c r="I368" s="16">
        <f t="shared" si="380"/>
        <v>3066580</v>
      </c>
      <c r="J368" s="16">
        <v>191354.592</v>
      </c>
      <c r="K368" s="16">
        <v>122663.2</v>
      </c>
      <c r="L368" s="16">
        <v>200000</v>
      </c>
      <c r="M368" s="16">
        <f t="shared" si="428"/>
        <v>54500</v>
      </c>
      <c r="N368" s="21">
        <f ca="1">IFERROR(__xludf.DUMMYFUNCTION("VLOOKUP(C368,IMPORTRANGE(""https://docs.google.com/spreadsheets/d/1rQ2O3to3MCxQ4eTnJ5b4WStW3zTBTYg21JZurI75aCM/edit?gid=1410613181#gid=1410613181"",""DATA_ABSEN_DES24""),39,0)"),21)</f>
        <v>21</v>
      </c>
      <c r="O368" s="334">
        <f ca="1">IFERROR(__xludf.DUMMYFUNCTION("VLOOKUP(C368,IMPORTRANGE(""https://docs.google.com/spreadsheets/d/1rQ2O3to3MCxQ4eTnJ5b4WStW3zTBTYg21JZurI75aCM/edit?gid=1410613181#gid=1410613181"",""DATA_ABSEN_DES24""),40,0)"),20)</f>
        <v>20</v>
      </c>
      <c r="P368" s="16">
        <f t="shared" ca="1" si="381"/>
        <v>1344500</v>
      </c>
      <c r="Q368" s="16">
        <v>21</v>
      </c>
      <c r="R368" s="16">
        <f t="shared" si="382"/>
        <v>4725097.7920000004</v>
      </c>
      <c r="S368" s="16">
        <f t="shared" ca="1" si="383"/>
        <v>4725097.7920000004</v>
      </c>
      <c r="T368" s="16">
        <f t="shared" ca="1" si="384"/>
        <v>0</v>
      </c>
      <c r="U368" s="16">
        <v>100810</v>
      </c>
      <c r="V368" s="21">
        <f ca="1">IFERROR(__xludf.DUMMYFUNCTION("VLOOKUP(C368,IMPORTRANGE(""https://docs.google.com/spreadsheets/d/1rQ2O3to3MCxQ4eTnJ5b4WStW3zTBTYg21JZurI75aCM/edit?gid=1410613181#gid=1410613181"",""DATA_ABSEN_DES24""),41,0)"),0)</f>
        <v>0</v>
      </c>
      <c r="W368" s="16">
        <f t="shared" ca="1" si="385"/>
        <v>0</v>
      </c>
      <c r="X368" s="16">
        <v>0</v>
      </c>
      <c r="Y368" s="16">
        <f t="shared" ca="1" si="386"/>
        <v>4725097.7920000004</v>
      </c>
      <c r="Z368" s="21"/>
      <c r="AA368" s="21"/>
      <c r="AB368" s="21"/>
      <c r="AC368" s="21"/>
      <c r="AD368" s="21"/>
      <c r="AE368" s="16"/>
      <c r="AF368" s="16"/>
      <c r="AG368" s="16"/>
      <c r="AH368" s="16"/>
      <c r="AI368" s="16"/>
      <c r="AJ368" s="16"/>
      <c r="AK368" s="16"/>
      <c r="AL368" s="16"/>
      <c r="AM368" s="16"/>
      <c r="AN368" s="335">
        <f t="shared" ca="1" si="387"/>
        <v>4725097.7920000004</v>
      </c>
      <c r="AO368" s="20">
        <f t="shared" ca="1" si="388"/>
        <v>0</v>
      </c>
      <c r="AP368" s="20">
        <f t="shared" ca="1" si="389"/>
        <v>4725097.7920000004</v>
      </c>
      <c r="AQ368" s="20">
        <f t="shared" ca="1" si="390"/>
        <v>4725097.7920000004</v>
      </c>
      <c r="AR368" s="20">
        <f t="shared" ca="1" si="391"/>
        <v>4725100</v>
      </c>
      <c r="AS368" s="216"/>
      <c r="AT368" s="30" t="s">
        <v>18</v>
      </c>
      <c r="AU368" s="30" t="str">
        <f>VLOOKUP(AT368,TER!$R$2:$S$10,2,0)</f>
        <v>B</v>
      </c>
      <c r="AV368" s="20">
        <f t="shared" si="392"/>
        <v>3066580</v>
      </c>
      <c r="AW368" s="20">
        <f t="shared" ca="1" si="393"/>
        <v>1344500</v>
      </c>
      <c r="AX368" s="20">
        <f t="shared" ref="AX368:AY368" ca="1" si="430">W368</f>
        <v>0</v>
      </c>
      <c r="AY368" s="20">
        <f t="shared" si="430"/>
        <v>0</v>
      </c>
      <c r="AZ368" s="20">
        <f t="shared" si="395"/>
        <v>7359.7919999999995</v>
      </c>
      <c r="BA368" s="20">
        <f t="shared" si="396"/>
        <v>9199.74</v>
      </c>
      <c r="BB368" s="20">
        <f t="shared" si="397"/>
        <v>122663.2</v>
      </c>
      <c r="BC368" s="20">
        <f t="shared" ca="1" si="398"/>
        <v>4550302.7320000008</v>
      </c>
      <c r="BD368" s="37">
        <f ca="1">IF(AU368="C",VLOOKUP(BC368,TER!$J$4:$L$50,3,TRUE),IF(AU368="B",VLOOKUP(BC368,TER!$F$4:$H$50,3,TRUE),IF(AU368="A",VLOOKUP(BC368,TER!$B$4:$D$50,3,TRUE),"ERROR")))</f>
        <v>0</v>
      </c>
      <c r="BE368" s="20">
        <f t="shared" ca="1" si="399"/>
        <v>0</v>
      </c>
      <c r="BF368" s="216"/>
      <c r="BG368" s="216"/>
    </row>
    <row r="369" spans="1:59" ht="15.75" hidden="1" customHeight="1">
      <c r="A369" s="216"/>
      <c r="B369" s="27">
        <v>31</v>
      </c>
      <c r="C369" s="28" t="s">
        <v>689</v>
      </c>
      <c r="D369" s="29" t="s">
        <v>692</v>
      </c>
      <c r="E369" s="27" t="s">
        <v>57</v>
      </c>
      <c r="F369" s="28" t="s">
        <v>693</v>
      </c>
      <c r="G369" s="27" t="s">
        <v>31</v>
      </c>
      <c r="H369" s="332" t="s">
        <v>32</v>
      </c>
      <c r="I369" s="16">
        <f t="shared" si="380"/>
        <v>3066580</v>
      </c>
      <c r="J369" s="16">
        <v>191354.592</v>
      </c>
      <c r="K369" s="16">
        <v>122663.2</v>
      </c>
      <c r="L369" s="16">
        <v>200000</v>
      </c>
      <c r="M369" s="16">
        <f t="shared" si="428"/>
        <v>54500</v>
      </c>
      <c r="N369" s="21">
        <f ca="1">IFERROR(__xludf.DUMMYFUNCTION("VLOOKUP(C369,IMPORTRANGE(""https://docs.google.com/spreadsheets/d/1rQ2O3to3MCxQ4eTnJ5b4WStW3zTBTYg21JZurI75aCM/edit?gid=1410613181#gid=1410613181"",""DATA_ABSEN_DES24""),39,0)"),21)</f>
        <v>21</v>
      </c>
      <c r="O369" s="334">
        <f ca="1">IFERROR(__xludf.DUMMYFUNCTION("VLOOKUP(C369,IMPORTRANGE(""https://docs.google.com/spreadsheets/d/1rQ2O3to3MCxQ4eTnJ5b4WStW3zTBTYg21JZurI75aCM/edit?gid=1410613181#gid=1410613181"",""DATA_ABSEN_DES24""),40,0)"),20)</f>
        <v>20</v>
      </c>
      <c r="P369" s="16">
        <f t="shared" ca="1" si="381"/>
        <v>1344500</v>
      </c>
      <c r="Q369" s="16">
        <v>21</v>
      </c>
      <c r="R369" s="16">
        <f t="shared" si="382"/>
        <v>4725097.7920000004</v>
      </c>
      <c r="S369" s="16">
        <f t="shared" ca="1" si="383"/>
        <v>4725097.7920000004</v>
      </c>
      <c r="T369" s="16">
        <f t="shared" ca="1" si="384"/>
        <v>0</v>
      </c>
      <c r="U369" s="16">
        <v>100810</v>
      </c>
      <c r="V369" s="21">
        <f ca="1">IFERROR(__xludf.DUMMYFUNCTION("VLOOKUP(C369,IMPORTRANGE(""https://docs.google.com/spreadsheets/d/1rQ2O3to3MCxQ4eTnJ5b4WStW3zTBTYg21JZurI75aCM/edit?gid=1410613181#gid=1410613181"",""DATA_ABSEN_DES24""),41,0)"),0)</f>
        <v>0</v>
      </c>
      <c r="W369" s="16">
        <f t="shared" ca="1" si="385"/>
        <v>0</v>
      </c>
      <c r="X369" s="16">
        <v>0</v>
      </c>
      <c r="Y369" s="16">
        <f t="shared" ca="1" si="386"/>
        <v>4725097.7920000004</v>
      </c>
      <c r="Z369" s="21"/>
      <c r="AA369" s="21"/>
      <c r="AB369" s="21"/>
      <c r="AC369" s="21"/>
      <c r="AD369" s="21"/>
      <c r="AE369" s="16"/>
      <c r="AF369" s="16"/>
      <c r="AG369" s="16"/>
      <c r="AH369" s="16"/>
      <c r="AI369" s="16"/>
      <c r="AJ369" s="16"/>
      <c r="AK369" s="16"/>
      <c r="AL369" s="16"/>
      <c r="AM369" s="16"/>
      <c r="AN369" s="335">
        <f t="shared" ca="1" si="387"/>
        <v>4725097.7920000004</v>
      </c>
      <c r="AO369" s="20">
        <f t="shared" ca="1" si="388"/>
        <v>0</v>
      </c>
      <c r="AP369" s="20">
        <f t="shared" ca="1" si="389"/>
        <v>4725097.7920000004</v>
      </c>
      <c r="AQ369" s="20">
        <f t="shared" ca="1" si="390"/>
        <v>4725097.7920000004</v>
      </c>
      <c r="AR369" s="20">
        <f t="shared" ca="1" si="391"/>
        <v>4725100</v>
      </c>
      <c r="AS369" s="216"/>
      <c r="AT369" s="30" t="s">
        <v>18</v>
      </c>
      <c r="AU369" s="30" t="str">
        <f>VLOOKUP(AT369,TER!$R$2:$S$10,2,0)</f>
        <v>B</v>
      </c>
      <c r="AV369" s="20">
        <f t="shared" si="392"/>
        <v>3066580</v>
      </c>
      <c r="AW369" s="20">
        <f t="shared" ca="1" si="393"/>
        <v>1344500</v>
      </c>
      <c r="AX369" s="20">
        <f t="shared" ref="AX369:AY369" ca="1" si="431">W369</f>
        <v>0</v>
      </c>
      <c r="AY369" s="20">
        <f t="shared" si="431"/>
        <v>0</v>
      </c>
      <c r="AZ369" s="20">
        <f t="shared" si="395"/>
        <v>7359.7919999999995</v>
      </c>
      <c r="BA369" s="20">
        <f t="shared" si="396"/>
        <v>9199.74</v>
      </c>
      <c r="BB369" s="20">
        <f t="shared" si="397"/>
        <v>122663.2</v>
      </c>
      <c r="BC369" s="20">
        <f t="shared" ca="1" si="398"/>
        <v>4550302.7320000008</v>
      </c>
      <c r="BD369" s="37">
        <f ca="1">IF(AU369="C",VLOOKUP(BC369,TER!$J$4:$L$50,3,TRUE),IF(AU369="B",VLOOKUP(BC369,TER!$F$4:$H$50,3,TRUE),IF(AU369="A",VLOOKUP(BC369,TER!$B$4:$D$50,3,TRUE),"ERROR")))</f>
        <v>0</v>
      </c>
      <c r="BE369" s="20">
        <f t="shared" ca="1" si="399"/>
        <v>0</v>
      </c>
      <c r="BF369" s="216"/>
      <c r="BG369" s="216"/>
    </row>
    <row r="370" spans="1:59" ht="15.75" hidden="1" customHeight="1">
      <c r="A370" s="216"/>
      <c r="B370" s="27">
        <v>32</v>
      </c>
      <c r="C370" s="28" t="s">
        <v>694</v>
      </c>
      <c r="D370" s="29" t="s">
        <v>695</v>
      </c>
      <c r="E370" s="27" t="s">
        <v>57</v>
      </c>
      <c r="F370" s="28" t="s">
        <v>696</v>
      </c>
      <c r="G370" s="27" t="s">
        <v>31</v>
      </c>
      <c r="H370" s="332" t="s">
        <v>32</v>
      </c>
      <c r="I370" s="16">
        <f t="shared" si="380"/>
        <v>3066580</v>
      </c>
      <c r="J370" s="16">
        <v>191354.592</v>
      </c>
      <c r="K370" s="16">
        <v>122663.2</v>
      </c>
      <c r="L370" s="16">
        <v>200000</v>
      </c>
      <c r="M370" s="16">
        <f t="shared" si="428"/>
        <v>54500</v>
      </c>
      <c r="N370" s="21">
        <f ca="1">IFERROR(__xludf.DUMMYFUNCTION("VLOOKUP(C370,IMPORTRANGE(""https://docs.google.com/spreadsheets/d/1rQ2O3to3MCxQ4eTnJ5b4WStW3zTBTYg21JZurI75aCM/edit?gid=1410613181#gid=1410613181"",""DATA_ABSEN_DES24""),39,0)"),21)</f>
        <v>21</v>
      </c>
      <c r="O370" s="334">
        <f ca="1">IFERROR(__xludf.DUMMYFUNCTION("VLOOKUP(C370,IMPORTRANGE(""https://docs.google.com/spreadsheets/d/1rQ2O3to3MCxQ4eTnJ5b4WStW3zTBTYg21JZurI75aCM/edit?gid=1410613181#gid=1410613181"",""DATA_ABSEN_DES24""),40,0)"),20)</f>
        <v>20</v>
      </c>
      <c r="P370" s="16">
        <f t="shared" ca="1" si="381"/>
        <v>1344500</v>
      </c>
      <c r="Q370" s="16">
        <v>21</v>
      </c>
      <c r="R370" s="16">
        <f t="shared" si="382"/>
        <v>4725097.7920000004</v>
      </c>
      <c r="S370" s="16">
        <f t="shared" ca="1" si="383"/>
        <v>4725097.7920000004</v>
      </c>
      <c r="T370" s="16">
        <f t="shared" ca="1" si="384"/>
        <v>0</v>
      </c>
      <c r="U370" s="16">
        <v>100810</v>
      </c>
      <c r="V370" s="21">
        <f ca="1">IFERROR(__xludf.DUMMYFUNCTION("VLOOKUP(C370,IMPORTRANGE(""https://docs.google.com/spreadsheets/d/1rQ2O3to3MCxQ4eTnJ5b4WStW3zTBTYg21JZurI75aCM/edit?gid=1410613181#gid=1410613181"",""DATA_ABSEN_DES24""),41,0)"),0)</f>
        <v>0</v>
      </c>
      <c r="W370" s="16">
        <f t="shared" ca="1" si="385"/>
        <v>0</v>
      </c>
      <c r="X370" s="16">
        <v>0</v>
      </c>
      <c r="Y370" s="16">
        <f t="shared" ca="1" si="386"/>
        <v>4725097.7920000004</v>
      </c>
      <c r="Z370" s="21"/>
      <c r="AA370" s="21"/>
      <c r="AB370" s="21"/>
      <c r="AC370" s="21"/>
      <c r="AD370" s="21"/>
      <c r="AE370" s="16"/>
      <c r="AF370" s="16"/>
      <c r="AG370" s="16"/>
      <c r="AH370" s="16"/>
      <c r="AI370" s="16"/>
      <c r="AJ370" s="16"/>
      <c r="AK370" s="16"/>
      <c r="AL370" s="16"/>
      <c r="AM370" s="16"/>
      <c r="AN370" s="335">
        <f t="shared" ca="1" si="387"/>
        <v>4725097.7920000004</v>
      </c>
      <c r="AO370" s="20">
        <f t="shared" ca="1" si="388"/>
        <v>0</v>
      </c>
      <c r="AP370" s="20">
        <f t="shared" ca="1" si="389"/>
        <v>4725097.7920000004</v>
      </c>
      <c r="AQ370" s="20">
        <f t="shared" ca="1" si="390"/>
        <v>4725097.7920000004</v>
      </c>
      <c r="AR370" s="20">
        <f t="shared" ca="1" si="391"/>
        <v>4725100</v>
      </c>
      <c r="AS370" s="216"/>
      <c r="AT370" s="30" t="s">
        <v>17</v>
      </c>
      <c r="AU370" s="30" t="str">
        <f>VLOOKUP(AT370,TER!$R$2:$S$10,2,0)</f>
        <v>B</v>
      </c>
      <c r="AV370" s="20">
        <f t="shared" si="392"/>
        <v>3066580</v>
      </c>
      <c r="AW370" s="20">
        <f t="shared" ca="1" si="393"/>
        <v>1344500</v>
      </c>
      <c r="AX370" s="20">
        <f t="shared" ref="AX370:AY370" ca="1" si="432">W370</f>
        <v>0</v>
      </c>
      <c r="AY370" s="20">
        <f t="shared" si="432"/>
        <v>0</v>
      </c>
      <c r="AZ370" s="20">
        <f t="shared" si="395"/>
        <v>7359.7919999999995</v>
      </c>
      <c r="BA370" s="20">
        <f t="shared" si="396"/>
        <v>9199.74</v>
      </c>
      <c r="BB370" s="20">
        <f t="shared" si="397"/>
        <v>122663.2</v>
      </c>
      <c r="BC370" s="20">
        <f t="shared" ca="1" si="398"/>
        <v>4550302.7320000008</v>
      </c>
      <c r="BD370" s="37">
        <f ca="1">IF(AU370="C",VLOOKUP(BC370,TER!$J$4:$L$50,3,TRUE),IF(AU370="B",VLOOKUP(BC370,TER!$F$4:$H$50,3,TRUE),IF(AU370="A",VLOOKUP(BC370,TER!$B$4:$D$50,3,TRUE),"ERROR")))</f>
        <v>0</v>
      </c>
      <c r="BE370" s="20">
        <f t="shared" ca="1" si="399"/>
        <v>0</v>
      </c>
      <c r="BF370" s="216"/>
      <c r="BG370" s="216"/>
    </row>
    <row r="371" spans="1:59" ht="15.75" hidden="1" customHeight="1">
      <c r="A371" s="216"/>
      <c r="B371" s="27">
        <v>33</v>
      </c>
      <c r="C371" s="28" t="s">
        <v>697</v>
      </c>
      <c r="D371" s="29" t="s">
        <v>698</v>
      </c>
      <c r="E371" s="242" t="s">
        <v>57</v>
      </c>
      <c r="F371" s="28" t="s">
        <v>699</v>
      </c>
      <c r="G371" s="27" t="s">
        <v>31</v>
      </c>
      <c r="H371" s="332" t="s">
        <v>32</v>
      </c>
      <c r="I371" s="16">
        <f t="shared" si="380"/>
        <v>3066580</v>
      </c>
      <c r="J371" s="16">
        <v>191354.592</v>
      </c>
      <c r="K371" s="16">
        <v>122663.2</v>
      </c>
      <c r="L371" s="16">
        <v>200000</v>
      </c>
      <c r="M371" s="16">
        <f t="shared" si="428"/>
        <v>54500</v>
      </c>
      <c r="N371" s="21">
        <f ca="1">IFERROR(__xludf.DUMMYFUNCTION("VLOOKUP(C371,IMPORTRANGE(""https://docs.google.com/spreadsheets/d/1rQ2O3to3MCxQ4eTnJ5b4WStW3zTBTYg21JZurI75aCM/edit?gid=1410613181#gid=1410613181"",""DATA_ABSEN_DES24""),39,0)"),20)</f>
        <v>20</v>
      </c>
      <c r="O371" s="334">
        <f ca="1">IFERROR(__xludf.DUMMYFUNCTION("VLOOKUP(C371,IMPORTRANGE(""https://docs.google.com/spreadsheets/d/1rQ2O3to3MCxQ4eTnJ5b4WStW3zTBTYg21JZurI75aCM/edit?gid=1410613181#gid=1410613181"",""DATA_ABSEN_DES24""),40,0)"),20)</f>
        <v>20</v>
      </c>
      <c r="P371" s="16">
        <f t="shared" ca="1" si="381"/>
        <v>1290000</v>
      </c>
      <c r="Q371" s="16">
        <v>21</v>
      </c>
      <c r="R371" s="16">
        <f t="shared" si="382"/>
        <v>4725097.7920000004</v>
      </c>
      <c r="S371" s="16">
        <f t="shared" ca="1" si="383"/>
        <v>4670597.7920000004</v>
      </c>
      <c r="T371" s="16">
        <f t="shared" ca="1" si="384"/>
        <v>0</v>
      </c>
      <c r="U371" s="16">
        <v>100810</v>
      </c>
      <c r="V371" s="21">
        <f ca="1">IFERROR(__xludf.DUMMYFUNCTION("VLOOKUP(C371,IMPORTRANGE(""https://docs.google.com/spreadsheets/d/1rQ2O3to3MCxQ4eTnJ5b4WStW3zTBTYg21JZurI75aCM/edit?gid=1410613181#gid=1410613181"",""DATA_ABSEN_DES24""),41,0)"),0)</f>
        <v>0</v>
      </c>
      <c r="W371" s="16">
        <f t="shared" ca="1" si="385"/>
        <v>0</v>
      </c>
      <c r="X371" s="16">
        <v>0</v>
      </c>
      <c r="Y371" s="16">
        <f t="shared" ca="1" si="386"/>
        <v>4670597.7920000004</v>
      </c>
      <c r="Z371" s="21"/>
      <c r="AA371" s="21"/>
      <c r="AB371" s="21"/>
      <c r="AC371" s="21"/>
      <c r="AD371" s="21"/>
      <c r="AE371" s="16"/>
      <c r="AF371" s="349"/>
      <c r="AG371" s="349"/>
      <c r="AH371" s="16"/>
      <c r="AI371" s="16"/>
      <c r="AJ371" s="16"/>
      <c r="AK371" s="16"/>
      <c r="AL371" s="16"/>
      <c r="AM371" s="16"/>
      <c r="AN371" s="335">
        <f t="shared" ca="1" si="387"/>
        <v>4670597.7920000004</v>
      </c>
      <c r="AO371" s="20">
        <f t="shared" ca="1" si="388"/>
        <v>0</v>
      </c>
      <c r="AP371" s="20">
        <f t="shared" ca="1" si="389"/>
        <v>4670597.7920000004</v>
      </c>
      <c r="AQ371" s="20">
        <f t="shared" ca="1" si="390"/>
        <v>4670597.7920000004</v>
      </c>
      <c r="AR371" s="20">
        <f t="shared" ca="1" si="391"/>
        <v>4670600</v>
      </c>
      <c r="AS371" s="216"/>
      <c r="AT371" s="30" t="s">
        <v>13</v>
      </c>
      <c r="AU371" s="30" t="str">
        <f>VLOOKUP(AT371,TER!$R$2:$S$10,2,0)</f>
        <v>A</v>
      </c>
      <c r="AV371" s="20">
        <f t="shared" si="392"/>
        <v>3066580</v>
      </c>
      <c r="AW371" s="20">
        <f t="shared" ca="1" si="393"/>
        <v>1290000</v>
      </c>
      <c r="AX371" s="20">
        <f t="shared" ref="AX371:AY371" ca="1" si="433">W371</f>
        <v>0</v>
      </c>
      <c r="AY371" s="20">
        <f t="shared" si="433"/>
        <v>0</v>
      </c>
      <c r="AZ371" s="20">
        <f t="shared" si="395"/>
        <v>7359.7919999999995</v>
      </c>
      <c r="BA371" s="20">
        <f t="shared" si="396"/>
        <v>9199.74</v>
      </c>
      <c r="BB371" s="20">
        <f t="shared" si="397"/>
        <v>122663.2</v>
      </c>
      <c r="BC371" s="20">
        <f t="shared" ca="1" si="398"/>
        <v>4495802.7320000008</v>
      </c>
      <c r="BD371" s="37">
        <f ca="1">IF(AU371="C",VLOOKUP(BC371,TER!$J$4:$L$50,3,TRUE),IF(AU371="B",VLOOKUP(BC371,TER!$F$4:$H$50,3,TRUE),IF(AU371="A",VLOOKUP(BC371,TER!$B$4:$D$50,3,TRUE),"ERROR")))</f>
        <v>0</v>
      </c>
      <c r="BE371" s="20">
        <f t="shared" ca="1" si="399"/>
        <v>0</v>
      </c>
      <c r="BF371" s="216"/>
      <c r="BG371" s="216"/>
    </row>
    <row r="372" spans="1:59" ht="15.75" hidden="1" customHeight="1">
      <c r="A372" s="216"/>
      <c r="B372" s="27">
        <v>34</v>
      </c>
      <c r="C372" s="28" t="s">
        <v>700</v>
      </c>
      <c r="D372" s="29" t="s">
        <v>701</v>
      </c>
      <c r="E372" s="27" t="s">
        <v>57</v>
      </c>
      <c r="F372" s="28" t="s">
        <v>702</v>
      </c>
      <c r="G372" s="27" t="s">
        <v>31</v>
      </c>
      <c r="H372" s="332" t="s">
        <v>32</v>
      </c>
      <c r="I372" s="16">
        <f t="shared" si="380"/>
        <v>3066580</v>
      </c>
      <c r="J372" s="16">
        <v>191354.592</v>
      </c>
      <c r="K372" s="16">
        <v>122663.2</v>
      </c>
      <c r="L372" s="16">
        <v>200000</v>
      </c>
      <c r="M372" s="16">
        <f t="shared" si="428"/>
        <v>54500</v>
      </c>
      <c r="N372" s="21">
        <f ca="1">IFERROR(__xludf.DUMMYFUNCTION("VLOOKUP(C372,IMPORTRANGE(""https://docs.google.com/spreadsheets/d/1rQ2O3to3MCxQ4eTnJ5b4WStW3zTBTYg21JZurI75aCM/edit?gid=1410613181#gid=1410613181"",""DATA_ABSEN_DES24""),39,0)"),20)</f>
        <v>20</v>
      </c>
      <c r="O372" s="334">
        <f ca="1">IFERROR(__xludf.DUMMYFUNCTION("VLOOKUP(C372,IMPORTRANGE(""https://docs.google.com/spreadsheets/d/1rQ2O3to3MCxQ4eTnJ5b4WStW3zTBTYg21JZurI75aCM/edit?gid=1410613181#gid=1410613181"",""DATA_ABSEN_DES24""),40,0)"),20)</f>
        <v>20</v>
      </c>
      <c r="P372" s="16">
        <f t="shared" ca="1" si="381"/>
        <v>1290000</v>
      </c>
      <c r="Q372" s="16">
        <v>21</v>
      </c>
      <c r="R372" s="16">
        <f t="shared" si="382"/>
        <v>4725097.7920000004</v>
      </c>
      <c r="S372" s="16">
        <f t="shared" ca="1" si="383"/>
        <v>4670597.7920000004</v>
      </c>
      <c r="T372" s="16">
        <f t="shared" ca="1" si="384"/>
        <v>0</v>
      </c>
      <c r="U372" s="16">
        <v>100810</v>
      </c>
      <c r="V372" s="21">
        <f ca="1">IFERROR(__xludf.DUMMYFUNCTION("VLOOKUP(C372,IMPORTRANGE(""https://docs.google.com/spreadsheets/d/1rQ2O3to3MCxQ4eTnJ5b4WStW3zTBTYg21JZurI75aCM/edit?gid=1410613181#gid=1410613181"",""DATA_ABSEN_DES24""),41,0)"),0)</f>
        <v>0</v>
      </c>
      <c r="W372" s="16">
        <f t="shared" ca="1" si="385"/>
        <v>0</v>
      </c>
      <c r="X372" s="16">
        <v>0</v>
      </c>
      <c r="Y372" s="16">
        <f t="shared" ca="1" si="386"/>
        <v>4670597.7920000004</v>
      </c>
      <c r="Z372" s="21"/>
      <c r="AA372" s="21"/>
      <c r="AB372" s="21"/>
      <c r="AC372" s="21"/>
      <c r="AD372" s="21"/>
      <c r="AE372" s="16"/>
      <c r="AF372" s="16"/>
      <c r="AG372" s="16"/>
      <c r="AH372" s="16"/>
      <c r="AI372" s="16"/>
      <c r="AJ372" s="16"/>
      <c r="AK372" s="16"/>
      <c r="AL372" s="16"/>
      <c r="AM372" s="16"/>
      <c r="AN372" s="335">
        <f t="shared" ca="1" si="387"/>
        <v>4670597.7920000004</v>
      </c>
      <c r="AO372" s="20">
        <f t="shared" ca="1" si="388"/>
        <v>0</v>
      </c>
      <c r="AP372" s="20">
        <f t="shared" ca="1" si="389"/>
        <v>4670597.7920000004</v>
      </c>
      <c r="AQ372" s="20">
        <f t="shared" ca="1" si="390"/>
        <v>4670597.7920000004</v>
      </c>
      <c r="AR372" s="20">
        <f t="shared" ca="1" si="391"/>
        <v>4670600</v>
      </c>
      <c r="AS372" s="216"/>
      <c r="AT372" s="30" t="s">
        <v>13</v>
      </c>
      <c r="AU372" s="30" t="str">
        <f>VLOOKUP(AT372,TER!$R$2:$S$10,2,0)</f>
        <v>A</v>
      </c>
      <c r="AV372" s="20">
        <f t="shared" si="392"/>
        <v>3066580</v>
      </c>
      <c r="AW372" s="20">
        <f t="shared" ca="1" si="393"/>
        <v>1290000</v>
      </c>
      <c r="AX372" s="20">
        <f t="shared" ref="AX372:AY372" ca="1" si="434">W372</f>
        <v>0</v>
      </c>
      <c r="AY372" s="20">
        <f t="shared" si="434"/>
        <v>0</v>
      </c>
      <c r="AZ372" s="20">
        <f t="shared" si="395"/>
        <v>7359.7919999999995</v>
      </c>
      <c r="BA372" s="20">
        <f t="shared" si="396"/>
        <v>9199.74</v>
      </c>
      <c r="BB372" s="20">
        <f t="shared" si="397"/>
        <v>122663.2</v>
      </c>
      <c r="BC372" s="20">
        <f t="shared" ca="1" si="398"/>
        <v>4495802.7320000008</v>
      </c>
      <c r="BD372" s="37">
        <f ca="1">IF(AU372="C",VLOOKUP(BC372,TER!$J$4:$L$50,3,TRUE),IF(AU372="B",VLOOKUP(BC372,TER!$F$4:$H$50,3,TRUE),IF(AU372="A",VLOOKUP(BC372,TER!$B$4:$D$50,3,TRUE),"ERROR")))</f>
        <v>0</v>
      </c>
      <c r="BE372" s="20">
        <f t="shared" ca="1" si="399"/>
        <v>0</v>
      </c>
      <c r="BF372" s="216"/>
      <c r="BG372" s="216"/>
    </row>
    <row r="373" spans="1:59" ht="15.75" hidden="1" customHeight="1">
      <c r="A373" s="216"/>
      <c r="B373" s="27">
        <v>35</v>
      </c>
      <c r="C373" s="28" t="s">
        <v>703</v>
      </c>
      <c r="D373" s="29" t="s">
        <v>704</v>
      </c>
      <c r="E373" s="27" t="s">
        <v>57</v>
      </c>
      <c r="F373" s="28" t="s">
        <v>705</v>
      </c>
      <c r="G373" s="27" t="s">
        <v>31</v>
      </c>
      <c r="H373" s="332" t="s">
        <v>32</v>
      </c>
      <c r="I373" s="16">
        <f t="shared" si="380"/>
        <v>3066580</v>
      </c>
      <c r="J373" s="16">
        <v>191354.592</v>
      </c>
      <c r="K373" s="16">
        <v>122663.2</v>
      </c>
      <c r="L373" s="16">
        <v>200000</v>
      </c>
      <c r="M373" s="16">
        <f t="shared" si="428"/>
        <v>54500</v>
      </c>
      <c r="N373" s="21">
        <f ca="1">IFERROR(__xludf.DUMMYFUNCTION("VLOOKUP(C373,IMPORTRANGE(""https://docs.google.com/spreadsheets/d/1rQ2O3to3MCxQ4eTnJ5b4WStW3zTBTYg21JZurI75aCM/edit?gid=1410613181#gid=1410613181"",""DATA_ABSEN_DES24""),39,0)"),21)</f>
        <v>21</v>
      </c>
      <c r="O373" s="334">
        <f ca="1">IFERROR(__xludf.DUMMYFUNCTION("VLOOKUP(C373,IMPORTRANGE(""https://docs.google.com/spreadsheets/d/1rQ2O3to3MCxQ4eTnJ5b4WStW3zTBTYg21JZurI75aCM/edit?gid=1410613181#gid=1410613181"",""DATA_ABSEN_DES24""),40,0)"),20)</f>
        <v>20</v>
      </c>
      <c r="P373" s="16">
        <f t="shared" ca="1" si="381"/>
        <v>1344500</v>
      </c>
      <c r="Q373" s="16">
        <v>21</v>
      </c>
      <c r="R373" s="16">
        <f t="shared" si="382"/>
        <v>4725097.7920000004</v>
      </c>
      <c r="S373" s="16">
        <f t="shared" ca="1" si="383"/>
        <v>4725097.7920000004</v>
      </c>
      <c r="T373" s="16">
        <f t="shared" ca="1" si="384"/>
        <v>0</v>
      </c>
      <c r="U373" s="16">
        <v>100810</v>
      </c>
      <c r="V373" s="21">
        <f ca="1">IFERROR(__xludf.DUMMYFUNCTION("VLOOKUP(C373,IMPORTRANGE(""https://docs.google.com/spreadsheets/d/1rQ2O3to3MCxQ4eTnJ5b4WStW3zTBTYg21JZurI75aCM/edit?gid=1410613181#gid=1410613181"",""DATA_ABSEN_DES24""),41,0)"),0)</f>
        <v>0</v>
      </c>
      <c r="W373" s="16">
        <f t="shared" ca="1" si="385"/>
        <v>0</v>
      </c>
      <c r="X373" s="16">
        <v>0</v>
      </c>
      <c r="Y373" s="16">
        <f t="shared" ca="1" si="386"/>
        <v>4725097.7920000004</v>
      </c>
      <c r="Z373" s="21"/>
      <c r="AA373" s="21"/>
      <c r="AB373" s="21"/>
      <c r="AC373" s="21"/>
      <c r="AD373" s="21"/>
      <c r="AE373" s="16"/>
      <c r="AF373" s="16"/>
      <c r="AG373" s="16"/>
      <c r="AH373" s="16"/>
      <c r="AI373" s="16"/>
      <c r="AJ373" s="16"/>
      <c r="AK373" s="16"/>
      <c r="AL373" s="16"/>
      <c r="AM373" s="16"/>
      <c r="AN373" s="335">
        <f t="shared" ca="1" si="387"/>
        <v>4725097.7920000004</v>
      </c>
      <c r="AO373" s="20">
        <f t="shared" ca="1" si="388"/>
        <v>0</v>
      </c>
      <c r="AP373" s="20">
        <f t="shared" ca="1" si="389"/>
        <v>4725097.7920000004</v>
      </c>
      <c r="AQ373" s="20">
        <f t="shared" ca="1" si="390"/>
        <v>4725097.7920000004</v>
      </c>
      <c r="AR373" s="20">
        <f t="shared" ca="1" si="391"/>
        <v>4725100</v>
      </c>
      <c r="AS373" s="216"/>
      <c r="AT373" s="30" t="s">
        <v>8</v>
      </c>
      <c r="AU373" s="30" t="str">
        <f>VLOOKUP(AT373,TER!$R$2:$S$10,2,0)</f>
        <v>C</v>
      </c>
      <c r="AV373" s="20">
        <f t="shared" si="392"/>
        <v>3066580</v>
      </c>
      <c r="AW373" s="20">
        <f t="shared" ca="1" si="393"/>
        <v>1344500</v>
      </c>
      <c r="AX373" s="20">
        <f t="shared" ref="AX373:AY373" ca="1" si="435">W373</f>
        <v>0</v>
      </c>
      <c r="AY373" s="20">
        <f t="shared" si="435"/>
        <v>0</v>
      </c>
      <c r="AZ373" s="20">
        <f t="shared" si="395"/>
        <v>7359.7919999999995</v>
      </c>
      <c r="BA373" s="20">
        <f t="shared" si="396"/>
        <v>9199.74</v>
      </c>
      <c r="BB373" s="20">
        <f t="shared" si="397"/>
        <v>122663.2</v>
      </c>
      <c r="BC373" s="20">
        <f t="shared" ca="1" si="398"/>
        <v>4550302.7320000008</v>
      </c>
      <c r="BD373" s="37">
        <f ca="1">IF(AU373="C",VLOOKUP(BC373,TER!$J$4:$L$50,3,TRUE),IF(AU373="B",VLOOKUP(BC373,TER!$F$4:$H$50,3,TRUE),IF(AU373="A",VLOOKUP(BC373,TER!$B$4:$D$50,3,TRUE),"ERROR")))</f>
        <v>0</v>
      </c>
      <c r="BE373" s="20">
        <f t="shared" ca="1" si="399"/>
        <v>0</v>
      </c>
      <c r="BF373" s="216"/>
      <c r="BG373" s="216"/>
    </row>
    <row r="374" spans="1:59" ht="15.75" hidden="1" customHeight="1">
      <c r="A374" s="216"/>
      <c r="B374" s="27">
        <v>36</v>
      </c>
      <c r="C374" s="28" t="s">
        <v>706</v>
      </c>
      <c r="D374" s="29" t="s">
        <v>707</v>
      </c>
      <c r="E374" s="27" t="s">
        <v>57</v>
      </c>
      <c r="F374" s="28" t="s">
        <v>708</v>
      </c>
      <c r="G374" s="27" t="s">
        <v>31</v>
      </c>
      <c r="H374" s="332" t="s">
        <v>32</v>
      </c>
      <c r="I374" s="16">
        <f t="shared" si="380"/>
        <v>3066580</v>
      </c>
      <c r="J374" s="16">
        <v>191354.592</v>
      </c>
      <c r="K374" s="16">
        <v>122663.2</v>
      </c>
      <c r="L374" s="16">
        <v>200000</v>
      </c>
      <c r="M374" s="16">
        <f t="shared" si="428"/>
        <v>54500</v>
      </c>
      <c r="N374" s="21">
        <f ca="1">IFERROR(__xludf.DUMMYFUNCTION("VLOOKUP(C374,IMPORTRANGE(""https://docs.google.com/spreadsheets/d/1rQ2O3to3MCxQ4eTnJ5b4WStW3zTBTYg21JZurI75aCM/edit?gid=1410613181#gid=1410613181"",""DATA_ABSEN_DES24""),39,0)"),21)</f>
        <v>21</v>
      </c>
      <c r="O374" s="334">
        <f ca="1">IFERROR(__xludf.DUMMYFUNCTION("VLOOKUP(C374,IMPORTRANGE(""https://docs.google.com/spreadsheets/d/1rQ2O3to3MCxQ4eTnJ5b4WStW3zTBTYg21JZurI75aCM/edit?gid=1410613181#gid=1410613181"",""DATA_ABSEN_DES24""),40,0)"),20)</f>
        <v>20</v>
      </c>
      <c r="P374" s="16">
        <f t="shared" ca="1" si="381"/>
        <v>1344500</v>
      </c>
      <c r="Q374" s="16">
        <v>21</v>
      </c>
      <c r="R374" s="16">
        <f t="shared" si="382"/>
        <v>4725097.7920000004</v>
      </c>
      <c r="S374" s="16">
        <f t="shared" ca="1" si="383"/>
        <v>4725097.7920000004</v>
      </c>
      <c r="T374" s="16">
        <f t="shared" ca="1" si="384"/>
        <v>0</v>
      </c>
      <c r="U374" s="16">
        <v>100810</v>
      </c>
      <c r="V374" s="21">
        <f ca="1">IFERROR(__xludf.DUMMYFUNCTION("VLOOKUP(C374,IMPORTRANGE(""https://docs.google.com/spreadsheets/d/1rQ2O3to3MCxQ4eTnJ5b4WStW3zTBTYg21JZurI75aCM/edit?gid=1410613181#gid=1410613181"",""DATA_ABSEN_DES24""),41,0)"),0)</f>
        <v>0</v>
      </c>
      <c r="W374" s="16">
        <f t="shared" ca="1" si="385"/>
        <v>0</v>
      </c>
      <c r="X374" s="16">
        <v>0</v>
      </c>
      <c r="Y374" s="16">
        <f t="shared" ca="1" si="386"/>
        <v>4725097.7920000004</v>
      </c>
      <c r="Z374" s="21"/>
      <c r="AA374" s="21"/>
      <c r="AB374" s="21"/>
      <c r="AC374" s="21"/>
      <c r="AD374" s="21"/>
      <c r="AE374" s="16"/>
      <c r="AF374" s="16"/>
      <c r="AG374" s="16"/>
      <c r="AH374" s="16"/>
      <c r="AI374" s="16"/>
      <c r="AJ374" s="16"/>
      <c r="AK374" s="16"/>
      <c r="AL374" s="16"/>
      <c r="AM374" s="16"/>
      <c r="AN374" s="335">
        <f t="shared" ca="1" si="387"/>
        <v>4725097.7920000004</v>
      </c>
      <c r="AO374" s="20">
        <f t="shared" ca="1" si="388"/>
        <v>0</v>
      </c>
      <c r="AP374" s="20">
        <f t="shared" ca="1" si="389"/>
        <v>4725097.7920000004</v>
      </c>
      <c r="AQ374" s="20">
        <f t="shared" ca="1" si="390"/>
        <v>4725097.7920000004</v>
      </c>
      <c r="AR374" s="20">
        <f t="shared" ca="1" si="391"/>
        <v>4725100</v>
      </c>
      <c r="AS374" s="216"/>
      <c r="AT374" s="30" t="s">
        <v>13</v>
      </c>
      <c r="AU374" s="30" t="str">
        <f>VLOOKUP(AT374,TER!$R$2:$S$10,2,0)</f>
        <v>A</v>
      </c>
      <c r="AV374" s="20">
        <f t="shared" si="392"/>
        <v>3066580</v>
      </c>
      <c r="AW374" s="20">
        <f t="shared" ca="1" si="393"/>
        <v>1344500</v>
      </c>
      <c r="AX374" s="20">
        <f t="shared" ref="AX374:AY374" ca="1" si="436">W374</f>
        <v>0</v>
      </c>
      <c r="AY374" s="20">
        <f t="shared" si="436"/>
        <v>0</v>
      </c>
      <c r="AZ374" s="20">
        <f t="shared" si="395"/>
        <v>7359.7919999999995</v>
      </c>
      <c r="BA374" s="20">
        <f t="shared" si="396"/>
        <v>9199.74</v>
      </c>
      <c r="BB374" s="20">
        <f t="shared" si="397"/>
        <v>122663.2</v>
      </c>
      <c r="BC374" s="20">
        <f t="shared" ca="1" si="398"/>
        <v>4550302.7320000008</v>
      </c>
      <c r="BD374" s="37">
        <f ca="1">IF(AU374="C",VLOOKUP(BC374,TER!$J$4:$L$50,3,TRUE),IF(AU374="B",VLOOKUP(BC374,TER!$F$4:$H$50,3,TRUE),IF(AU374="A",VLOOKUP(BC374,TER!$B$4:$D$50,3,TRUE),"ERROR")))</f>
        <v>0</v>
      </c>
      <c r="BE374" s="20">
        <f t="shared" ca="1" si="399"/>
        <v>0</v>
      </c>
      <c r="BF374" s="216"/>
      <c r="BG374" s="216"/>
    </row>
    <row r="375" spans="1:59" ht="15.75" hidden="1" customHeight="1">
      <c r="A375" s="216"/>
      <c r="B375" s="27">
        <v>37</v>
      </c>
      <c r="C375" s="28" t="s">
        <v>709</v>
      </c>
      <c r="D375" s="32" t="s">
        <v>710</v>
      </c>
      <c r="E375" s="27" t="s">
        <v>57</v>
      </c>
      <c r="F375" s="28" t="s">
        <v>711</v>
      </c>
      <c r="G375" s="27" t="s">
        <v>31</v>
      </c>
      <c r="H375" s="332" t="s">
        <v>450</v>
      </c>
      <c r="I375" s="16" t="e">
        <f t="shared" ca="1" si="380"/>
        <v>#VALUE!</v>
      </c>
      <c r="J375" s="16">
        <v>191354.592</v>
      </c>
      <c r="K375" s="16">
        <v>122663.2</v>
      </c>
      <c r="L375" s="342" t="e">
        <f ca="1">200000*N375/O375</f>
        <v>#VALUE!</v>
      </c>
      <c r="M375" s="16">
        <f t="shared" si="428"/>
        <v>54500</v>
      </c>
      <c r="N375" s="21" t="str">
        <f ca="1">IFERROR(__xludf.DUMMYFUNCTION("VLOOKUP(C375,IMPORTRANGE(""https://docs.google.com/spreadsheets/d/1rQ2O3to3MCxQ4eTnJ5b4WStW3zTBTYg21JZurI75aCM/edit?gid=1410613181#gid=1410613181"",""DATA_ABSEN_DES24""),39,0)"),"#N/A")</f>
        <v>#N/A</v>
      </c>
      <c r="O375" s="334" t="str">
        <f ca="1">IFERROR(__xludf.DUMMYFUNCTION("VLOOKUP(C375,IMPORTRANGE(""https://docs.google.com/spreadsheets/d/1rQ2O3to3MCxQ4eTnJ5b4WStW3zTBTYg21JZurI75aCM/edit?gid=1410613181#gid=1410613181"",""DATA_ABSEN_DES24""),40,0)"),"#N/A")</f>
        <v>#N/A</v>
      </c>
      <c r="P375" s="16" t="e">
        <f t="shared" ca="1" si="381"/>
        <v>#VALUE!</v>
      </c>
      <c r="Q375" s="16">
        <v>21</v>
      </c>
      <c r="R375" s="16" t="e">
        <f t="shared" ca="1" si="382"/>
        <v>#VALUE!</v>
      </c>
      <c r="S375" s="16" t="e">
        <f t="shared" ca="1" si="383"/>
        <v>#VALUE!</v>
      </c>
      <c r="T375" s="16" t="e">
        <f t="shared" ca="1" si="384"/>
        <v>#VALUE!</v>
      </c>
      <c r="U375" s="16">
        <v>100810</v>
      </c>
      <c r="V375" s="21" t="str">
        <f ca="1">IFERROR(__xludf.DUMMYFUNCTION("VLOOKUP(C375,IMPORTRANGE(""https://docs.google.com/spreadsheets/d/1rQ2O3to3MCxQ4eTnJ5b4WStW3zTBTYg21JZurI75aCM/edit?gid=1410613181#gid=1410613181"",""DATA_ABSEN_DES24""),41,0)"),"#N/A")</f>
        <v>#N/A</v>
      </c>
      <c r="W375" s="16" t="e">
        <f t="shared" ca="1" si="385"/>
        <v>#VALUE!</v>
      </c>
      <c r="X375" s="16">
        <v>0</v>
      </c>
      <c r="Y375" s="16" t="e">
        <f t="shared" ca="1" si="386"/>
        <v>#VALUE!</v>
      </c>
      <c r="Z375" s="21"/>
      <c r="AA375" s="21"/>
      <c r="AB375" s="21"/>
      <c r="AC375" s="21"/>
      <c r="AD375" s="21"/>
      <c r="AE375" s="16"/>
      <c r="AF375" s="16"/>
      <c r="AG375" s="16"/>
      <c r="AH375" s="16"/>
      <c r="AI375" s="16"/>
      <c r="AJ375" s="16"/>
      <c r="AK375" s="16"/>
      <c r="AL375" s="16"/>
      <c r="AM375" s="16"/>
      <c r="AN375" s="335" t="e">
        <f t="shared" ca="1" si="387"/>
        <v>#VALUE!</v>
      </c>
      <c r="AO375" s="20" t="e">
        <f t="shared" ca="1" si="388"/>
        <v>#VALUE!</v>
      </c>
      <c r="AP375" s="20" t="e">
        <f t="shared" ca="1" si="389"/>
        <v>#VALUE!</v>
      </c>
      <c r="AQ375" s="20" t="e">
        <f t="shared" ca="1" si="390"/>
        <v>#VALUE!</v>
      </c>
      <c r="AR375" s="20" t="e">
        <f t="shared" ca="1" si="391"/>
        <v>#VALUE!</v>
      </c>
      <c r="AS375" s="216"/>
      <c r="AT375" s="30" t="s">
        <v>9</v>
      </c>
      <c r="AU375" s="30" t="str">
        <f>VLOOKUP(AT375,TER!$R$2:$S$10,2,0)</f>
        <v>A</v>
      </c>
      <c r="AV375" s="20" t="e">
        <f t="shared" ca="1" si="392"/>
        <v>#VALUE!</v>
      </c>
      <c r="AW375" s="20" t="e">
        <f t="shared" ca="1" si="393"/>
        <v>#VALUE!</v>
      </c>
      <c r="AX375" s="20" t="e">
        <f t="shared" ref="AX375:AY375" ca="1" si="437">W375</f>
        <v>#VALUE!</v>
      </c>
      <c r="AY375" s="20">
        <f t="shared" si="437"/>
        <v>0</v>
      </c>
      <c r="AZ375" s="20" t="e">
        <f t="shared" ca="1" si="395"/>
        <v>#VALUE!</v>
      </c>
      <c r="BA375" s="20" t="e">
        <f t="shared" ca="1" si="396"/>
        <v>#VALUE!</v>
      </c>
      <c r="BB375" s="20" t="e">
        <f t="shared" ca="1" si="397"/>
        <v>#VALUE!</v>
      </c>
      <c r="BC375" s="20" t="e">
        <f t="shared" ca="1" si="398"/>
        <v>#VALUE!</v>
      </c>
      <c r="BD375" s="37" t="e">
        <f ca="1">IF(AU375="C",VLOOKUP(BC375,TER!$J$4:$L$50,3,TRUE),IF(AU375="B",VLOOKUP(BC375,TER!$F$4:$H$50,3,TRUE),IF(AU375="A",VLOOKUP(BC375,TER!$B$4:$D$50,3,TRUE),"ERROR")))</f>
        <v>#VALUE!</v>
      </c>
      <c r="BE375" s="20" t="e">
        <f t="shared" ca="1" si="399"/>
        <v>#VALUE!</v>
      </c>
      <c r="BF375" s="216"/>
      <c r="BG375" s="216"/>
    </row>
    <row r="376" spans="1:59" ht="15.75" hidden="1" customHeight="1">
      <c r="A376" s="216"/>
      <c r="B376" s="27">
        <v>38</v>
      </c>
      <c r="C376" s="28" t="s">
        <v>712</v>
      </c>
      <c r="D376" s="29" t="s">
        <v>713</v>
      </c>
      <c r="E376" s="27" t="s">
        <v>57</v>
      </c>
      <c r="F376" s="28" t="s">
        <v>714</v>
      </c>
      <c r="G376" s="27" t="s">
        <v>31</v>
      </c>
      <c r="H376" s="332" t="s">
        <v>32</v>
      </c>
      <c r="I376" s="16">
        <f t="shared" si="380"/>
        <v>3066580</v>
      </c>
      <c r="J376" s="16">
        <v>191354.592</v>
      </c>
      <c r="K376" s="16">
        <v>122663.2</v>
      </c>
      <c r="L376" s="16">
        <v>200000</v>
      </c>
      <c r="M376" s="16">
        <f t="shared" si="428"/>
        <v>54500</v>
      </c>
      <c r="N376" s="21">
        <f ca="1">IFERROR(__xludf.DUMMYFUNCTION("VLOOKUP(C376,IMPORTRANGE(""https://docs.google.com/spreadsheets/d/1rQ2O3to3MCxQ4eTnJ5b4WStW3zTBTYg21JZurI75aCM/edit?gid=1410613181#gid=1410613181"",""DATA_ABSEN_DES24""),39,0)"),20)</f>
        <v>20</v>
      </c>
      <c r="O376" s="334">
        <f ca="1">IFERROR(__xludf.DUMMYFUNCTION("VLOOKUP(C376,IMPORTRANGE(""https://docs.google.com/spreadsheets/d/1rQ2O3to3MCxQ4eTnJ5b4WStW3zTBTYg21JZurI75aCM/edit?gid=1410613181#gid=1410613181"",""DATA_ABSEN_DES24""),40,0)"),20)</f>
        <v>20</v>
      </c>
      <c r="P376" s="16">
        <f t="shared" ca="1" si="381"/>
        <v>1290000</v>
      </c>
      <c r="Q376" s="16">
        <v>21</v>
      </c>
      <c r="R376" s="16">
        <f t="shared" si="382"/>
        <v>4725097.7920000004</v>
      </c>
      <c r="S376" s="16">
        <f t="shared" ca="1" si="383"/>
        <v>4670597.7920000004</v>
      </c>
      <c r="T376" s="16">
        <f t="shared" ca="1" si="384"/>
        <v>0</v>
      </c>
      <c r="U376" s="16">
        <v>100810</v>
      </c>
      <c r="V376" s="21">
        <f ca="1">IFERROR(__xludf.DUMMYFUNCTION("VLOOKUP(C376,IMPORTRANGE(""https://docs.google.com/spreadsheets/d/1rQ2O3to3MCxQ4eTnJ5b4WStW3zTBTYg21JZurI75aCM/edit?gid=1410613181#gid=1410613181"",""DATA_ABSEN_DES24""),41,0)"),0)</f>
        <v>0</v>
      </c>
      <c r="W376" s="16">
        <f t="shared" ca="1" si="385"/>
        <v>0</v>
      </c>
      <c r="X376" s="16">
        <v>0</v>
      </c>
      <c r="Y376" s="16">
        <f t="shared" ca="1" si="386"/>
        <v>4670597.7920000004</v>
      </c>
      <c r="Z376" s="21"/>
      <c r="AA376" s="21"/>
      <c r="AB376" s="21"/>
      <c r="AC376" s="21"/>
      <c r="AD376" s="21"/>
      <c r="AE376" s="16"/>
      <c r="AF376" s="16"/>
      <c r="AG376" s="16"/>
      <c r="AH376" s="16"/>
      <c r="AI376" s="16"/>
      <c r="AJ376" s="16"/>
      <c r="AK376" s="16"/>
      <c r="AL376" s="16"/>
      <c r="AM376" s="16"/>
      <c r="AN376" s="335">
        <f t="shared" ca="1" si="387"/>
        <v>4670597.7920000004</v>
      </c>
      <c r="AO376" s="20">
        <f t="shared" ca="1" si="388"/>
        <v>0</v>
      </c>
      <c r="AP376" s="20">
        <f t="shared" ca="1" si="389"/>
        <v>4670597.7920000004</v>
      </c>
      <c r="AQ376" s="20">
        <f t="shared" ca="1" si="390"/>
        <v>4670597.7920000004</v>
      </c>
      <c r="AR376" s="20">
        <f t="shared" ca="1" si="391"/>
        <v>4670600</v>
      </c>
      <c r="AS376" s="216"/>
      <c r="AT376" s="30" t="s">
        <v>9</v>
      </c>
      <c r="AU376" s="30" t="str">
        <f>VLOOKUP(AT376,TER!$R$2:$S$10,2,0)</f>
        <v>A</v>
      </c>
      <c r="AV376" s="20">
        <f t="shared" si="392"/>
        <v>3066580</v>
      </c>
      <c r="AW376" s="20">
        <f t="shared" ca="1" si="393"/>
        <v>1290000</v>
      </c>
      <c r="AX376" s="20">
        <f t="shared" ref="AX376:AY376" ca="1" si="438">W376</f>
        <v>0</v>
      </c>
      <c r="AY376" s="20">
        <f t="shared" si="438"/>
        <v>0</v>
      </c>
      <c r="AZ376" s="20">
        <f t="shared" si="395"/>
        <v>7359.7919999999995</v>
      </c>
      <c r="BA376" s="20">
        <f t="shared" si="396"/>
        <v>9199.74</v>
      </c>
      <c r="BB376" s="20">
        <f t="shared" si="397"/>
        <v>122663.2</v>
      </c>
      <c r="BC376" s="20">
        <f t="shared" ca="1" si="398"/>
        <v>4495802.7320000008</v>
      </c>
      <c r="BD376" s="37">
        <f ca="1">IF(AU376="C",VLOOKUP(BC376,TER!$J$4:$L$50,3,TRUE),IF(AU376="B",VLOOKUP(BC376,TER!$F$4:$H$50,3,TRUE),IF(AU376="A",VLOOKUP(BC376,TER!$B$4:$D$50,3,TRUE),"ERROR")))</f>
        <v>0</v>
      </c>
      <c r="BE376" s="20">
        <f t="shared" ca="1" si="399"/>
        <v>0</v>
      </c>
      <c r="BF376" s="216"/>
      <c r="BG376" s="216"/>
    </row>
    <row r="377" spans="1:59" ht="15.75" hidden="1" customHeight="1">
      <c r="A377" s="216"/>
      <c r="B377" s="27">
        <v>39</v>
      </c>
      <c r="C377" s="28" t="s">
        <v>715</v>
      </c>
      <c r="D377" s="29" t="s">
        <v>716</v>
      </c>
      <c r="E377" s="27" t="s">
        <v>57</v>
      </c>
      <c r="F377" s="28" t="s">
        <v>717</v>
      </c>
      <c r="G377" s="27" t="s">
        <v>31</v>
      </c>
      <c r="H377" s="332" t="s">
        <v>32</v>
      </c>
      <c r="I377" s="16">
        <f t="shared" si="380"/>
        <v>3066580</v>
      </c>
      <c r="J377" s="16">
        <v>191354.592</v>
      </c>
      <c r="K377" s="16">
        <v>122663.2</v>
      </c>
      <c r="L377" s="16">
        <v>200000</v>
      </c>
      <c r="M377" s="16">
        <f t="shared" si="428"/>
        <v>54500</v>
      </c>
      <c r="N377" s="21">
        <f ca="1">IFERROR(__xludf.DUMMYFUNCTION("VLOOKUP(C377,IMPORTRANGE(""https://docs.google.com/spreadsheets/d/1rQ2O3to3MCxQ4eTnJ5b4WStW3zTBTYg21JZurI75aCM/edit?gid=1410613181#gid=1410613181"",""DATA_ABSEN_DES24""),39,0)"),21)</f>
        <v>21</v>
      </c>
      <c r="O377" s="334">
        <f ca="1">IFERROR(__xludf.DUMMYFUNCTION("VLOOKUP(C377,IMPORTRANGE(""https://docs.google.com/spreadsheets/d/1rQ2O3to3MCxQ4eTnJ5b4WStW3zTBTYg21JZurI75aCM/edit?gid=1410613181#gid=1410613181"",""DATA_ABSEN_DES24""),40,0)"),20)</f>
        <v>20</v>
      </c>
      <c r="P377" s="16">
        <f t="shared" ca="1" si="381"/>
        <v>1344500</v>
      </c>
      <c r="Q377" s="16">
        <v>21</v>
      </c>
      <c r="R377" s="16">
        <f t="shared" si="382"/>
        <v>4725097.7920000004</v>
      </c>
      <c r="S377" s="16">
        <f t="shared" ca="1" si="383"/>
        <v>4725097.7920000004</v>
      </c>
      <c r="T377" s="16">
        <f t="shared" ca="1" si="384"/>
        <v>0</v>
      </c>
      <c r="U377" s="16">
        <v>100810</v>
      </c>
      <c r="V377" s="21">
        <f ca="1">IFERROR(__xludf.DUMMYFUNCTION("VLOOKUP(C377,IMPORTRANGE(""https://docs.google.com/spreadsheets/d/1rQ2O3to3MCxQ4eTnJ5b4WStW3zTBTYg21JZurI75aCM/edit?gid=1410613181#gid=1410613181"",""DATA_ABSEN_DES24""),41,0)"),0)</f>
        <v>0</v>
      </c>
      <c r="W377" s="16">
        <f t="shared" ca="1" si="385"/>
        <v>0</v>
      </c>
      <c r="X377" s="16">
        <v>0</v>
      </c>
      <c r="Y377" s="16">
        <f t="shared" ca="1" si="386"/>
        <v>4725097.7920000004</v>
      </c>
      <c r="Z377" s="21"/>
      <c r="AA377" s="21"/>
      <c r="AB377" s="21"/>
      <c r="AC377" s="21"/>
      <c r="AD377" s="21"/>
      <c r="AE377" s="16"/>
      <c r="AF377" s="16"/>
      <c r="AG377" s="16"/>
      <c r="AH377" s="16"/>
      <c r="AI377" s="16"/>
      <c r="AJ377" s="16"/>
      <c r="AK377" s="16"/>
      <c r="AL377" s="16"/>
      <c r="AM377" s="16"/>
      <c r="AN377" s="335">
        <f t="shared" ca="1" si="387"/>
        <v>4725097.7920000004</v>
      </c>
      <c r="AO377" s="20">
        <f t="shared" ca="1" si="388"/>
        <v>0</v>
      </c>
      <c r="AP377" s="20">
        <f t="shared" ca="1" si="389"/>
        <v>4725097.7920000004</v>
      </c>
      <c r="AQ377" s="20">
        <f t="shared" ca="1" si="390"/>
        <v>4725097.7920000004</v>
      </c>
      <c r="AR377" s="20">
        <f t="shared" ca="1" si="391"/>
        <v>4725100</v>
      </c>
      <c r="AS377" s="216"/>
      <c r="AT377" s="30" t="s">
        <v>18</v>
      </c>
      <c r="AU377" s="30" t="str">
        <f>VLOOKUP(AT377,TER!$R$2:$S$10,2,0)</f>
        <v>B</v>
      </c>
      <c r="AV377" s="20">
        <f t="shared" si="392"/>
        <v>3066580</v>
      </c>
      <c r="AW377" s="20">
        <f t="shared" ca="1" si="393"/>
        <v>1344500</v>
      </c>
      <c r="AX377" s="20">
        <f t="shared" ref="AX377:AY377" ca="1" si="439">W377</f>
        <v>0</v>
      </c>
      <c r="AY377" s="20">
        <f t="shared" si="439"/>
        <v>0</v>
      </c>
      <c r="AZ377" s="20">
        <f t="shared" si="395"/>
        <v>7359.7919999999995</v>
      </c>
      <c r="BA377" s="20">
        <f t="shared" si="396"/>
        <v>9199.74</v>
      </c>
      <c r="BB377" s="20">
        <f t="shared" si="397"/>
        <v>122663.2</v>
      </c>
      <c r="BC377" s="20">
        <f t="shared" ca="1" si="398"/>
        <v>4550302.7320000008</v>
      </c>
      <c r="BD377" s="37">
        <f ca="1">IF(AU377="C",VLOOKUP(BC377,TER!$J$4:$L$50,3,TRUE),IF(AU377="B",VLOOKUP(BC377,TER!$F$4:$H$50,3,TRUE),IF(AU377="A",VLOOKUP(BC377,TER!$B$4:$D$50,3,TRUE),"ERROR")))</f>
        <v>0</v>
      </c>
      <c r="BE377" s="20">
        <f t="shared" ca="1" si="399"/>
        <v>0</v>
      </c>
      <c r="BF377" s="216"/>
      <c r="BG377" s="216"/>
    </row>
    <row r="378" spans="1:59" ht="15.75" hidden="1" customHeight="1">
      <c r="A378" s="216"/>
      <c r="B378" s="27">
        <v>40</v>
      </c>
      <c r="C378" s="28" t="s">
        <v>718</v>
      </c>
      <c r="D378" s="29" t="s">
        <v>719</v>
      </c>
      <c r="E378" s="27" t="s">
        <v>57</v>
      </c>
      <c r="F378" s="28" t="s">
        <v>720</v>
      </c>
      <c r="G378" s="27" t="s">
        <v>31</v>
      </c>
      <c r="H378" s="332" t="s">
        <v>32</v>
      </c>
      <c r="I378" s="16">
        <f t="shared" si="380"/>
        <v>3066580</v>
      </c>
      <c r="J378" s="16">
        <v>191354.592</v>
      </c>
      <c r="K378" s="16">
        <v>122663.2</v>
      </c>
      <c r="L378" s="16">
        <v>200000</v>
      </c>
      <c r="M378" s="16">
        <f t="shared" si="428"/>
        <v>54500</v>
      </c>
      <c r="N378" s="21">
        <f ca="1">IFERROR(__xludf.DUMMYFUNCTION("VLOOKUP(C378,IMPORTRANGE(""https://docs.google.com/spreadsheets/d/1rQ2O3to3MCxQ4eTnJ5b4WStW3zTBTYg21JZurI75aCM/edit?gid=1410613181#gid=1410613181"",""DATA_ABSEN_DES24""),39,0)"),21)</f>
        <v>21</v>
      </c>
      <c r="O378" s="334">
        <f ca="1">IFERROR(__xludf.DUMMYFUNCTION("VLOOKUP(C378,IMPORTRANGE(""https://docs.google.com/spreadsheets/d/1rQ2O3to3MCxQ4eTnJ5b4WStW3zTBTYg21JZurI75aCM/edit?gid=1410613181#gid=1410613181"",""DATA_ABSEN_DES24""),40,0)"),20)</f>
        <v>20</v>
      </c>
      <c r="P378" s="16">
        <f t="shared" ca="1" si="381"/>
        <v>1344500</v>
      </c>
      <c r="Q378" s="16">
        <v>21</v>
      </c>
      <c r="R378" s="16">
        <f t="shared" si="382"/>
        <v>4725097.7920000004</v>
      </c>
      <c r="S378" s="16">
        <f t="shared" ca="1" si="383"/>
        <v>4725097.7920000004</v>
      </c>
      <c r="T378" s="16">
        <f t="shared" ca="1" si="384"/>
        <v>0</v>
      </c>
      <c r="U378" s="16">
        <v>100810</v>
      </c>
      <c r="V378" s="21">
        <f ca="1">IFERROR(__xludf.DUMMYFUNCTION("VLOOKUP(C378,IMPORTRANGE(""https://docs.google.com/spreadsheets/d/1rQ2O3to3MCxQ4eTnJ5b4WStW3zTBTYg21JZurI75aCM/edit?gid=1410613181#gid=1410613181"",""DATA_ABSEN_DES24""),41,0)"),0)</f>
        <v>0</v>
      </c>
      <c r="W378" s="16">
        <f t="shared" ca="1" si="385"/>
        <v>0</v>
      </c>
      <c r="X378" s="16">
        <v>0</v>
      </c>
      <c r="Y378" s="16">
        <f t="shared" ca="1" si="386"/>
        <v>4725097.7920000004</v>
      </c>
      <c r="Z378" s="21"/>
      <c r="AA378" s="21"/>
      <c r="AB378" s="21"/>
      <c r="AC378" s="21"/>
      <c r="AD378" s="21"/>
      <c r="AE378" s="16"/>
      <c r="AF378" s="16"/>
      <c r="AG378" s="16"/>
      <c r="AH378" s="16"/>
      <c r="AI378" s="16"/>
      <c r="AJ378" s="16"/>
      <c r="AK378" s="16"/>
      <c r="AL378" s="16"/>
      <c r="AM378" s="16"/>
      <c r="AN378" s="335">
        <f t="shared" ca="1" si="387"/>
        <v>4725097.7920000004</v>
      </c>
      <c r="AO378" s="20">
        <f t="shared" ca="1" si="388"/>
        <v>0</v>
      </c>
      <c r="AP378" s="20">
        <f t="shared" ca="1" si="389"/>
        <v>4725097.7920000004</v>
      </c>
      <c r="AQ378" s="20">
        <f t="shared" ca="1" si="390"/>
        <v>4725097.7920000004</v>
      </c>
      <c r="AR378" s="20">
        <f t="shared" ca="1" si="391"/>
        <v>4725100</v>
      </c>
      <c r="AS378" s="216"/>
      <c r="AT378" s="30" t="s">
        <v>17</v>
      </c>
      <c r="AU378" s="30" t="str">
        <f>VLOOKUP(AT378,TER!$R$2:$S$10,2,0)</f>
        <v>B</v>
      </c>
      <c r="AV378" s="20">
        <f t="shared" si="392"/>
        <v>3066580</v>
      </c>
      <c r="AW378" s="20">
        <f t="shared" ca="1" si="393"/>
        <v>1344500</v>
      </c>
      <c r="AX378" s="20">
        <f t="shared" ref="AX378:AY378" ca="1" si="440">W378</f>
        <v>0</v>
      </c>
      <c r="AY378" s="20">
        <f t="shared" si="440"/>
        <v>0</v>
      </c>
      <c r="AZ378" s="20">
        <f t="shared" si="395"/>
        <v>7359.7919999999995</v>
      </c>
      <c r="BA378" s="20">
        <f t="shared" si="396"/>
        <v>9199.74</v>
      </c>
      <c r="BB378" s="20">
        <f t="shared" si="397"/>
        <v>122663.2</v>
      </c>
      <c r="BC378" s="20">
        <f t="shared" ca="1" si="398"/>
        <v>4550302.7320000008</v>
      </c>
      <c r="BD378" s="37">
        <f ca="1">IF(AU378="C",VLOOKUP(BC378,TER!$J$4:$L$50,3,TRUE),IF(AU378="B",VLOOKUP(BC378,TER!$F$4:$H$50,3,TRUE),IF(AU378="A",VLOOKUP(BC378,TER!$B$4:$D$50,3,TRUE),"ERROR")))</f>
        <v>0</v>
      </c>
      <c r="BE378" s="20">
        <f t="shared" ca="1" si="399"/>
        <v>0</v>
      </c>
      <c r="BF378" s="216"/>
      <c r="BG378" s="216"/>
    </row>
    <row r="379" spans="1:59" ht="15.75" hidden="1" customHeight="1">
      <c r="A379" s="216"/>
      <c r="B379" s="27">
        <v>41</v>
      </c>
      <c r="C379" s="28" t="s">
        <v>236</v>
      </c>
      <c r="D379" s="29" t="s">
        <v>237</v>
      </c>
      <c r="E379" s="27" t="s">
        <v>57</v>
      </c>
      <c r="F379" s="28" t="s">
        <v>238</v>
      </c>
      <c r="G379" s="27" t="s">
        <v>31</v>
      </c>
      <c r="H379" s="332" t="s">
        <v>32</v>
      </c>
      <c r="I379" s="16">
        <f t="shared" si="380"/>
        <v>3066580</v>
      </c>
      <c r="J379" s="16">
        <v>191354.592</v>
      </c>
      <c r="K379" s="16">
        <v>122663.2</v>
      </c>
      <c r="L379" s="16">
        <v>200000</v>
      </c>
      <c r="M379" s="16">
        <f t="shared" si="428"/>
        <v>54500</v>
      </c>
      <c r="N379" s="21">
        <f ca="1">IFERROR(__xludf.DUMMYFUNCTION("VLOOKUP(C379,IMPORTRANGE(""https://docs.google.com/spreadsheets/d/1rQ2O3to3MCxQ4eTnJ5b4WStW3zTBTYg21JZurI75aCM/edit?gid=1410613181#gid=1410613181"",""DATA_ABSEN_DES24""),39,0)"),21)</f>
        <v>21</v>
      </c>
      <c r="O379" s="334">
        <f ca="1">IFERROR(__xludf.DUMMYFUNCTION("VLOOKUP(C379,IMPORTRANGE(""https://docs.google.com/spreadsheets/d/1rQ2O3to3MCxQ4eTnJ5b4WStW3zTBTYg21JZurI75aCM/edit?gid=1410613181#gid=1410613181"",""DATA_ABSEN_DES24""),40,0)"),20)</f>
        <v>20</v>
      </c>
      <c r="P379" s="16">
        <f t="shared" ca="1" si="381"/>
        <v>1344500</v>
      </c>
      <c r="Q379" s="16">
        <v>21</v>
      </c>
      <c r="R379" s="16">
        <f t="shared" si="382"/>
        <v>4725097.7920000004</v>
      </c>
      <c r="S379" s="16">
        <f t="shared" ca="1" si="383"/>
        <v>4725097.7920000004</v>
      </c>
      <c r="T379" s="16">
        <f t="shared" ca="1" si="384"/>
        <v>0</v>
      </c>
      <c r="U379" s="16">
        <v>100810</v>
      </c>
      <c r="V379" s="21">
        <f ca="1">IFERROR(__xludf.DUMMYFUNCTION("VLOOKUP(C379,IMPORTRANGE(""https://docs.google.com/spreadsheets/d/1rQ2O3to3MCxQ4eTnJ5b4WStW3zTBTYg21JZurI75aCM/edit?gid=1410613181#gid=1410613181"",""DATA_ABSEN_DES24""),41,0)"),0)</f>
        <v>0</v>
      </c>
      <c r="W379" s="16">
        <f t="shared" ca="1" si="385"/>
        <v>0</v>
      </c>
      <c r="X379" s="16">
        <v>0</v>
      </c>
      <c r="Y379" s="16">
        <f t="shared" ca="1" si="386"/>
        <v>4725097.7920000004</v>
      </c>
      <c r="Z379" s="21"/>
      <c r="AA379" s="21"/>
      <c r="AB379" s="21"/>
      <c r="AC379" s="21"/>
      <c r="AD379" s="21"/>
      <c r="AE379" s="16"/>
      <c r="AF379" s="16"/>
      <c r="AG379" s="16"/>
      <c r="AH379" s="16"/>
      <c r="AI379" s="16"/>
      <c r="AJ379" s="16"/>
      <c r="AK379" s="16"/>
      <c r="AL379" s="16"/>
      <c r="AM379" s="16"/>
      <c r="AN379" s="335">
        <f t="shared" ca="1" si="387"/>
        <v>4725097.7920000004</v>
      </c>
      <c r="AO379" s="20">
        <f t="shared" ca="1" si="388"/>
        <v>0</v>
      </c>
      <c r="AP379" s="20">
        <f t="shared" ca="1" si="389"/>
        <v>4725097.7920000004</v>
      </c>
      <c r="AQ379" s="20">
        <f t="shared" ca="1" si="390"/>
        <v>4725097.7920000004</v>
      </c>
      <c r="AR379" s="20">
        <f t="shared" ca="1" si="391"/>
        <v>4725100</v>
      </c>
      <c r="AS379" s="216"/>
      <c r="AT379" s="30" t="s">
        <v>9</v>
      </c>
      <c r="AU379" s="30" t="str">
        <f>VLOOKUP(AT379,TER!$R$2:$S$10,2,0)</f>
        <v>A</v>
      </c>
      <c r="AV379" s="20">
        <f t="shared" si="392"/>
        <v>3066580</v>
      </c>
      <c r="AW379" s="20">
        <f t="shared" ca="1" si="393"/>
        <v>1344500</v>
      </c>
      <c r="AX379" s="20">
        <f t="shared" ref="AX379:AY379" ca="1" si="441">W379</f>
        <v>0</v>
      </c>
      <c r="AY379" s="20">
        <f t="shared" si="441"/>
        <v>0</v>
      </c>
      <c r="AZ379" s="20">
        <f t="shared" si="395"/>
        <v>7359.7919999999995</v>
      </c>
      <c r="BA379" s="20">
        <f t="shared" si="396"/>
        <v>9199.74</v>
      </c>
      <c r="BB379" s="20">
        <f t="shared" si="397"/>
        <v>122663.2</v>
      </c>
      <c r="BC379" s="20">
        <f t="shared" ca="1" si="398"/>
        <v>4550302.7320000008</v>
      </c>
      <c r="BD379" s="37">
        <f ca="1">IF(AU379="C",VLOOKUP(BC379,TER!$J$4:$L$50,3,TRUE),IF(AU379="B",VLOOKUP(BC379,TER!$F$4:$H$50,3,TRUE),IF(AU379="A",VLOOKUP(BC379,TER!$B$4:$D$50,3,TRUE),"ERROR")))</f>
        <v>0</v>
      </c>
      <c r="BE379" s="20">
        <f t="shared" ca="1" si="399"/>
        <v>0</v>
      </c>
      <c r="BF379" s="216"/>
      <c r="BG379" s="216"/>
    </row>
    <row r="380" spans="1:59" ht="15.75" hidden="1" customHeight="1">
      <c r="A380" s="216"/>
      <c r="B380" s="27">
        <v>42</v>
      </c>
      <c r="C380" s="28" t="s">
        <v>721</v>
      </c>
      <c r="D380" s="29" t="s">
        <v>722</v>
      </c>
      <c r="E380" s="27" t="s">
        <v>57</v>
      </c>
      <c r="F380" s="28" t="s">
        <v>723</v>
      </c>
      <c r="G380" s="27" t="s">
        <v>94</v>
      </c>
      <c r="H380" s="332" t="s">
        <v>32</v>
      </c>
      <c r="I380" s="16">
        <f t="shared" si="380"/>
        <v>3066580</v>
      </c>
      <c r="J380" s="16">
        <v>191354.592</v>
      </c>
      <c r="K380" s="16">
        <v>122663.2</v>
      </c>
      <c r="L380" s="16">
        <f>200000+250000</f>
        <v>450000</v>
      </c>
      <c r="M380" s="16">
        <f>(724500+472500)/21</f>
        <v>57000</v>
      </c>
      <c r="N380" s="21">
        <f ca="1">IFERROR(__xludf.DUMMYFUNCTION("VLOOKUP(C380,IMPORTRANGE(""https://docs.google.com/spreadsheets/d/1rQ2O3to3MCxQ4eTnJ5b4WStW3zTBTYg21JZurI75aCM/edit?gid=1410613181#gid=1410613181"",""DATA_ABSEN_DES24""),39,0)"),20)</f>
        <v>20</v>
      </c>
      <c r="O380" s="334">
        <f ca="1">IFERROR(__xludf.DUMMYFUNCTION("VLOOKUP(C380,IMPORTRANGE(""https://docs.google.com/spreadsheets/d/1rQ2O3to3MCxQ4eTnJ5b4WStW3zTBTYg21JZurI75aCM/edit?gid=1410613181#gid=1410613181"",""DATA_ABSEN_DES24""),40,0)"),20)</f>
        <v>20</v>
      </c>
      <c r="P380" s="16">
        <f t="shared" ca="1" si="381"/>
        <v>1590000</v>
      </c>
      <c r="Q380" s="16">
        <v>21</v>
      </c>
      <c r="R380" s="16">
        <f t="shared" si="382"/>
        <v>5027597.7920000004</v>
      </c>
      <c r="S380" s="16">
        <f t="shared" ca="1" si="383"/>
        <v>4970597.7920000004</v>
      </c>
      <c r="T380" s="16">
        <f t="shared" ca="1" si="384"/>
        <v>0</v>
      </c>
      <c r="U380" s="16">
        <v>100810</v>
      </c>
      <c r="V380" s="21">
        <f ca="1">IFERROR(__xludf.DUMMYFUNCTION("VLOOKUP(C380,IMPORTRANGE(""https://docs.google.com/spreadsheets/d/1rQ2O3to3MCxQ4eTnJ5b4WStW3zTBTYg21JZurI75aCM/edit?gid=1410613181#gid=1410613181"",""DATA_ABSEN_DES24""),41,0)"),0)</f>
        <v>0</v>
      </c>
      <c r="W380" s="16">
        <f t="shared" ca="1" si="385"/>
        <v>0</v>
      </c>
      <c r="X380" s="16">
        <v>0</v>
      </c>
      <c r="Y380" s="16">
        <f t="shared" ca="1" si="386"/>
        <v>4970597.7920000004</v>
      </c>
      <c r="Z380" s="21"/>
      <c r="AA380" s="21"/>
      <c r="AB380" s="21"/>
      <c r="AC380" s="21"/>
      <c r="AD380" s="21"/>
      <c r="AE380" s="16"/>
      <c r="AF380" s="16"/>
      <c r="AG380" s="16"/>
      <c r="AH380" s="16"/>
      <c r="AI380" s="16"/>
      <c r="AJ380" s="16"/>
      <c r="AK380" s="16"/>
      <c r="AL380" s="16"/>
      <c r="AM380" s="16"/>
      <c r="AN380" s="335">
        <f t="shared" ca="1" si="387"/>
        <v>4970597.7920000004</v>
      </c>
      <c r="AO380" s="20">
        <f t="shared" ca="1" si="388"/>
        <v>0</v>
      </c>
      <c r="AP380" s="20">
        <f t="shared" ca="1" si="389"/>
        <v>4970597.7920000004</v>
      </c>
      <c r="AQ380" s="20">
        <f t="shared" ca="1" si="390"/>
        <v>4970597.7920000004</v>
      </c>
      <c r="AR380" s="20">
        <f t="shared" ca="1" si="391"/>
        <v>4970600</v>
      </c>
      <c r="AS380" s="216"/>
      <c r="AT380" s="30" t="s">
        <v>9</v>
      </c>
      <c r="AU380" s="30" t="str">
        <f>VLOOKUP(AT380,TER!$R$2:$S$10,2,0)</f>
        <v>A</v>
      </c>
      <c r="AV380" s="20">
        <f t="shared" si="392"/>
        <v>3066580</v>
      </c>
      <c r="AW380" s="20">
        <f t="shared" ca="1" si="393"/>
        <v>1590000</v>
      </c>
      <c r="AX380" s="20">
        <f t="shared" ref="AX380:AY380" ca="1" si="442">W380</f>
        <v>0</v>
      </c>
      <c r="AY380" s="20">
        <f t="shared" si="442"/>
        <v>0</v>
      </c>
      <c r="AZ380" s="20">
        <f t="shared" si="395"/>
        <v>7359.7919999999995</v>
      </c>
      <c r="BA380" s="20">
        <f t="shared" si="396"/>
        <v>9199.74</v>
      </c>
      <c r="BB380" s="20">
        <f t="shared" si="397"/>
        <v>122663.2</v>
      </c>
      <c r="BC380" s="20">
        <f t="shared" ca="1" si="398"/>
        <v>4795802.7320000008</v>
      </c>
      <c r="BD380" s="37">
        <f ca="1">IF(AU380="C",VLOOKUP(BC380,TER!$J$4:$L$50,3,TRUE),IF(AU380="B",VLOOKUP(BC380,TER!$F$4:$H$50,3,TRUE),IF(AU380="A",VLOOKUP(BC380,TER!$B$4:$D$50,3,TRUE),"ERROR")))</f>
        <v>0</v>
      </c>
      <c r="BE380" s="20">
        <f t="shared" ca="1" si="399"/>
        <v>0</v>
      </c>
      <c r="BF380" s="216"/>
      <c r="BG380" s="216"/>
    </row>
    <row r="381" spans="1:59" ht="15.75" hidden="1" customHeight="1">
      <c r="A381" s="216"/>
      <c r="B381" s="27">
        <v>43</v>
      </c>
      <c r="C381" s="28" t="s">
        <v>724</v>
      </c>
      <c r="D381" s="29" t="s">
        <v>725</v>
      </c>
      <c r="E381" s="27" t="s">
        <v>57</v>
      </c>
      <c r="F381" s="28" t="s">
        <v>726</v>
      </c>
      <c r="G381" s="27" t="s">
        <v>31</v>
      </c>
      <c r="H381" s="332" t="s">
        <v>32</v>
      </c>
      <c r="I381" s="16">
        <f t="shared" si="380"/>
        <v>3066580</v>
      </c>
      <c r="J381" s="16">
        <v>191354.592</v>
      </c>
      <c r="K381" s="16">
        <v>122663.2</v>
      </c>
      <c r="L381" s="16">
        <v>200000</v>
      </c>
      <c r="M381" s="16">
        <f>(724500+420000)/21</f>
        <v>54500</v>
      </c>
      <c r="N381" s="21">
        <f ca="1">IFERROR(__xludf.DUMMYFUNCTION("VLOOKUP(C381,IMPORTRANGE(""https://docs.google.com/spreadsheets/d/1rQ2O3to3MCxQ4eTnJ5b4WStW3zTBTYg21JZurI75aCM/edit?gid=1410613181#gid=1410613181"",""DATA_ABSEN_DES24""),39,0)"),21)</f>
        <v>21</v>
      </c>
      <c r="O381" s="334">
        <f ca="1">IFERROR(__xludf.DUMMYFUNCTION("VLOOKUP(C381,IMPORTRANGE(""https://docs.google.com/spreadsheets/d/1rQ2O3to3MCxQ4eTnJ5b4WStW3zTBTYg21JZurI75aCM/edit?gid=1410613181#gid=1410613181"",""DATA_ABSEN_DES24""),40,0)"),20)</f>
        <v>20</v>
      </c>
      <c r="P381" s="16">
        <f t="shared" ca="1" si="381"/>
        <v>1344500</v>
      </c>
      <c r="Q381" s="16">
        <v>21</v>
      </c>
      <c r="R381" s="16">
        <f t="shared" si="382"/>
        <v>4725097.7920000004</v>
      </c>
      <c r="S381" s="16">
        <f t="shared" ca="1" si="383"/>
        <v>4725097.7920000004</v>
      </c>
      <c r="T381" s="16">
        <f t="shared" ca="1" si="384"/>
        <v>0</v>
      </c>
      <c r="U381" s="16">
        <v>100810</v>
      </c>
      <c r="V381" s="21">
        <f ca="1">IFERROR(__xludf.DUMMYFUNCTION("VLOOKUP(C381,IMPORTRANGE(""https://docs.google.com/spreadsheets/d/1rQ2O3to3MCxQ4eTnJ5b4WStW3zTBTYg21JZurI75aCM/edit?gid=1410613181#gid=1410613181"",""DATA_ABSEN_DES24""),41,0)"),0)</f>
        <v>0</v>
      </c>
      <c r="W381" s="16">
        <f t="shared" ca="1" si="385"/>
        <v>0</v>
      </c>
      <c r="X381" s="16">
        <v>0</v>
      </c>
      <c r="Y381" s="16">
        <f t="shared" ca="1" si="386"/>
        <v>4725097.7920000004</v>
      </c>
      <c r="Z381" s="21"/>
      <c r="AA381" s="21"/>
      <c r="AB381" s="21"/>
      <c r="AC381" s="21"/>
      <c r="AD381" s="21"/>
      <c r="AE381" s="16"/>
      <c r="AF381" s="16"/>
      <c r="AG381" s="16"/>
      <c r="AH381" s="16"/>
      <c r="AI381" s="16"/>
      <c r="AJ381" s="16"/>
      <c r="AK381" s="16"/>
      <c r="AL381" s="16"/>
      <c r="AM381" s="16"/>
      <c r="AN381" s="335">
        <f t="shared" ca="1" si="387"/>
        <v>4725097.7920000004</v>
      </c>
      <c r="AO381" s="20">
        <f t="shared" ca="1" si="388"/>
        <v>0</v>
      </c>
      <c r="AP381" s="20">
        <f t="shared" ca="1" si="389"/>
        <v>4725097.7920000004</v>
      </c>
      <c r="AQ381" s="20">
        <f t="shared" ca="1" si="390"/>
        <v>4725097.7920000004</v>
      </c>
      <c r="AR381" s="20">
        <f t="shared" ca="1" si="391"/>
        <v>4725100</v>
      </c>
      <c r="AS381" s="216"/>
      <c r="AT381" s="30" t="s">
        <v>17</v>
      </c>
      <c r="AU381" s="30" t="str">
        <f>VLOOKUP(AT381,TER!$R$2:$S$10,2,0)</f>
        <v>B</v>
      </c>
      <c r="AV381" s="20">
        <f t="shared" si="392"/>
        <v>3066580</v>
      </c>
      <c r="AW381" s="20">
        <f t="shared" ca="1" si="393"/>
        <v>1344500</v>
      </c>
      <c r="AX381" s="20">
        <f t="shared" ref="AX381:AY381" ca="1" si="443">W381</f>
        <v>0</v>
      </c>
      <c r="AY381" s="20">
        <f t="shared" si="443"/>
        <v>0</v>
      </c>
      <c r="AZ381" s="20">
        <f t="shared" si="395"/>
        <v>7359.7919999999995</v>
      </c>
      <c r="BA381" s="20">
        <f t="shared" si="396"/>
        <v>9199.74</v>
      </c>
      <c r="BB381" s="20">
        <f t="shared" si="397"/>
        <v>122663.2</v>
      </c>
      <c r="BC381" s="20">
        <f t="shared" ca="1" si="398"/>
        <v>4550302.7320000008</v>
      </c>
      <c r="BD381" s="37">
        <f ca="1">IF(AU381="C",VLOOKUP(BC381,TER!$J$4:$L$50,3,TRUE),IF(AU381="B",VLOOKUP(BC381,TER!$F$4:$H$50,3,TRUE),IF(AU381="A",VLOOKUP(BC381,TER!$B$4:$D$50,3,TRUE),"ERROR")))</f>
        <v>0</v>
      </c>
      <c r="BE381" s="20">
        <f t="shared" ca="1" si="399"/>
        <v>0</v>
      </c>
      <c r="BF381" s="216"/>
      <c r="BG381" s="216"/>
    </row>
    <row r="382" spans="1:59" ht="15.75" hidden="1" customHeight="1">
      <c r="A382" s="216"/>
      <c r="B382" s="27">
        <v>44</v>
      </c>
      <c r="C382" s="28" t="s">
        <v>727</v>
      </c>
      <c r="D382" s="29" t="s">
        <v>728</v>
      </c>
      <c r="E382" s="27" t="s">
        <v>57</v>
      </c>
      <c r="F382" s="28" t="s">
        <v>729</v>
      </c>
      <c r="G382" s="27" t="s">
        <v>94</v>
      </c>
      <c r="H382" s="332" t="s">
        <v>32</v>
      </c>
      <c r="I382" s="16">
        <f t="shared" si="380"/>
        <v>3066580</v>
      </c>
      <c r="J382" s="16">
        <v>191354.592</v>
      </c>
      <c r="K382" s="16">
        <v>0</v>
      </c>
      <c r="L382" s="16">
        <f>200000+250000</f>
        <v>450000</v>
      </c>
      <c r="M382" s="16">
        <f>(724500+472500)/21</f>
        <v>57000</v>
      </c>
      <c r="N382" s="21">
        <f ca="1">IFERROR(__xludf.DUMMYFUNCTION("VLOOKUP(C382,IMPORTRANGE(""https://docs.google.com/spreadsheets/d/1rQ2O3to3MCxQ4eTnJ5b4WStW3zTBTYg21JZurI75aCM/edit?gid=1410613181#gid=1410613181"",""DATA_ABSEN_DES24""),39,0)"),20)</f>
        <v>20</v>
      </c>
      <c r="O382" s="334">
        <f ca="1">IFERROR(__xludf.DUMMYFUNCTION("VLOOKUP(C382,IMPORTRANGE(""https://docs.google.com/spreadsheets/d/1rQ2O3to3MCxQ4eTnJ5b4WStW3zTBTYg21JZurI75aCM/edit?gid=1410613181#gid=1410613181"",""DATA_ABSEN_DES24""),40,0)"),20)</f>
        <v>20</v>
      </c>
      <c r="P382" s="16">
        <f t="shared" ca="1" si="381"/>
        <v>1590000</v>
      </c>
      <c r="Q382" s="16">
        <v>21</v>
      </c>
      <c r="R382" s="16">
        <f t="shared" si="382"/>
        <v>4904934.5920000002</v>
      </c>
      <c r="S382" s="16">
        <f t="shared" ca="1" si="383"/>
        <v>4847934.5920000002</v>
      </c>
      <c r="T382" s="16">
        <f t="shared" ca="1" si="384"/>
        <v>0</v>
      </c>
      <c r="U382" s="16">
        <v>100810</v>
      </c>
      <c r="V382" s="21">
        <f ca="1">IFERROR(__xludf.DUMMYFUNCTION("VLOOKUP(C382,IMPORTRANGE(""https://docs.google.com/spreadsheets/d/1rQ2O3to3MCxQ4eTnJ5b4WStW3zTBTYg21JZurI75aCM/edit?gid=1410613181#gid=1410613181"",""DATA_ABSEN_DES24""),41,0)"),0)</f>
        <v>0</v>
      </c>
      <c r="W382" s="16">
        <f t="shared" ca="1" si="385"/>
        <v>0</v>
      </c>
      <c r="X382" s="16">
        <v>0</v>
      </c>
      <c r="Y382" s="16">
        <f t="shared" ca="1" si="386"/>
        <v>4847934.5920000002</v>
      </c>
      <c r="Z382" s="21"/>
      <c r="AA382" s="21"/>
      <c r="AB382" s="21"/>
      <c r="AC382" s="21"/>
      <c r="AD382" s="21"/>
      <c r="AE382" s="16"/>
      <c r="AF382" s="16"/>
      <c r="AG382" s="16"/>
      <c r="AH382" s="16"/>
      <c r="AI382" s="16"/>
      <c r="AJ382" s="16"/>
      <c r="AK382" s="16"/>
      <c r="AL382" s="16"/>
      <c r="AM382" s="16"/>
      <c r="AN382" s="335">
        <f t="shared" ca="1" si="387"/>
        <v>4847934.5920000002</v>
      </c>
      <c r="AO382" s="20">
        <f t="shared" ca="1" si="388"/>
        <v>0</v>
      </c>
      <c r="AP382" s="20">
        <f t="shared" ca="1" si="389"/>
        <v>4847934.5920000002</v>
      </c>
      <c r="AQ382" s="20">
        <f t="shared" ca="1" si="390"/>
        <v>4847934.5920000002</v>
      </c>
      <c r="AR382" s="20">
        <f t="shared" ca="1" si="391"/>
        <v>4847900</v>
      </c>
      <c r="AS382" s="216"/>
      <c r="AT382" s="30" t="s">
        <v>18</v>
      </c>
      <c r="AU382" s="30" t="str">
        <f>VLOOKUP(AT382,TER!$R$2:$S$10,2,0)</f>
        <v>B</v>
      </c>
      <c r="AV382" s="20">
        <f t="shared" si="392"/>
        <v>3066580</v>
      </c>
      <c r="AW382" s="20">
        <f t="shared" ca="1" si="393"/>
        <v>1590000</v>
      </c>
      <c r="AX382" s="20">
        <f t="shared" ref="AX382:AY382" ca="1" si="444">W382</f>
        <v>0</v>
      </c>
      <c r="AY382" s="20">
        <f t="shared" si="444"/>
        <v>0</v>
      </c>
      <c r="AZ382" s="20">
        <f t="shared" si="395"/>
        <v>7359.7919999999995</v>
      </c>
      <c r="BA382" s="20">
        <f t="shared" si="396"/>
        <v>9199.74</v>
      </c>
      <c r="BB382" s="20">
        <f t="shared" si="397"/>
        <v>0</v>
      </c>
      <c r="BC382" s="20">
        <f t="shared" ca="1" si="398"/>
        <v>4673139.5320000006</v>
      </c>
      <c r="BD382" s="37">
        <f ca="1">IF(AU382="C",VLOOKUP(BC382,TER!$J$4:$L$50,3,TRUE),IF(AU382="B",VLOOKUP(BC382,TER!$F$4:$H$50,3,TRUE),IF(AU382="A",VLOOKUP(BC382,TER!$B$4:$D$50,3,TRUE),"ERROR")))</f>
        <v>0</v>
      </c>
      <c r="BE382" s="20">
        <f t="shared" ca="1" si="399"/>
        <v>0</v>
      </c>
      <c r="BF382" s="216"/>
      <c r="BG382" s="216"/>
    </row>
    <row r="383" spans="1:59" ht="15.75" hidden="1" customHeight="1">
      <c r="A383" s="216"/>
      <c r="B383" s="27">
        <v>45</v>
      </c>
      <c r="C383" s="28" t="s">
        <v>239</v>
      </c>
      <c r="D383" s="29" t="s">
        <v>240</v>
      </c>
      <c r="E383" s="27" t="s">
        <v>57</v>
      </c>
      <c r="F383" s="28" t="s">
        <v>241</v>
      </c>
      <c r="G383" s="27" t="s">
        <v>31</v>
      </c>
      <c r="H383" s="332" t="s">
        <v>32</v>
      </c>
      <c r="I383" s="16">
        <f t="shared" si="380"/>
        <v>3066580</v>
      </c>
      <c r="J383" s="16">
        <v>191354.592</v>
      </c>
      <c r="K383" s="16">
        <v>122663.2</v>
      </c>
      <c r="L383" s="16">
        <v>200000</v>
      </c>
      <c r="M383" s="16">
        <f t="shared" ref="M383:M386" si="445">(724500+420000)/21</f>
        <v>54500</v>
      </c>
      <c r="N383" s="21">
        <f ca="1">IFERROR(__xludf.DUMMYFUNCTION("VLOOKUP(C383,IMPORTRANGE(""https://docs.google.com/spreadsheets/d/1rQ2O3to3MCxQ4eTnJ5b4WStW3zTBTYg21JZurI75aCM/edit?gid=1410613181#gid=1410613181"",""DATA_ABSEN_DES24""),39,0)"),20)</f>
        <v>20</v>
      </c>
      <c r="O383" s="334">
        <f ca="1">IFERROR(__xludf.DUMMYFUNCTION("VLOOKUP(C383,IMPORTRANGE(""https://docs.google.com/spreadsheets/d/1rQ2O3to3MCxQ4eTnJ5b4WStW3zTBTYg21JZurI75aCM/edit?gid=1410613181#gid=1410613181"",""DATA_ABSEN_DES24""),40,0)"),20)</f>
        <v>20</v>
      </c>
      <c r="P383" s="16">
        <f t="shared" ca="1" si="381"/>
        <v>1290000</v>
      </c>
      <c r="Q383" s="16">
        <v>21</v>
      </c>
      <c r="R383" s="16">
        <f t="shared" si="382"/>
        <v>4725097.7920000004</v>
      </c>
      <c r="S383" s="16">
        <f t="shared" ca="1" si="383"/>
        <v>4670597.7920000004</v>
      </c>
      <c r="T383" s="16">
        <f t="shared" ca="1" si="384"/>
        <v>0</v>
      </c>
      <c r="U383" s="16">
        <v>100810</v>
      </c>
      <c r="V383" s="21">
        <f ca="1">IFERROR(__xludf.DUMMYFUNCTION("VLOOKUP(C383,IMPORTRANGE(""https://docs.google.com/spreadsheets/d/1rQ2O3to3MCxQ4eTnJ5b4WStW3zTBTYg21JZurI75aCM/edit?gid=1410613181#gid=1410613181"",""DATA_ABSEN_DES24""),41,0)"),0)</f>
        <v>0</v>
      </c>
      <c r="W383" s="16">
        <f t="shared" ca="1" si="385"/>
        <v>0</v>
      </c>
      <c r="X383" s="16">
        <v>0</v>
      </c>
      <c r="Y383" s="16">
        <f t="shared" ca="1" si="386"/>
        <v>4670597.7920000004</v>
      </c>
      <c r="Z383" s="21"/>
      <c r="AA383" s="21"/>
      <c r="AB383" s="21"/>
      <c r="AC383" s="21"/>
      <c r="AD383" s="21"/>
      <c r="AE383" s="16"/>
      <c r="AF383" s="16"/>
      <c r="AG383" s="16"/>
      <c r="AH383" s="16"/>
      <c r="AI383" s="16"/>
      <c r="AJ383" s="16"/>
      <c r="AK383" s="16"/>
      <c r="AL383" s="16"/>
      <c r="AM383" s="16"/>
      <c r="AN383" s="335">
        <f t="shared" ca="1" si="387"/>
        <v>4670597.7920000004</v>
      </c>
      <c r="AO383" s="20">
        <f t="shared" ca="1" si="388"/>
        <v>0</v>
      </c>
      <c r="AP383" s="20">
        <f t="shared" ca="1" si="389"/>
        <v>4670597.7920000004</v>
      </c>
      <c r="AQ383" s="20">
        <f t="shared" ca="1" si="390"/>
        <v>4670597.7920000004</v>
      </c>
      <c r="AR383" s="20">
        <f t="shared" ca="1" si="391"/>
        <v>4670600</v>
      </c>
      <c r="AS383" s="216"/>
      <c r="AT383" s="30" t="s">
        <v>9</v>
      </c>
      <c r="AU383" s="30" t="str">
        <f>VLOOKUP(AT383,TER!$R$2:$S$10,2,0)</f>
        <v>A</v>
      </c>
      <c r="AV383" s="20">
        <f t="shared" si="392"/>
        <v>3066580</v>
      </c>
      <c r="AW383" s="20">
        <f t="shared" ca="1" si="393"/>
        <v>1290000</v>
      </c>
      <c r="AX383" s="20">
        <f t="shared" ref="AX383:AY383" ca="1" si="446">W383</f>
        <v>0</v>
      </c>
      <c r="AY383" s="20">
        <f t="shared" si="446"/>
        <v>0</v>
      </c>
      <c r="AZ383" s="20">
        <f t="shared" si="395"/>
        <v>7359.7919999999995</v>
      </c>
      <c r="BA383" s="20">
        <f t="shared" si="396"/>
        <v>9199.74</v>
      </c>
      <c r="BB383" s="20">
        <f t="shared" si="397"/>
        <v>122663.2</v>
      </c>
      <c r="BC383" s="20">
        <f t="shared" ca="1" si="398"/>
        <v>4495802.7320000008</v>
      </c>
      <c r="BD383" s="37">
        <f ca="1">IF(AU383="C",VLOOKUP(BC383,TER!$J$4:$L$50,3,TRUE),IF(AU383="B",VLOOKUP(BC383,TER!$F$4:$H$50,3,TRUE),IF(AU383="A",VLOOKUP(BC383,TER!$B$4:$D$50,3,TRUE),"ERROR")))</f>
        <v>0</v>
      </c>
      <c r="BE383" s="20">
        <f t="shared" ca="1" si="399"/>
        <v>0</v>
      </c>
      <c r="BF383" s="216"/>
      <c r="BG383" s="216"/>
    </row>
    <row r="384" spans="1:59" ht="15.75" hidden="1" customHeight="1">
      <c r="A384" s="216"/>
      <c r="B384" s="27">
        <v>46</v>
      </c>
      <c r="C384" s="28" t="s">
        <v>730</v>
      </c>
      <c r="D384" s="29" t="s">
        <v>731</v>
      </c>
      <c r="E384" s="27" t="s">
        <v>57</v>
      </c>
      <c r="F384" s="28" t="s">
        <v>732</v>
      </c>
      <c r="G384" s="27" t="s">
        <v>31</v>
      </c>
      <c r="H384" s="332" t="s">
        <v>32</v>
      </c>
      <c r="I384" s="16">
        <f t="shared" si="380"/>
        <v>3066580</v>
      </c>
      <c r="J384" s="16">
        <v>191354.592</v>
      </c>
      <c r="K384" s="16">
        <v>122663.2</v>
      </c>
      <c r="L384" s="16">
        <v>200000</v>
      </c>
      <c r="M384" s="16">
        <f t="shared" si="445"/>
        <v>54500</v>
      </c>
      <c r="N384" s="21">
        <f ca="1">IFERROR(__xludf.DUMMYFUNCTION("VLOOKUP(C384,IMPORTRANGE(""https://docs.google.com/spreadsheets/d/1rQ2O3to3MCxQ4eTnJ5b4WStW3zTBTYg21JZurI75aCM/edit?gid=1410613181#gid=1410613181"",""DATA_ABSEN_DES24""),39,0)"),20)</f>
        <v>20</v>
      </c>
      <c r="O384" s="334">
        <f ca="1">IFERROR(__xludf.DUMMYFUNCTION("VLOOKUP(C384,IMPORTRANGE(""https://docs.google.com/spreadsheets/d/1rQ2O3to3MCxQ4eTnJ5b4WStW3zTBTYg21JZurI75aCM/edit?gid=1410613181#gid=1410613181"",""DATA_ABSEN_DES24""),40,0)"),20)</f>
        <v>20</v>
      </c>
      <c r="P384" s="16">
        <f t="shared" ca="1" si="381"/>
        <v>1290000</v>
      </c>
      <c r="Q384" s="16">
        <v>21</v>
      </c>
      <c r="R384" s="16">
        <f t="shared" si="382"/>
        <v>4725097.7920000004</v>
      </c>
      <c r="S384" s="16">
        <f t="shared" ca="1" si="383"/>
        <v>4670597.7920000004</v>
      </c>
      <c r="T384" s="16">
        <f t="shared" ca="1" si="384"/>
        <v>0</v>
      </c>
      <c r="U384" s="16">
        <v>100810</v>
      </c>
      <c r="V384" s="21">
        <f ca="1">IFERROR(__xludf.DUMMYFUNCTION("VLOOKUP(C384,IMPORTRANGE(""https://docs.google.com/spreadsheets/d/1rQ2O3to3MCxQ4eTnJ5b4WStW3zTBTYg21JZurI75aCM/edit?gid=1410613181#gid=1410613181"",""DATA_ABSEN_DES24""),41,0)"),0)</f>
        <v>0</v>
      </c>
      <c r="W384" s="16">
        <f t="shared" ca="1" si="385"/>
        <v>0</v>
      </c>
      <c r="X384" s="16">
        <v>0</v>
      </c>
      <c r="Y384" s="16">
        <f t="shared" ca="1" si="386"/>
        <v>4670597.7920000004</v>
      </c>
      <c r="Z384" s="21"/>
      <c r="AA384" s="21"/>
      <c r="AB384" s="21"/>
      <c r="AC384" s="21"/>
      <c r="AD384" s="21"/>
      <c r="AE384" s="16"/>
      <c r="AF384" s="16"/>
      <c r="AG384" s="16"/>
      <c r="AH384" s="16"/>
      <c r="AI384" s="16"/>
      <c r="AJ384" s="16"/>
      <c r="AK384" s="16"/>
      <c r="AL384" s="16"/>
      <c r="AM384" s="16"/>
      <c r="AN384" s="335">
        <f t="shared" ca="1" si="387"/>
        <v>4670597.7920000004</v>
      </c>
      <c r="AO384" s="20">
        <f t="shared" ca="1" si="388"/>
        <v>0</v>
      </c>
      <c r="AP384" s="20">
        <f t="shared" ca="1" si="389"/>
        <v>4670597.7920000004</v>
      </c>
      <c r="AQ384" s="20">
        <f t="shared" ca="1" si="390"/>
        <v>4670597.7920000004</v>
      </c>
      <c r="AR384" s="20">
        <f t="shared" ca="1" si="391"/>
        <v>4670600</v>
      </c>
      <c r="AS384" s="216"/>
      <c r="AT384" s="30" t="s">
        <v>9</v>
      </c>
      <c r="AU384" s="30" t="str">
        <f>VLOOKUP(AT384,TER!$R$2:$S$10,2,0)</f>
        <v>A</v>
      </c>
      <c r="AV384" s="20">
        <f t="shared" si="392"/>
        <v>3066580</v>
      </c>
      <c r="AW384" s="20">
        <f t="shared" ca="1" si="393"/>
        <v>1290000</v>
      </c>
      <c r="AX384" s="20">
        <f t="shared" ref="AX384:AY384" ca="1" si="447">W384</f>
        <v>0</v>
      </c>
      <c r="AY384" s="20">
        <f t="shared" si="447"/>
        <v>0</v>
      </c>
      <c r="AZ384" s="20">
        <f t="shared" si="395"/>
        <v>7359.7919999999995</v>
      </c>
      <c r="BA384" s="20">
        <f t="shared" si="396"/>
        <v>9199.74</v>
      </c>
      <c r="BB384" s="20">
        <f t="shared" si="397"/>
        <v>122663.2</v>
      </c>
      <c r="BC384" s="20">
        <f t="shared" ca="1" si="398"/>
        <v>4495802.7320000008</v>
      </c>
      <c r="BD384" s="37">
        <f ca="1">IF(AU384="C",VLOOKUP(BC384,TER!$J$4:$L$50,3,TRUE),IF(AU384="B",VLOOKUP(BC384,TER!$F$4:$H$50,3,TRUE),IF(AU384="A",VLOOKUP(BC384,TER!$B$4:$D$50,3,TRUE),"ERROR")))</f>
        <v>0</v>
      </c>
      <c r="BE384" s="20">
        <f t="shared" ca="1" si="399"/>
        <v>0</v>
      </c>
      <c r="BF384" s="216"/>
      <c r="BG384" s="216"/>
    </row>
    <row r="385" spans="1:59" ht="15.75" hidden="1" customHeight="1">
      <c r="A385" s="216"/>
      <c r="B385" s="27">
        <v>47</v>
      </c>
      <c r="C385" s="28" t="s">
        <v>242</v>
      </c>
      <c r="D385" s="29" t="s">
        <v>243</v>
      </c>
      <c r="E385" s="27" t="s">
        <v>57</v>
      </c>
      <c r="F385" s="28" t="s">
        <v>244</v>
      </c>
      <c r="G385" s="27" t="s">
        <v>31</v>
      </c>
      <c r="H385" s="332" t="s">
        <v>32</v>
      </c>
      <c r="I385" s="16">
        <f t="shared" si="380"/>
        <v>3066580</v>
      </c>
      <c r="J385" s="16">
        <v>191354.592</v>
      </c>
      <c r="K385" s="16">
        <v>122663.2</v>
      </c>
      <c r="L385" s="16">
        <v>200000</v>
      </c>
      <c r="M385" s="16">
        <f t="shared" si="445"/>
        <v>54500</v>
      </c>
      <c r="N385" s="21">
        <f ca="1">IFERROR(__xludf.DUMMYFUNCTION("VLOOKUP(C385,IMPORTRANGE(""https://docs.google.com/spreadsheets/d/1rQ2O3to3MCxQ4eTnJ5b4WStW3zTBTYg21JZurI75aCM/edit?gid=1410613181#gid=1410613181"",""DATA_ABSEN_DES24""),39,0)"),20)</f>
        <v>20</v>
      </c>
      <c r="O385" s="334">
        <f ca="1">IFERROR(__xludf.DUMMYFUNCTION("VLOOKUP(C385,IMPORTRANGE(""https://docs.google.com/spreadsheets/d/1rQ2O3to3MCxQ4eTnJ5b4WStW3zTBTYg21JZurI75aCM/edit?gid=1410613181#gid=1410613181"",""DATA_ABSEN_DES24""),40,0)"),20)</f>
        <v>20</v>
      </c>
      <c r="P385" s="16">
        <f t="shared" ca="1" si="381"/>
        <v>1290000</v>
      </c>
      <c r="Q385" s="16">
        <v>21</v>
      </c>
      <c r="R385" s="16">
        <f t="shared" si="382"/>
        <v>4725097.7920000004</v>
      </c>
      <c r="S385" s="16">
        <f t="shared" ca="1" si="383"/>
        <v>4670597.7920000004</v>
      </c>
      <c r="T385" s="16">
        <f t="shared" ca="1" si="384"/>
        <v>0</v>
      </c>
      <c r="U385" s="16">
        <v>100810</v>
      </c>
      <c r="V385" s="21">
        <f ca="1">IFERROR(__xludf.DUMMYFUNCTION("VLOOKUP(C385,IMPORTRANGE(""https://docs.google.com/spreadsheets/d/1rQ2O3to3MCxQ4eTnJ5b4WStW3zTBTYg21JZurI75aCM/edit?gid=1410613181#gid=1410613181"",""DATA_ABSEN_DES24""),41,0)"),0)</f>
        <v>0</v>
      </c>
      <c r="W385" s="16">
        <f t="shared" ca="1" si="385"/>
        <v>0</v>
      </c>
      <c r="X385" s="16">
        <v>0</v>
      </c>
      <c r="Y385" s="16">
        <f t="shared" ca="1" si="386"/>
        <v>4670597.7920000004</v>
      </c>
      <c r="Z385" s="21"/>
      <c r="AA385" s="21"/>
      <c r="AB385" s="21"/>
      <c r="AC385" s="21"/>
      <c r="AD385" s="21"/>
      <c r="AE385" s="16"/>
      <c r="AF385" s="16"/>
      <c r="AG385" s="16"/>
      <c r="AH385" s="16"/>
      <c r="AI385" s="16"/>
      <c r="AJ385" s="16"/>
      <c r="AK385" s="16"/>
      <c r="AL385" s="16"/>
      <c r="AM385" s="16"/>
      <c r="AN385" s="335">
        <f t="shared" ca="1" si="387"/>
        <v>4670597.7920000004</v>
      </c>
      <c r="AO385" s="20">
        <f t="shared" ca="1" si="388"/>
        <v>0</v>
      </c>
      <c r="AP385" s="20">
        <f t="shared" ca="1" si="389"/>
        <v>4670597.7920000004</v>
      </c>
      <c r="AQ385" s="20">
        <f t="shared" ca="1" si="390"/>
        <v>4670597.7920000004</v>
      </c>
      <c r="AR385" s="20">
        <f t="shared" ca="1" si="391"/>
        <v>4670600</v>
      </c>
      <c r="AS385" s="216"/>
      <c r="AT385" s="30" t="s">
        <v>17</v>
      </c>
      <c r="AU385" s="30" t="str">
        <f>VLOOKUP(AT385,TER!$R$2:$S$10,2,0)</f>
        <v>B</v>
      </c>
      <c r="AV385" s="20">
        <f t="shared" si="392"/>
        <v>3066580</v>
      </c>
      <c r="AW385" s="20">
        <f t="shared" ca="1" si="393"/>
        <v>1290000</v>
      </c>
      <c r="AX385" s="20">
        <f t="shared" ref="AX385:AY385" ca="1" si="448">W385</f>
        <v>0</v>
      </c>
      <c r="AY385" s="20">
        <f t="shared" si="448"/>
        <v>0</v>
      </c>
      <c r="AZ385" s="20">
        <f t="shared" si="395"/>
        <v>7359.7919999999995</v>
      </c>
      <c r="BA385" s="20">
        <f t="shared" si="396"/>
        <v>9199.74</v>
      </c>
      <c r="BB385" s="20">
        <f t="shared" si="397"/>
        <v>122663.2</v>
      </c>
      <c r="BC385" s="20">
        <f t="shared" ca="1" si="398"/>
        <v>4495802.7320000008</v>
      </c>
      <c r="BD385" s="37">
        <f ca="1">IF(AU385="C",VLOOKUP(BC385,TER!$J$4:$L$50,3,TRUE),IF(AU385="B",VLOOKUP(BC385,TER!$F$4:$H$50,3,TRUE),IF(AU385="A",VLOOKUP(BC385,TER!$B$4:$D$50,3,TRUE),"ERROR")))</f>
        <v>0</v>
      </c>
      <c r="BE385" s="20">
        <f t="shared" ca="1" si="399"/>
        <v>0</v>
      </c>
      <c r="BF385" s="216"/>
      <c r="BG385" s="216"/>
    </row>
    <row r="386" spans="1:59" ht="15.75" hidden="1" customHeight="1">
      <c r="A386" s="216"/>
      <c r="B386" s="27">
        <v>48</v>
      </c>
      <c r="C386" s="28" t="s">
        <v>733</v>
      </c>
      <c r="D386" s="29" t="s">
        <v>734</v>
      </c>
      <c r="E386" s="27" t="s">
        <v>57</v>
      </c>
      <c r="F386" s="28" t="s">
        <v>735</v>
      </c>
      <c r="G386" s="27" t="s">
        <v>31</v>
      </c>
      <c r="H386" s="332" t="s">
        <v>32</v>
      </c>
      <c r="I386" s="16">
        <f t="shared" si="380"/>
        <v>3066580</v>
      </c>
      <c r="J386" s="16">
        <v>191354.592</v>
      </c>
      <c r="K386" s="16">
        <v>122663.2</v>
      </c>
      <c r="L386" s="16">
        <v>200000</v>
      </c>
      <c r="M386" s="16">
        <f t="shared" si="445"/>
        <v>54500</v>
      </c>
      <c r="N386" s="21" t="str">
        <f ca="1">IFERROR(__xludf.DUMMYFUNCTION("VLOOKUP(C386,IMPORTRANGE(""https://docs.google.com/spreadsheets/d/1rQ2O3to3MCxQ4eTnJ5b4WStW3zTBTYg21JZurI75aCM/edit?gid=1410613181#gid=1410613181"",""DATA_ABSEN_DES24""),39,0)"),"#N/A")</f>
        <v>#N/A</v>
      </c>
      <c r="O386" s="334" t="str">
        <f ca="1">IFERROR(__xludf.DUMMYFUNCTION("VLOOKUP(C386,IMPORTRANGE(""https://docs.google.com/spreadsheets/d/1rQ2O3to3MCxQ4eTnJ5b4WStW3zTBTYg21JZurI75aCM/edit?gid=1410613181#gid=1410613181"",""DATA_ABSEN_DES24""),40,0)"),"#N/A")</f>
        <v>#N/A</v>
      </c>
      <c r="P386" s="16" t="e">
        <f t="shared" ca="1" si="381"/>
        <v>#VALUE!</v>
      </c>
      <c r="Q386" s="16">
        <v>21</v>
      </c>
      <c r="R386" s="16">
        <f t="shared" si="382"/>
        <v>4725097.7920000004</v>
      </c>
      <c r="S386" s="16" t="e">
        <f t="shared" ca="1" si="383"/>
        <v>#VALUE!</v>
      </c>
      <c r="T386" s="16" t="e">
        <f t="shared" ca="1" si="384"/>
        <v>#VALUE!</v>
      </c>
      <c r="U386" s="16">
        <v>100810</v>
      </c>
      <c r="V386" s="21" t="str">
        <f ca="1">IFERROR(__xludf.DUMMYFUNCTION("VLOOKUP(C386,IMPORTRANGE(""https://docs.google.com/spreadsheets/d/1rQ2O3to3MCxQ4eTnJ5b4WStW3zTBTYg21JZurI75aCM/edit?gid=1410613181#gid=1410613181"",""DATA_ABSEN_DES24""),41,0)"),"#N/A")</f>
        <v>#N/A</v>
      </c>
      <c r="W386" s="16" t="e">
        <f t="shared" ca="1" si="385"/>
        <v>#VALUE!</v>
      </c>
      <c r="X386" s="16">
        <v>0</v>
      </c>
      <c r="Y386" s="16" t="e">
        <f t="shared" ca="1" si="386"/>
        <v>#VALUE!</v>
      </c>
      <c r="Z386" s="21"/>
      <c r="AA386" s="21"/>
      <c r="AB386" s="21"/>
      <c r="AC386" s="21"/>
      <c r="AD386" s="21"/>
      <c r="AE386" s="16"/>
      <c r="AF386" s="16"/>
      <c r="AG386" s="16"/>
      <c r="AH386" s="16"/>
      <c r="AI386" s="16"/>
      <c r="AJ386" s="16"/>
      <c r="AK386" s="16"/>
      <c r="AL386" s="16"/>
      <c r="AM386" s="16"/>
      <c r="AN386" s="335" t="e">
        <f t="shared" ca="1" si="387"/>
        <v>#VALUE!</v>
      </c>
      <c r="AO386" s="20" t="e">
        <f t="shared" ca="1" si="388"/>
        <v>#VALUE!</v>
      </c>
      <c r="AP386" s="20" t="e">
        <f t="shared" ca="1" si="389"/>
        <v>#VALUE!</v>
      </c>
      <c r="AQ386" s="20" t="e">
        <f t="shared" ca="1" si="390"/>
        <v>#VALUE!</v>
      </c>
      <c r="AR386" s="20" t="e">
        <f t="shared" ca="1" si="391"/>
        <v>#VALUE!</v>
      </c>
      <c r="AS386" s="216"/>
      <c r="AT386" s="30" t="s">
        <v>17</v>
      </c>
      <c r="AU386" s="30" t="str">
        <f>VLOOKUP(AT386,TER!$R$2:$S$10,2,0)</f>
        <v>B</v>
      </c>
      <c r="AV386" s="20">
        <f t="shared" si="392"/>
        <v>3066580</v>
      </c>
      <c r="AW386" s="20" t="e">
        <f t="shared" ca="1" si="393"/>
        <v>#VALUE!</v>
      </c>
      <c r="AX386" s="20" t="e">
        <f t="shared" ref="AX386:AY386" ca="1" si="449">W386</f>
        <v>#VALUE!</v>
      </c>
      <c r="AY386" s="20">
        <f t="shared" si="449"/>
        <v>0</v>
      </c>
      <c r="AZ386" s="20">
        <f t="shared" si="395"/>
        <v>7359.7919999999995</v>
      </c>
      <c r="BA386" s="20">
        <f t="shared" si="396"/>
        <v>9199.74</v>
      </c>
      <c r="BB386" s="20">
        <f t="shared" si="397"/>
        <v>122663.2</v>
      </c>
      <c r="BC386" s="20" t="e">
        <f t="shared" ca="1" si="398"/>
        <v>#VALUE!</v>
      </c>
      <c r="BD386" s="37" t="e">
        <f ca="1">IF(AU386="C",VLOOKUP(BC386,TER!$J$4:$L$50,3,TRUE),IF(AU386="B",VLOOKUP(BC386,TER!$F$4:$H$50,3,TRUE),IF(AU386="A",VLOOKUP(BC386,TER!$B$4:$D$50,3,TRUE),"ERROR")))</f>
        <v>#VALUE!</v>
      </c>
      <c r="BE386" s="20" t="e">
        <f t="shared" ca="1" si="399"/>
        <v>#VALUE!</v>
      </c>
      <c r="BF386" s="216"/>
      <c r="BG386" s="216"/>
    </row>
    <row r="387" spans="1:59" ht="15.75" hidden="1" customHeight="1">
      <c r="A387" s="216"/>
      <c r="B387" s="27">
        <v>49</v>
      </c>
      <c r="C387" s="28" t="s">
        <v>736</v>
      </c>
      <c r="D387" s="29" t="s">
        <v>737</v>
      </c>
      <c r="E387" s="27" t="s">
        <v>57</v>
      </c>
      <c r="F387" s="28" t="s">
        <v>738</v>
      </c>
      <c r="G387" s="27" t="s">
        <v>94</v>
      </c>
      <c r="H387" s="332" t="s">
        <v>32</v>
      </c>
      <c r="I387" s="16">
        <f t="shared" si="380"/>
        <v>3066580</v>
      </c>
      <c r="J387" s="16">
        <v>191354.592</v>
      </c>
      <c r="K387" s="16">
        <v>122663.2</v>
      </c>
      <c r="L387" s="16">
        <f>200000+250000</f>
        <v>450000</v>
      </c>
      <c r="M387" s="16">
        <f>(724500+472500)/21</f>
        <v>57000</v>
      </c>
      <c r="N387" s="21">
        <f ca="1">IFERROR(__xludf.DUMMYFUNCTION("VLOOKUP(C387,IMPORTRANGE(""https://docs.google.com/spreadsheets/d/1rQ2O3to3MCxQ4eTnJ5b4WStW3zTBTYg21JZurI75aCM/edit?gid=1410613181#gid=1410613181"",""DATA_ABSEN_DES24""),39,0)"),21)</f>
        <v>21</v>
      </c>
      <c r="O387" s="334">
        <f ca="1">IFERROR(__xludf.DUMMYFUNCTION("VLOOKUP(C387,IMPORTRANGE(""https://docs.google.com/spreadsheets/d/1rQ2O3to3MCxQ4eTnJ5b4WStW3zTBTYg21JZurI75aCM/edit?gid=1410613181#gid=1410613181"",""DATA_ABSEN_DES24""),40,0)"),20)</f>
        <v>20</v>
      </c>
      <c r="P387" s="16">
        <f t="shared" ca="1" si="381"/>
        <v>1647000</v>
      </c>
      <c r="Q387" s="16">
        <v>21</v>
      </c>
      <c r="R387" s="16">
        <f t="shared" si="382"/>
        <v>5027597.7920000004</v>
      </c>
      <c r="S387" s="16">
        <f t="shared" ca="1" si="383"/>
        <v>5027597.7920000004</v>
      </c>
      <c r="T387" s="16">
        <f t="shared" ca="1" si="384"/>
        <v>0</v>
      </c>
      <c r="U387" s="16">
        <v>100810</v>
      </c>
      <c r="V387" s="21">
        <f ca="1">IFERROR(__xludf.DUMMYFUNCTION("VLOOKUP(C387,IMPORTRANGE(""https://docs.google.com/spreadsheets/d/1rQ2O3to3MCxQ4eTnJ5b4WStW3zTBTYg21JZurI75aCM/edit?gid=1410613181#gid=1410613181"",""DATA_ABSEN_DES24""),41,0)"),0)</f>
        <v>0</v>
      </c>
      <c r="W387" s="16">
        <f t="shared" ca="1" si="385"/>
        <v>0</v>
      </c>
      <c r="X387" s="16">
        <v>0</v>
      </c>
      <c r="Y387" s="16">
        <f t="shared" ca="1" si="386"/>
        <v>5027597.7920000004</v>
      </c>
      <c r="Z387" s="21"/>
      <c r="AA387" s="21"/>
      <c r="AB387" s="21"/>
      <c r="AC387" s="21"/>
      <c r="AD387" s="21"/>
      <c r="AE387" s="16"/>
      <c r="AF387" s="16"/>
      <c r="AG387" s="16"/>
      <c r="AH387" s="16"/>
      <c r="AI387" s="16"/>
      <c r="AJ387" s="16"/>
      <c r="AK387" s="16"/>
      <c r="AL387" s="16"/>
      <c r="AM387" s="16"/>
      <c r="AN387" s="335">
        <f t="shared" ca="1" si="387"/>
        <v>5027597.7920000004</v>
      </c>
      <c r="AO387" s="20">
        <f t="shared" ca="1" si="388"/>
        <v>0</v>
      </c>
      <c r="AP387" s="20">
        <f t="shared" ca="1" si="389"/>
        <v>5027597.7920000004</v>
      </c>
      <c r="AQ387" s="20">
        <f t="shared" ca="1" si="390"/>
        <v>5027597.7920000004</v>
      </c>
      <c r="AR387" s="20">
        <f t="shared" ca="1" si="391"/>
        <v>5027600</v>
      </c>
      <c r="AS387" s="216"/>
      <c r="AT387" s="30" t="s">
        <v>8</v>
      </c>
      <c r="AU387" s="30" t="str">
        <f>VLOOKUP(AT387,TER!$R$2:$S$10,2,0)</f>
        <v>C</v>
      </c>
      <c r="AV387" s="20">
        <f t="shared" si="392"/>
        <v>3066580</v>
      </c>
      <c r="AW387" s="20">
        <f t="shared" ca="1" si="393"/>
        <v>1647000</v>
      </c>
      <c r="AX387" s="20">
        <f t="shared" ref="AX387:AY387" ca="1" si="450">W387</f>
        <v>0</v>
      </c>
      <c r="AY387" s="20">
        <f t="shared" si="450"/>
        <v>0</v>
      </c>
      <c r="AZ387" s="20">
        <f t="shared" si="395"/>
        <v>7359.7919999999995</v>
      </c>
      <c r="BA387" s="20">
        <f t="shared" si="396"/>
        <v>9199.74</v>
      </c>
      <c r="BB387" s="20">
        <f t="shared" si="397"/>
        <v>122663.2</v>
      </c>
      <c r="BC387" s="20">
        <f t="shared" ca="1" si="398"/>
        <v>4852802.7320000008</v>
      </c>
      <c r="BD387" s="37">
        <f ca="1">IF(AU387="C",VLOOKUP(BC387,TER!$J$4:$L$50,3,TRUE),IF(AU387="B",VLOOKUP(BC387,TER!$F$4:$H$50,3,TRUE),IF(AU387="A",VLOOKUP(BC387,TER!$B$4:$D$50,3,TRUE),"ERROR")))</f>
        <v>0</v>
      </c>
      <c r="BE387" s="20">
        <f t="shared" ca="1" si="399"/>
        <v>0</v>
      </c>
      <c r="BF387" s="216"/>
      <c r="BG387" s="216"/>
    </row>
    <row r="388" spans="1:59" ht="15.75" hidden="1" customHeight="1">
      <c r="A388" s="216"/>
      <c r="B388" s="27">
        <v>50</v>
      </c>
      <c r="C388" s="43" t="s">
        <v>739</v>
      </c>
      <c r="D388" s="32" t="s">
        <v>740</v>
      </c>
      <c r="E388" s="42" t="s">
        <v>57</v>
      </c>
      <c r="F388" s="43" t="s">
        <v>741</v>
      </c>
      <c r="G388" s="42" t="s">
        <v>41</v>
      </c>
      <c r="H388" s="337" t="s">
        <v>32</v>
      </c>
      <c r="I388" s="338">
        <f t="shared" si="380"/>
        <v>3066580</v>
      </c>
      <c r="J388" s="338">
        <v>191354.592</v>
      </c>
      <c r="K388" s="338">
        <v>122663.2</v>
      </c>
      <c r="L388" s="338">
        <f>200000+200000</f>
        <v>400000</v>
      </c>
      <c r="M388" s="338">
        <f t="shared" ref="M388:M405" si="451">(724500+420000)/21</f>
        <v>54500</v>
      </c>
      <c r="N388" s="21">
        <f ca="1">IFERROR(__xludf.DUMMYFUNCTION("VLOOKUP(C388,IMPORTRANGE(""https://docs.google.com/spreadsheets/d/1rQ2O3to3MCxQ4eTnJ5b4WStW3zTBTYg21JZurI75aCM/edit?gid=1410613181#gid=1410613181"",""DATA_ABSEN_DES24""),39,0)"),26)</f>
        <v>26</v>
      </c>
      <c r="O388" s="334">
        <f ca="1">IFERROR(__xludf.DUMMYFUNCTION("VLOOKUP(C388,IMPORTRANGE(""https://docs.google.com/spreadsheets/d/1rQ2O3to3MCxQ4eTnJ5b4WStW3zTBTYg21JZurI75aCM/edit?gid=1410613181#gid=1410613181"",""DATA_ABSEN_DES24""),40,0)"),26)</f>
        <v>26</v>
      </c>
      <c r="P388" s="338">
        <f t="shared" ca="1" si="381"/>
        <v>1817000</v>
      </c>
      <c r="Q388" s="338">
        <v>21</v>
      </c>
      <c r="R388" s="338">
        <f t="shared" si="382"/>
        <v>4925097.7920000004</v>
      </c>
      <c r="S388" s="338">
        <f t="shared" ca="1" si="383"/>
        <v>5197597.7920000004</v>
      </c>
      <c r="T388" s="338">
        <f t="shared" ca="1" si="384"/>
        <v>-272500</v>
      </c>
      <c r="U388" s="338">
        <v>100810</v>
      </c>
      <c r="V388" s="21">
        <f ca="1">IFERROR(__xludf.DUMMYFUNCTION("VLOOKUP(C388,IMPORTRANGE(""https://docs.google.com/spreadsheets/d/1rQ2O3to3MCxQ4eTnJ5b4WStW3zTBTYg21JZurI75aCM/edit?gid=1410613181#gid=1410613181"",""DATA_ABSEN_DES24""),41,0)"),0)</f>
        <v>0</v>
      </c>
      <c r="W388" s="338">
        <f t="shared" ca="1" si="385"/>
        <v>0</v>
      </c>
      <c r="X388" s="338">
        <v>0</v>
      </c>
      <c r="Y388" s="338">
        <f t="shared" ca="1" si="386"/>
        <v>5197597.7920000004</v>
      </c>
      <c r="Z388" s="21"/>
      <c r="AA388" s="21"/>
      <c r="AB388" s="21"/>
      <c r="AC388" s="21"/>
      <c r="AD388" s="350"/>
      <c r="AE388" s="338"/>
      <c r="AF388" s="338"/>
      <c r="AG388" s="338"/>
      <c r="AH388" s="338"/>
      <c r="AI388" s="338"/>
      <c r="AJ388" s="338"/>
      <c r="AK388" s="338"/>
      <c r="AL388" s="338"/>
      <c r="AM388" s="338"/>
      <c r="AN388" s="340">
        <f t="shared" ca="1" si="387"/>
        <v>5197597.7920000004</v>
      </c>
      <c r="AO388" s="34">
        <f t="shared" ca="1" si="388"/>
        <v>0</v>
      </c>
      <c r="AP388" s="34">
        <f t="shared" ca="1" si="389"/>
        <v>5197597.7920000004</v>
      </c>
      <c r="AQ388" s="34">
        <f t="shared" ca="1" si="390"/>
        <v>5197597.7920000004</v>
      </c>
      <c r="AR388" s="34">
        <f t="shared" ca="1" si="391"/>
        <v>5197600</v>
      </c>
      <c r="AS388" s="216"/>
      <c r="AT388" s="44" t="s">
        <v>17</v>
      </c>
      <c r="AU388" s="30" t="str">
        <f>VLOOKUP(AT388,TER!$R$2:$S$10,2,0)</f>
        <v>B</v>
      </c>
      <c r="AV388" s="34">
        <f t="shared" si="392"/>
        <v>3066580</v>
      </c>
      <c r="AW388" s="34">
        <f t="shared" ca="1" si="393"/>
        <v>1817000</v>
      </c>
      <c r="AX388" s="34">
        <f t="shared" ref="AX388:AY388" ca="1" si="452">W388</f>
        <v>0</v>
      </c>
      <c r="AY388" s="34">
        <f t="shared" si="452"/>
        <v>0</v>
      </c>
      <c r="AZ388" s="34">
        <f t="shared" si="395"/>
        <v>7359.7919999999995</v>
      </c>
      <c r="BA388" s="34">
        <f t="shared" si="396"/>
        <v>9199.74</v>
      </c>
      <c r="BB388" s="34">
        <f t="shared" si="397"/>
        <v>122663.2</v>
      </c>
      <c r="BC388" s="34">
        <f t="shared" ca="1" si="398"/>
        <v>5022802.7320000008</v>
      </c>
      <c r="BD388" s="37">
        <f ca="1">IF(AU388="C",VLOOKUP(BC388,TER!$J$4:$L$50,3,TRUE),IF(AU388="B",VLOOKUP(BC388,TER!$F$4:$H$50,3,TRUE),IF(AU388="A",VLOOKUP(BC388,TER!$B$4:$D$50,3,TRUE),"ERROR")))</f>
        <v>0</v>
      </c>
      <c r="BE388" s="34">
        <f t="shared" ca="1" si="399"/>
        <v>0</v>
      </c>
      <c r="BF388" s="216"/>
      <c r="BG388" s="216"/>
    </row>
    <row r="389" spans="1:59" ht="15.75" hidden="1" customHeight="1">
      <c r="A389" s="216"/>
      <c r="B389" s="27">
        <v>51</v>
      </c>
      <c r="C389" s="28" t="s">
        <v>742</v>
      </c>
      <c r="D389" s="29" t="s">
        <v>743</v>
      </c>
      <c r="E389" s="27" t="s">
        <v>57</v>
      </c>
      <c r="F389" s="28" t="s">
        <v>744</v>
      </c>
      <c r="G389" s="27" t="s">
        <v>31</v>
      </c>
      <c r="H389" s="332" t="s">
        <v>32</v>
      </c>
      <c r="I389" s="16">
        <f t="shared" si="380"/>
        <v>3066580</v>
      </c>
      <c r="J389" s="16">
        <v>191354.592</v>
      </c>
      <c r="K389" s="16">
        <v>122663.2</v>
      </c>
      <c r="L389" s="16">
        <v>200000</v>
      </c>
      <c r="M389" s="16">
        <f t="shared" si="451"/>
        <v>54500</v>
      </c>
      <c r="N389" s="21">
        <f ca="1">IFERROR(__xludf.DUMMYFUNCTION("VLOOKUP(C389,IMPORTRANGE(""https://docs.google.com/spreadsheets/d/1rQ2O3to3MCxQ4eTnJ5b4WStW3zTBTYg21JZurI75aCM/edit?gid=1410613181#gid=1410613181"",""DATA_ABSEN_DES24""),39,0)"),20)</f>
        <v>20</v>
      </c>
      <c r="O389" s="334">
        <f ca="1">IFERROR(__xludf.DUMMYFUNCTION("VLOOKUP(C389,IMPORTRANGE(""https://docs.google.com/spreadsheets/d/1rQ2O3to3MCxQ4eTnJ5b4WStW3zTBTYg21JZurI75aCM/edit?gid=1410613181#gid=1410613181"",""DATA_ABSEN_DES24""),40,0)"),20)</f>
        <v>20</v>
      </c>
      <c r="P389" s="16">
        <f t="shared" ca="1" si="381"/>
        <v>1290000</v>
      </c>
      <c r="Q389" s="16">
        <v>21</v>
      </c>
      <c r="R389" s="16">
        <f t="shared" si="382"/>
        <v>4725097.7920000004</v>
      </c>
      <c r="S389" s="16">
        <f t="shared" ca="1" si="383"/>
        <v>4670597.7920000004</v>
      </c>
      <c r="T389" s="16">
        <f t="shared" ca="1" si="384"/>
        <v>0</v>
      </c>
      <c r="U389" s="16">
        <v>100810</v>
      </c>
      <c r="V389" s="21">
        <f ca="1">IFERROR(__xludf.DUMMYFUNCTION("VLOOKUP(C389,IMPORTRANGE(""https://docs.google.com/spreadsheets/d/1rQ2O3to3MCxQ4eTnJ5b4WStW3zTBTYg21JZurI75aCM/edit?gid=1410613181#gid=1410613181"",""DATA_ABSEN_DES24""),41,0)"),0)</f>
        <v>0</v>
      </c>
      <c r="W389" s="16">
        <f t="shared" ca="1" si="385"/>
        <v>0</v>
      </c>
      <c r="X389" s="16">
        <v>0</v>
      </c>
      <c r="Y389" s="16">
        <f t="shared" ca="1" si="386"/>
        <v>4670597.7920000004</v>
      </c>
      <c r="Z389" s="21"/>
      <c r="AA389" s="21"/>
      <c r="AB389" s="21"/>
      <c r="AC389" s="21"/>
      <c r="AD389" s="21"/>
      <c r="AE389" s="16"/>
      <c r="AF389" s="16"/>
      <c r="AG389" s="16"/>
      <c r="AH389" s="16"/>
      <c r="AI389" s="16"/>
      <c r="AJ389" s="16"/>
      <c r="AK389" s="16"/>
      <c r="AL389" s="16"/>
      <c r="AM389" s="16"/>
      <c r="AN389" s="335">
        <f t="shared" ca="1" si="387"/>
        <v>4670597.7920000004</v>
      </c>
      <c r="AO389" s="20">
        <f t="shared" ca="1" si="388"/>
        <v>0</v>
      </c>
      <c r="AP389" s="20">
        <f t="shared" ca="1" si="389"/>
        <v>4670597.7920000004</v>
      </c>
      <c r="AQ389" s="20">
        <f t="shared" ca="1" si="390"/>
        <v>4670597.7920000004</v>
      </c>
      <c r="AR389" s="20">
        <f t="shared" ca="1" si="391"/>
        <v>4670600</v>
      </c>
      <c r="AS389" s="216"/>
      <c r="AT389" s="30" t="s">
        <v>13</v>
      </c>
      <c r="AU389" s="30" t="str">
        <f>VLOOKUP(AT389,TER!$R$2:$S$10,2,0)</f>
        <v>A</v>
      </c>
      <c r="AV389" s="20">
        <f t="shared" si="392"/>
        <v>3066580</v>
      </c>
      <c r="AW389" s="20">
        <f t="shared" ca="1" si="393"/>
        <v>1290000</v>
      </c>
      <c r="AX389" s="20">
        <f t="shared" ref="AX389:AY389" ca="1" si="453">W389</f>
        <v>0</v>
      </c>
      <c r="AY389" s="20">
        <f t="shared" si="453"/>
        <v>0</v>
      </c>
      <c r="AZ389" s="20">
        <f t="shared" si="395"/>
        <v>7359.7919999999995</v>
      </c>
      <c r="BA389" s="20">
        <f t="shared" si="396"/>
        <v>9199.74</v>
      </c>
      <c r="BB389" s="20">
        <f t="shared" si="397"/>
        <v>122663.2</v>
      </c>
      <c r="BC389" s="20">
        <f t="shared" ca="1" si="398"/>
        <v>4495802.7320000008</v>
      </c>
      <c r="BD389" s="37">
        <f ca="1">IF(AU389="C",VLOOKUP(BC389,TER!$J$4:$L$50,3,TRUE),IF(AU389="B",VLOOKUP(BC389,TER!$F$4:$H$50,3,TRUE),IF(AU389="A",VLOOKUP(BC389,TER!$B$4:$D$50,3,TRUE),"ERROR")))</f>
        <v>0</v>
      </c>
      <c r="BE389" s="20">
        <f t="shared" ca="1" si="399"/>
        <v>0</v>
      </c>
      <c r="BF389" s="216"/>
      <c r="BG389" s="216"/>
    </row>
    <row r="390" spans="1:59" ht="15.75" hidden="1" customHeight="1">
      <c r="A390" s="216"/>
      <c r="B390" s="27">
        <v>52</v>
      </c>
      <c r="C390" s="28" t="s">
        <v>745</v>
      </c>
      <c r="D390" s="29" t="s">
        <v>746</v>
      </c>
      <c r="E390" s="27" t="s">
        <v>57</v>
      </c>
      <c r="F390" s="28" t="s">
        <v>747</v>
      </c>
      <c r="G390" s="27" t="s">
        <v>31</v>
      </c>
      <c r="H390" s="332" t="s">
        <v>32</v>
      </c>
      <c r="I390" s="16">
        <f t="shared" si="380"/>
        <v>3066580</v>
      </c>
      <c r="J390" s="16">
        <v>191354.592</v>
      </c>
      <c r="K390" s="16">
        <v>122663.2</v>
      </c>
      <c r="L390" s="16">
        <v>200000</v>
      </c>
      <c r="M390" s="16">
        <f t="shared" si="451"/>
        <v>54500</v>
      </c>
      <c r="N390" s="21">
        <f ca="1">IFERROR(__xludf.DUMMYFUNCTION("VLOOKUP(C390,IMPORTRANGE(""https://docs.google.com/spreadsheets/d/1rQ2O3to3MCxQ4eTnJ5b4WStW3zTBTYg21JZurI75aCM/edit?gid=1410613181#gid=1410613181"",""DATA_ABSEN_DES24""),39,0)"),6)</f>
        <v>6</v>
      </c>
      <c r="O390" s="334">
        <f ca="1">IFERROR(__xludf.DUMMYFUNCTION("VLOOKUP(C390,IMPORTRANGE(""https://docs.google.com/spreadsheets/d/1rQ2O3to3MCxQ4eTnJ5b4WStW3zTBTYg21JZurI75aCM/edit?gid=1410613181#gid=1410613181"",""DATA_ABSEN_DES24""),40,0)"),20)</f>
        <v>20</v>
      </c>
      <c r="P390" s="16">
        <f t="shared" ca="1" si="381"/>
        <v>527000</v>
      </c>
      <c r="Q390" s="16">
        <v>21</v>
      </c>
      <c r="R390" s="16">
        <f t="shared" si="382"/>
        <v>4725097.7920000004</v>
      </c>
      <c r="S390" s="16">
        <f t="shared" ca="1" si="383"/>
        <v>3907597.7920000004</v>
      </c>
      <c r="T390" s="16">
        <f t="shared" ca="1" si="384"/>
        <v>0</v>
      </c>
      <c r="U390" s="16">
        <v>100810</v>
      </c>
      <c r="V390" s="21">
        <f ca="1">IFERROR(__xludf.DUMMYFUNCTION("VLOOKUP(C390,IMPORTRANGE(""https://docs.google.com/spreadsheets/d/1rQ2O3to3MCxQ4eTnJ5b4WStW3zTBTYg21JZurI75aCM/edit?gid=1410613181#gid=1410613181"",""DATA_ABSEN_DES24""),41,0)"),0)</f>
        <v>0</v>
      </c>
      <c r="W390" s="16">
        <f t="shared" ca="1" si="385"/>
        <v>0</v>
      </c>
      <c r="X390" s="16">
        <v>0</v>
      </c>
      <c r="Y390" s="16">
        <f t="shared" ca="1" si="386"/>
        <v>3907597.7920000004</v>
      </c>
      <c r="Z390" s="21"/>
      <c r="AA390" s="21"/>
      <c r="AB390" s="21"/>
      <c r="AC390" s="21"/>
      <c r="AD390" s="21"/>
      <c r="AE390" s="16"/>
      <c r="AF390" s="16"/>
      <c r="AG390" s="16"/>
      <c r="AH390" s="16"/>
      <c r="AI390" s="16"/>
      <c r="AJ390" s="16"/>
      <c r="AK390" s="16"/>
      <c r="AL390" s="16"/>
      <c r="AM390" s="16"/>
      <c r="AN390" s="335">
        <f t="shared" ca="1" si="387"/>
        <v>3907597.7920000004</v>
      </c>
      <c r="AO390" s="20">
        <f t="shared" ca="1" si="388"/>
        <v>0</v>
      </c>
      <c r="AP390" s="20">
        <f t="shared" ca="1" si="389"/>
        <v>3907597.7920000004</v>
      </c>
      <c r="AQ390" s="20">
        <f t="shared" ca="1" si="390"/>
        <v>3907597.7920000004</v>
      </c>
      <c r="AR390" s="20">
        <f t="shared" ca="1" si="391"/>
        <v>3907600</v>
      </c>
      <c r="AS390" s="216"/>
      <c r="AT390" s="30" t="s">
        <v>17</v>
      </c>
      <c r="AU390" s="30" t="str">
        <f>VLOOKUP(AT390,TER!$R$2:$S$10,2,0)</f>
        <v>B</v>
      </c>
      <c r="AV390" s="20">
        <f t="shared" si="392"/>
        <v>3066580</v>
      </c>
      <c r="AW390" s="20">
        <f t="shared" ca="1" si="393"/>
        <v>527000</v>
      </c>
      <c r="AX390" s="20">
        <f t="shared" ref="AX390:AY390" ca="1" si="454">W390</f>
        <v>0</v>
      </c>
      <c r="AY390" s="20">
        <f t="shared" si="454"/>
        <v>0</v>
      </c>
      <c r="AZ390" s="20">
        <f t="shared" si="395"/>
        <v>7359.7919999999995</v>
      </c>
      <c r="BA390" s="20">
        <f t="shared" si="396"/>
        <v>9199.74</v>
      </c>
      <c r="BB390" s="20">
        <f t="shared" si="397"/>
        <v>122663.2</v>
      </c>
      <c r="BC390" s="20">
        <f t="shared" ca="1" si="398"/>
        <v>3732802.7320000003</v>
      </c>
      <c r="BD390" s="37">
        <f ca="1">IF(AU390="C",VLOOKUP(BC390,TER!$J$4:$L$50,3,TRUE),IF(AU390="B",VLOOKUP(BC390,TER!$F$4:$H$50,3,TRUE),IF(AU390="A",VLOOKUP(BC390,TER!$B$4:$D$50,3,TRUE),"ERROR")))</f>
        <v>0</v>
      </c>
      <c r="BE390" s="20">
        <f t="shared" ca="1" si="399"/>
        <v>0</v>
      </c>
      <c r="BF390" s="216"/>
      <c r="BG390" s="216"/>
    </row>
    <row r="391" spans="1:59" ht="15.75" hidden="1" customHeight="1">
      <c r="A391" s="216"/>
      <c r="B391" s="27">
        <v>53</v>
      </c>
      <c r="C391" s="28" t="s">
        <v>748</v>
      </c>
      <c r="D391" s="29" t="s">
        <v>749</v>
      </c>
      <c r="E391" s="27" t="s">
        <v>57</v>
      </c>
      <c r="F391" s="28" t="s">
        <v>750</v>
      </c>
      <c r="G391" s="27" t="s">
        <v>31</v>
      </c>
      <c r="H391" s="332" t="s">
        <v>32</v>
      </c>
      <c r="I391" s="16">
        <f t="shared" si="380"/>
        <v>3066580</v>
      </c>
      <c r="J391" s="16">
        <v>191354.592</v>
      </c>
      <c r="K391" s="16">
        <v>122663.2</v>
      </c>
      <c r="L391" s="16">
        <v>200000</v>
      </c>
      <c r="M391" s="16">
        <f t="shared" si="451"/>
        <v>54500</v>
      </c>
      <c r="N391" s="21">
        <f ca="1">IFERROR(__xludf.DUMMYFUNCTION("VLOOKUP(C391,IMPORTRANGE(""https://docs.google.com/spreadsheets/d/1rQ2O3to3MCxQ4eTnJ5b4WStW3zTBTYg21JZurI75aCM/edit?gid=1410613181#gid=1410613181"",""DATA_ABSEN_DES24""),39,0)"),21)</f>
        <v>21</v>
      </c>
      <c r="O391" s="334">
        <f ca="1">IFERROR(__xludf.DUMMYFUNCTION("VLOOKUP(C391,IMPORTRANGE(""https://docs.google.com/spreadsheets/d/1rQ2O3to3MCxQ4eTnJ5b4WStW3zTBTYg21JZurI75aCM/edit?gid=1410613181#gid=1410613181"",""DATA_ABSEN_DES24""),40,0)"),20)</f>
        <v>20</v>
      </c>
      <c r="P391" s="16">
        <f t="shared" ca="1" si="381"/>
        <v>1344500</v>
      </c>
      <c r="Q391" s="16">
        <v>21</v>
      </c>
      <c r="R391" s="16">
        <f t="shared" si="382"/>
        <v>4725097.7920000004</v>
      </c>
      <c r="S391" s="16">
        <f t="shared" ca="1" si="383"/>
        <v>4725097.7920000004</v>
      </c>
      <c r="T391" s="16">
        <f t="shared" ca="1" si="384"/>
        <v>0</v>
      </c>
      <c r="U391" s="16">
        <v>100810</v>
      </c>
      <c r="V391" s="21">
        <f ca="1">IFERROR(__xludf.DUMMYFUNCTION("VLOOKUP(C391,IMPORTRANGE(""https://docs.google.com/spreadsheets/d/1rQ2O3to3MCxQ4eTnJ5b4WStW3zTBTYg21JZurI75aCM/edit?gid=1410613181#gid=1410613181"",""DATA_ABSEN_DES24""),41,0)"),0)</f>
        <v>0</v>
      </c>
      <c r="W391" s="16">
        <f t="shared" ca="1" si="385"/>
        <v>0</v>
      </c>
      <c r="X391" s="16">
        <v>0</v>
      </c>
      <c r="Y391" s="16">
        <f t="shared" ca="1" si="386"/>
        <v>4725097.7920000004</v>
      </c>
      <c r="Z391" s="21"/>
      <c r="AA391" s="21"/>
      <c r="AB391" s="21"/>
      <c r="AC391" s="21"/>
      <c r="AD391" s="21"/>
      <c r="AE391" s="16"/>
      <c r="AF391" s="16"/>
      <c r="AG391" s="16"/>
      <c r="AH391" s="16"/>
      <c r="AI391" s="16"/>
      <c r="AJ391" s="16"/>
      <c r="AK391" s="16"/>
      <c r="AL391" s="16"/>
      <c r="AM391" s="16"/>
      <c r="AN391" s="335">
        <f t="shared" ca="1" si="387"/>
        <v>4725097.7920000004</v>
      </c>
      <c r="AO391" s="20">
        <f t="shared" ca="1" si="388"/>
        <v>0</v>
      </c>
      <c r="AP391" s="20">
        <f t="shared" ca="1" si="389"/>
        <v>4725097.7920000004</v>
      </c>
      <c r="AQ391" s="20">
        <f t="shared" ca="1" si="390"/>
        <v>4725097.7920000004</v>
      </c>
      <c r="AR391" s="20">
        <f t="shared" ca="1" si="391"/>
        <v>4725100</v>
      </c>
      <c r="AS391" s="216"/>
      <c r="AT391" s="30" t="s">
        <v>17</v>
      </c>
      <c r="AU391" s="30" t="str">
        <f>VLOOKUP(AT391,TER!$R$2:$S$10,2,0)</f>
        <v>B</v>
      </c>
      <c r="AV391" s="20">
        <f t="shared" si="392"/>
        <v>3066580</v>
      </c>
      <c r="AW391" s="20">
        <f t="shared" ca="1" si="393"/>
        <v>1344500</v>
      </c>
      <c r="AX391" s="20">
        <f t="shared" ref="AX391:AY391" ca="1" si="455">W391</f>
        <v>0</v>
      </c>
      <c r="AY391" s="20">
        <f t="shared" si="455"/>
        <v>0</v>
      </c>
      <c r="AZ391" s="20">
        <f t="shared" si="395"/>
        <v>7359.7919999999995</v>
      </c>
      <c r="BA391" s="20">
        <f t="shared" si="396"/>
        <v>9199.74</v>
      </c>
      <c r="BB391" s="20">
        <f t="shared" si="397"/>
        <v>122663.2</v>
      </c>
      <c r="BC391" s="20">
        <f t="shared" ca="1" si="398"/>
        <v>4550302.7320000008</v>
      </c>
      <c r="BD391" s="37">
        <f ca="1">IF(AU391="C",VLOOKUP(BC391,TER!$J$4:$L$50,3,TRUE),IF(AU391="B",VLOOKUP(BC391,TER!$F$4:$H$50,3,TRUE),IF(AU391="A",VLOOKUP(BC391,TER!$B$4:$D$50,3,TRUE),"ERROR")))</f>
        <v>0</v>
      </c>
      <c r="BE391" s="20">
        <f t="shared" ca="1" si="399"/>
        <v>0</v>
      </c>
      <c r="BF391" s="216"/>
      <c r="BG391" s="216"/>
    </row>
    <row r="392" spans="1:59" ht="15.75" hidden="1" customHeight="1">
      <c r="A392" s="216"/>
      <c r="B392" s="27">
        <v>54</v>
      </c>
      <c r="C392" s="28" t="s">
        <v>751</v>
      </c>
      <c r="D392" s="29" t="s">
        <v>752</v>
      </c>
      <c r="E392" s="27" t="s">
        <v>57</v>
      </c>
      <c r="F392" s="28" t="s">
        <v>753</v>
      </c>
      <c r="G392" s="27" t="s">
        <v>31</v>
      </c>
      <c r="H392" s="332" t="s">
        <v>32</v>
      </c>
      <c r="I392" s="16">
        <f t="shared" si="380"/>
        <v>3066580</v>
      </c>
      <c r="J392" s="16">
        <v>191354.592</v>
      </c>
      <c r="K392" s="16">
        <v>122663.2</v>
      </c>
      <c r="L392" s="16">
        <v>200000</v>
      </c>
      <c r="M392" s="16">
        <f t="shared" si="451"/>
        <v>54500</v>
      </c>
      <c r="N392" s="21">
        <f ca="1">IFERROR(__xludf.DUMMYFUNCTION("VLOOKUP(C392,IMPORTRANGE(""https://docs.google.com/spreadsheets/d/1rQ2O3to3MCxQ4eTnJ5b4WStW3zTBTYg21JZurI75aCM/edit?gid=1410613181#gid=1410613181"",""DATA_ABSEN_DES24""),39,0)"),21)</f>
        <v>21</v>
      </c>
      <c r="O392" s="334">
        <f ca="1">IFERROR(__xludf.DUMMYFUNCTION("VLOOKUP(C392,IMPORTRANGE(""https://docs.google.com/spreadsheets/d/1rQ2O3to3MCxQ4eTnJ5b4WStW3zTBTYg21JZurI75aCM/edit?gid=1410613181#gid=1410613181"",""DATA_ABSEN_DES24""),40,0)"),20)</f>
        <v>20</v>
      </c>
      <c r="P392" s="16">
        <f t="shared" ca="1" si="381"/>
        <v>1344500</v>
      </c>
      <c r="Q392" s="16">
        <v>21</v>
      </c>
      <c r="R392" s="16">
        <f t="shared" si="382"/>
        <v>4725097.7920000004</v>
      </c>
      <c r="S392" s="16">
        <f t="shared" ca="1" si="383"/>
        <v>4725097.7920000004</v>
      </c>
      <c r="T392" s="16">
        <f t="shared" ca="1" si="384"/>
        <v>0</v>
      </c>
      <c r="U392" s="16">
        <v>100810</v>
      </c>
      <c r="V392" s="21">
        <f ca="1">IFERROR(__xludf.DUMMYFUNCTION("VLOOKUP(C392,IMPORTRANGE(""https://docs.google.com/spreadsheets/d/1rQ2O3to3MCxQ4eTnJ5b4WStW3zTBTYg21JZurI75aCM/edit?gid=1410613181#gid=1410613181"",""DATA_ABSEN_DES24""),41,0)"),0)</f>
        <v>0</v>
      </c>
      <c r="W392" s="16">
        <f t="shared" ca="1" si="385"/>
        <v>0</v>
      </c>
      <c r="X392" s="16">
        <v>0</v>
      </c>
      <c r="Y392" s="16">
        <f t="shared" ca="1" si="386"/>
        <v>4725097.7920000004</v>
      </c>
      <c r="Z392" s="21"/>
      <c r="AA392" s="21"/>
      <c r="AB392" s="21"/>
      <c r="AC392" s="21"/>
      <c r="AD392" s="21"/>
      <c r="AE392" s="16"/>
      <c r="AF392" s="16"/>
      <c r="AG392" s="16"/>
      <c r="AH392" s="16"/>
      <c r="AI392" s="16"/>
      <c r="AJ392" s="16"/>
      <c r="AK392" s="16"/>
      <c r="AL392" s="16"/>
      <c r="AM392" s="16"/>
      <c r="AN392" s="335">
        <f t="shared" ca="1" si="387"/>
        <v>4725097.7920000004</v>
      </c>
      <c r="AO392" s="20">
        <f t="shared" ca="1" si="388"/>
        <v>0</v>
      </c>
      <c r="AP392" s="20">
        <f t="shared" ca="1" si="389"/>
        <v>4725097.7920000004</v>
      </c>
      <c r="AQ392" s="20">
        <f t="shared" ca="1" si="390"/>
        <v>4725097.7920000004</v>
      </c>
      <c r="AR392" s="20">
        <f t="shared" ca="1" si="391"/>
        <v>4725100</v>
      </c>
      <c r="AS392" s="216"/>
      <c r="AT392" s="30" t="s">
        <v>13</v>
      </c>
      <c r="AU392" s="30" t="str">
        <f>VLOOKUP(AT392,TER!$R$2:$S$10,2,0)</f>
        <v>A</v>
      </c>
      <c r="AV392" s="20">
        <f t="shared" si="392"/>
        <v>3066580</v>
      </c>
      <c r="AW392" s="20">
        <f t="shared" ca="1" si="393"/>
        <v>1344500</v>
      </c>
      <c r="AX392" s="20">
        <f t="shared" ref="AX392:AY392" ca="1" si="456">W392</f>
        <v>0</v>
      </c>
      <c r="AY392" s="20">
        <f t="shared" si="456"/>
        <v>0</v>
      </c>
      <c r="AZ392" s="20">
        <f t="shared" si="395"/>
        <v>7359.7919999999995</v>
      </c>
      <c r="BA392" s="20">
        <f t="shared" si="396"/>
        <v>9199.74</v>
      </c>
      <c r="BB392" s="20">
        <f t="shared" si="397"/>
        <v>122663.2</v>
      </c>
      <c r="BC392" s="20">
        <f t="shared" ca="1" si="398"/>
        <v>4550302.7320000008</v>
      </c>
      <c r="BD392" s="37">
        <f ca="1">IF(AU392="C",VLOOKUP(BC392,TER!$J$4:$L$50,3,TRUE),IF(AU392="B",VLOOKUP(BC392,TER!$F$4:$H$50,3,TRUE),IF(AU392="A",VLOOKUP(BC392,TER!$B$4:$D$50,3,TRUE),"ERROR")))</f>
        <v>0</v>
      </c>
      <c r="BE392" s="20">
        <f t="shared" ca="1" si="399"/>
        <v>0</v>
      </c>
      <c r="BF392" s="216"/>
      <c r="BG392" s="216"/>
    </row>
    <row r="393" spans="1:59" ht="15.75" hidden="1" customHeight="1">
      <c r="A393" s="216"/>
      <c r="B393" s="27">
        <v>55</v>
      </c>
      <c r="C393" s="28" t="s">
        <v>754</v>
      </c>
      <c r="D393" s="29" t="s">
        <v>755</v>
      </c>
      <c r="E393" s="242" t="s">
        <v>57</v>
      </c>
      <c r="F393" s="28" t="s">
        <v>756</v>
      </c>
      <c r="G393" s="27" t="s">
        <v>31</v>
      </c>
      <c r="H393" s="332" t="s">
        <v>32</v>
      </c>
      <c r="I393" s="16">
        <f t="shared" si="380"/>
        <v>3066580</v>
      </c>
      <c r="J393" s="16">
        <v>191354.592</v>
      </c>
      <c r="K393" s="16">
        <v>122663.2</v>
      </c>
      <c r="L393" s="16">
        <v>200000</v>
      </c>
      <c r="M393" s="16">
        <f t="shared" si="451"/>
        <v>54500</v>
      </c>
      <c r="N393" s="21">
        <f ca="1">IFERROR(__xludf.DUMMYFUNCTION("VLOOKUP(C393,IMPORTRANGE(""https://docs.google.com/spreadsheets/d/1rQ2O3to3MCxQ4eTnJ5b4WStW3zTBTYg21JZurI75aCM/edit?gid=1410613181#gid=1410613181"",""DATA_ABSEN_DES24""),39,0)"),21)</f>
        <v>21</v>
      </c>
      <c r="O393" s="334">
        <f ca="1">IFERROR(__xludf.DUMMYFUNCTION("VLOOKUP(C393,IMPORTRANGE(""https://docs.google.com/spreadsheets/d/1rQ2O3to3MCxQ4eTnJ5b4WStW3zTBTYg21JZurI75aCM/edit?gid=1410613181#gid=1410613181"",""DATA_ABSEN_DES24""),40,0)"),20)</f>
        <v>20</v>
      </c>
      <c r="P393" s="16">
        <f t="shared" ca="1" si="381"/>
        <v>1344500</v>
      </c>
      <c r="Q393" s="16">
        <v>21</v>
      </c>
      <c r="R393" s="16">
        <f t="shared" si="382"/>
        <v>4725097.7920000004</v>
      </c>
      <c r="S393" s="16">
        <f t="shared" ca="1" si="383"/>
        <v>4725097.7920000004</v>
      </c>
      <c r="T393" s="16">
        <f t="shared" ca="1" si="384"/>
        <v>0</v>
      </c>
      <c r="U393" s="16">
        <v>100810</v>
      </c>
      <c r="V393" s="21">
        <f ca="1">IFERROR(__xludf.DUMMYFUNCTION("VLOOKUP(C393,IMPORTRANGE(""https://docs.google.com/spreadsheets/d/1rQ2O3to3MCxQ4eTnJ5b4WStW3zTBTYg21JZurI75aCM/edit?gid=1410613181#gid=1410613181"",""DATA_ABSEN_DES24""),41,0)"),0)</f>
        <v>0</v>
      </c>
      <c r="W393" s="16">
        <f t="shared" ca="1" si="385"/>
        <v>0</v>
      </c>
      <c r="X393" s="16">
        <v>0</v>
      </c>
      <c r="Y393" s="16">
        <f t="shared" ca="1" si="386"/>
        <v>4725097.7920000004</v>
      </c>
      <c r="Z393" s="21"/>
      <c r="AA393" s="21"/>
      <c r="AB393" s="21"/>
      <c r="AC393" s="21"/>
      <c r="AD393" s="21"/>
      <c r="AE393" s="16"/>
      <c r="AF393" s="16"/>
      <c r="AG393" s="16"/>
      <c r="AH393" s="16"/>
      <c r="AI393" s="16"/>
      <c r="AJ393" s="16"/>
      <c r="AK393" s="16"/>
      <c r="AL393" s="16"/>
      <c r="AM393" s="16"/>
      <c r="AN393" s="335">
        <f t="shared" ca="1" si="387"/>
        <v>4725097.7920000004</v>
      </c>
      <c r="AO393" s="20">
        <f t="shared" ca="1" si="388"/>
        <v>0</v>
      </c>
      <c r="AP393" s="20">
        <f t="shared" ca="1" si="389"/>
        <v>4725097.7920000004</v>
      </c>
      <c r="AQ393" s="20">
        <f t="shared" ca="1" si="390"/>
        <v>4725097.7920000004</v>
      </c>
      <c r="AR393" s="20">
        <f t="shared" ca="1" si="391"/>
        <v>4725100</v>
      </c>
      <c r="AS393" s="216"/>
      <c r="AT393" s="30" t="s">
        <v>9</v>
      </c>
      <c r="AU393" s="30" t="str">
        <f>VLOOKUP(AT393,TER!$R$2:$S$10,2,0)</f>
        <v>A</v>
      </c>
      <c r="AV393" s="20">
        <f t="shared" si="392"/>
        <v>3066580</v>
      </c>
      <c r="AW393" s="20">
        <f t="shared" ca="1" si="393"/>
        <v>1344500</v>
      </c>
      <c r="AX393" s="20">
        <f t="shared" ref="AX393:AY393" ca="1" si="457">W393</f>
        <v>0</v>
      </c>
      <c r="AY393" s="20">
        <f t="shared" si="457"/>
        <v>0</v>
      </c>
      <c r="AZ393" s="20">
        <f t="shared" si="395"/>
        <v>7359.7919999999995</v>
      </c>
      <c r="BA393" s="20">
        <f t="shared" si="396"/>
        <v>9199.74</v>
      </c>
      <c r="BB393" s="20">
        <f t="shared" si="397"/>
        <v>122663.2</v>
      </c>
      <c r="BC393" s="20">
        <f t="shared" ca="1" si="398"/>
        <v>4550302.7320000008</v>
      </c>
      <c r="BD393" s="37">
        <f ca="1">IF(AU393="C",VLOOKUP(BC393,TER!$J$4:$L$50,3,TRUE),IF(AU393="B",VLOOKUP(BC393,TER!$F$4:$H$50,3,TRUE),IF(AU393="A",VLOOKUP(BC393,TER!$B$4:$D$50,3,TRUE),"ERROR")))</f>
        <v>0</v>
      </c>
      <c r="BE393" s="20">
        <f t="shared" ca="1" si="399"/>
        <v>0</v>
      </c>
      <c r="BF393" s="216"/>
      <c r="BG393" s="216"/>
    </row>
    <row r="394" spans="1:59" ht="15.75" hidden="1" customHeight="1">
      <c r="A394" s="216"/>
      <c r="B394" s="27">
        <v>56</v>
      </c>
      <c r="C394" s="28" t="s">
        <v>757</v>
      </c>
      <c r="D394" s="29" t="s">
        <v>758</v>
      </c>
      <c r="E394" s="27" t="s">
        <v>57</v>
      </c>
      <c r="F394" s="28" t="s">
        <v>759</v>
      </c>
      <c r="G394" s="27" t="s">
        <v>31</v>
      </c>
      <c r="H394" s="332" t="s">
        <v>32</v>
      </c>
      <c r="I394" s="16">
        <f t="shared" si="380"/>
        <v>3066580</v>
      </c>
      <c r="J394" s="16">
        <v>191354.592</v>
      </c>
      <c r="K394" s="16">
        <v>122663.2</v>
      </c>
      <c r="L394" s="16">
        <v>200000</v>
      </c>
      <c r="M394" s="16">
        <f t="shared" si="451"/>
        <v>54500</v>
      </c>
      <c r="N394" s="21">
        <f ca="1">IFERROR(__xludf.DUMMYFUNCTION("VLOOKUP(C394,IMPORTRANGE(""https://docs.google.com/spreadsheets/d/1rQ2O3to3MCxQ4eTnJ5b4WStW3zTBTYg21JZurI75aCM/edit?gid=1410613181#gid=1410613181"",""DATA_ABSEN_DES24""),39,0)"),20)</f>
        <v>20</v>
      </c>
      <c r="O394" s="334">
        <f ca="1">IFERROR(__xludf.DUMMYFUNCTION("VLOOKUP(C394,IMPORTRANGE(""https://docs.google.com/spreadsheets/d/1rQ2O3to3MCxQ4eTnJ5b4WStW3zTBTYg21JZurI75aCM/edit?gid=1410613181#gid=1410613181"",""DATA_ABSEN_DES24""),40,0)"),20)</f>
        <v>20</v>
      </c>
      <c r="P394" s="16">
        <f t="shared" ca="1" si="381"/>
        <v>1290000</v>
      </c>
      <c r="Q394" s="16">
        <v>21</v>
      </c>
      <c r="R394" s="16">
        <f t="shared" si="382"/>
        <v>4725097.7920000004</v>
      </c>
      <c r="S394" s="16">
        <f t="shared" ca="1" si="383"/>
        <v>4670597.7920000004</v>
      </c>
      <c r="T394" s="16">
        <f t="shared" ca="1" si="384"/>
        <v>0</v>
      </c>
      <c r="U394" s="16">
        <v>100810</v>
      </c>
      <c r="V394" s="21">
        <f ca="1">IFERROR(__xludf.DUMMYFUNCTION("VLOOKUP(C394,IMPORTRANGE(""https://docs.google.com/spreadsheets/d/1rQ2O3to3MCxQ4eTnJ5b4WStW3zTBTYg21JZurI75aCM/edit?gid=1410613181#gid=1410613181"",""DATA_ABSEN_DES24""),41,0)"),0)</f>
        <v>0</v>
      </c>
      <c r="W394" s="16">
        <f t="shared" ca="1" si="385"/>
        <v>0</v>
      </c>
      <c r="X394" s="16">
        <v>0</v>
      </c>
      <c r="Y394" s="16">
        <f t="shared" ca="1" si="386"/>
        <v>4670597.7920000004</v>
      </c>
      <c r="Z394" s="21"/>
      <c r="AA394" s="21"/>
      <c r="AB394" s="21"/>
      <c r="AC394" s="21"/>
      <c r="AD394" s="21"/>
      <c r="AE394" s="16"/>
      <c r="AF394" s="16"/>
      <c r="AG394" s="16"/>
      <c r="AH394" s="16"/>
      <c r="AI394" s="16"/>
      <c r="AJ394" s="16"/>
      <c r="AK394" s="16"/>
      <c r="AL394" s="16"/>
      <c r="AM394" s="16"/>
      <c r="AN394" s="335">
        <f t="shared" ca="1" si="387"/>
        <v>4670597.7920000004</v>
      </c>
      <c r="AO394" s="20">
        <f t="shared" ca="1" si="388"/>
        <v>0</v>
      </c>
      <c r="AP394" s="20">
        <f t="shared" ca="1" si="389"/>
        <v>4670597.7920000004</v>
      </c>
      <c r="AQ394" s="20">
        <f t="shared" ca="1" si="390"/>
        <v>4670597.7920000004</v>
      </c>
      <c r="AR394" s="20">
        <f t="shared" ca="1" si="391"/>
        <v>4670600</v>
      </c>
      <c r="AS394" s="216"/>
      <c r="AT394" s="30" t="s">
        <v>13</v>
      </c>
      <c r="AU394" s="30" t="str">
        <f>VLOOKUP(AT394,TER!$R$2:$S$10,2,0)</f>
        <v>A</v>
      </c>
      <c r="AV394" s="20">
        <f t="shared" si="392"/>
        <v>3066580</v>
      </c>
      <c r="AW394" s="20">
        <f t="shared" ca="1" si="393"/>
        <v>1290000</v>
      </c>
      <c r="AX394" s="20">
        <f t="shared" ref="AX394:AY394" ca="1" si="458">W394</f>
        <v>0</v>
      </c>
      <c r="AY394" s="20">
        <f t="shared" si="458"/>
        <v>0</v>
      </c>
      <c r="AZ394" s="20">
        <f t="shared" si="395"/>
        <v>7359.7919999999995</v>
      </c>
      <c r="BA394" s="20">
        <f t="shared" si="396"/>
        <v>9199.74</v>
      </c>
      <c r="BB394" s="20">
        <f t="shared" si="397"/>
        <v>122663.2</v>
      </c>
      <c r="BC394" s="20">
        <f t="shared" ca="1" si="398"/>
        <v>4495802.7320000008</v>
      </c>
      <c r="BD394" s="37">
        <f ca="1">IF(AU394="C",VLOOKUP(BC394,TER!$J$4:$L$50,3,TRUE),IF(AU394="B",VLOOKUP(BC394,TER!$F$4:$H$50,3,TRUE),IF(AU394="A",VLOOKUP(BC394,TER!$B$4:$D$50,3,TRUE),"ERROR")))</f>
        <v>0</v>
      </c>
      <c r="BE394" s="20">
        <f t="shared" ca="1" si="399"/>
        <v>0</v>
      </c>
      <c r="BF394" s="216"/>
      <c r="BG394" s="216"/>
    </row>
    <row r="395" spans="1:59" ht="15.75" hidden="1" customHeight="1">
      <c r="A395" s="216"/>
      <c r="B395" s="27">
        <v>57</v>
      </c>
      <c r="C395" s="28" t="s">
        <v>760</v>
      </c>
      <c r="D395" s="29" t="s">
        <v>761</v>
      </c>
      <c r="E395" s="27" t="s">
        <v>57</v>
      </c>
      <c r="F395" s="28" t="s">
        <v>762</v>
      </c>
      <c r="G395" s="27" t="s">
        <v>31</v>
      </c>
      <c r="H395" s="332" t="s">
        <v>32</v>
      </c>
      <c r="I395" s="16">
        <f t="shared" si="380"/>
        <v>3066580</v>
      </c>
      <c r="J395" s="16">
        <v>191354.592</v>
      </c>
      <c r="K395" s="16">
        <v>122663.2</v>
      </c>
      <c r="L395" s="16">
        <v>200000</v>
      </c>
      <c r="M395" s="16">
        <f t="shared" si="451"/>
        <v>54500</v>
      </c>
      <c r="N395" s="21">
        <f ca="1">IFERROR(__xludf.DUMMYFUNCTION("VLOOKUP(C395,IMPORTRANGE(""https://docs.google.com/spreadsheets/d/1rQ2O3to3MCxQ4eTnJ5b4WStW3zTBTYg21JZurI75aCM/edit?gid=1410613181#gid=1410613181"",""DATA_ABSEN_DES24""),39,0)"),21)</f>
        <v>21</v>
      </c>
      <c r="O395" s="334">
        <f ca="1">IFERROR(__xludf.DUMMYFUNCTION("VLOOKUP(C395,IMPORTRANGE(""https://docs.google.com/spreadsheets/d/1rQ2O3to3MCxQ4eTnJ5b4WStW3zTBTYg21JZurI75aCM/edit?gid=1410613181#gid=1410613181"",""DATA_ABSEN_DES24""),40,0)"),20)</f>
        <v>20</v>
      </c>
      <c r="P395" s="16">
        <f t="shared" ca="1" si="381"/>
        <v>1344500</v>
      </c>
      <c r="Q395" s="16">
        <v>21</v>
      </c>
      <c r="R395" s="16">
        <f t="shared" si="382"/>
        <v>4725097.7920000004</v>
      </c>
      <c r="S395" s="16">
        <f t="shared" ca="1" si="383"/>
        <v>4725097.7920000004</v>
      </c>
      <c r="T395" s="16">
        <f t="shared" ca="1" si="384"/>
        <v>0</v>
      </c>
      <c r="U395" s="16">
        <v>100810</v>
      </c>
      <c r="V395" s="21">
        <f ca="1">IFERROR(__xludf.DUMMYFUNCTION("VLOOKUP(C395,IMPORTRANGE(""https://docs.google.com/spreadsheets/d/1rQ2O3to3MCxQ4eTnJ5b4WStW3zTBTYg21JZurI75aCM/edit?gid=1410613181#gid=1410613181"",""DATA_ABSEN_DES24""),41,0)"),0)</f>
        <v>0</v>
      </c>
      <c r="W395" s="16">
        <f t="shared" ca="1" si="385"/>
        <v>0</v>
      </c>
      <c r="X395" s="16">
        <v>0</v>
      </c>
      <c r="Y395" s="16">
        <f t="shared" ca="1" si="386"/>
        <v>4725097.7920000004</v>
      </c>
      <c r="Z395" s="21"/>
      <c r="AA395" s="21"/>
      <c r="AB395" s="21"/>
      <c r="AC395" s="21"/>
      <c r="AD395" s="21"/>
      <c r="AE395" s="16"/>
      <c r="AF395" s="16"/>
      <c r="AG395" s="16"/>
      <c r="AH395" s="16"/>
      <c r="AI395" s="16"/>
      <c r="AJ395" s="16"/>
      <c r="AK395" s="16"/>
      <c r="AL395" s="16"/>
      <c r="AM395" s="16"/>
      <c r="AN395" s="335">
        <f t="shared" ca="1" si="387"/>
        <v>4725097.7920000004</v>
      </c>
      <c r="AO395" s="20">
        <f t="shared" ca="1" si="388"/>
        <v>0</v>
      </c>
      <c r="AP395" s="20">
        <f t="shared" ca="1" si="389"/>
        <v>4725097.7920000004</v>
      </c>
      <c r="AQ395" s="20">
        <f t="shared" ca="1" si="390"/>
        <v>4725097.7920000004</v>
      </c>
      <c r="AR395" s="20">
        <f t="shared" ca="1" si="391"/>
        <v>4725100</v>
      </c>
      <c r="AS395" s="216"/>
      <c r="AT395" s="30" t="s">
        <v>8</v>
      </c>
      <c r="AU395" s="30" t="str">
        <f>VLOOKUP(AT395,TER!$R$2:$S$10,2,0)</f>
        <v>C</v>
      </c>
      <c r="AV395" s="20">
        <f t="shared" si="392"/>
        <v>3066580</v>
      </c>
      <c r="AW395" s="20">
        <f t="shared" ca="1" si="393"/>
        <v>1344500</v>
      </c>
      <c r="AX395" s="20">
        <f t="shared" ref="AX395:AY395" ca="1" si="459">W395</f>
        <v>0</v>
      </c>
      <c r="AY395" s="20">
        <f t="shared" si="459"/>
        <v>0</v>
      </c>
      <c r="AZ395" s="20">
        <f t="shared" si="395"/>
        <v>7359.7919999999995</v>
      </c>
      <c r="BA395" s="20">
        <f t="shared" si="396"/>
        <v>9199.74</v>
      </c>
      <c r="BB395" s="20">
        <f t="shared" si="397"/>
        <v>122663.2</v>
      </c>
      <c r="BC395" s="20">
        <f t="shared" ca="1" si="398"/>
        <v>4550302.7320000008</v>
      </c>
      <c r="BD395" s="37">
        <f ca="1">IF(AU395="C",VLOOKUP(BC395,TER!$J$4:$L$50,3,TRUE),IF(AU395="B",VLOOKUP(BC395,TER!$F$4:$H$50,3,TRUE),IF(AU395="A",VLOOKUP(BC395,TER!$B$4:$D$50,3,TRUE),"ERROR")))</f>
        <v>0</v>
      </c>
      <c r="BE395" s="20">
        <f t="shared" ca="1" si="399"/>
        <v>0</v>
      </c>
      <c r="BF395" s="216"/>
      <c r="BG395" s="216"/>
    </row>
    <row r="396" spans="1:59" ht="15.75" hidden="1" customHeight="1">
      <c r="A396" s="216"/>
      <c r="B396" s="27">
        <v>58</v>
      </c>
      <c r="C396" s="243" t="s">
        <v>763</v>
      </c>
      <c r="D396" s="33" t="s">
        <v>764</v>
      </c>
      <c r="E396" s="27" t="s">
        <v>57</v>
      </c>
      <c r="F396" s="28" t="s">
        <v>765</v>
      </c>
      <c r="G396" s="27" t="s">
        <v>31</v>
      </c>
      <c r="H396" s="332" t="s">
        <v>32</v>
      </c>
      <c r="I396" s="16">
        <f t="shared" si="380"/>
        <v>3066580</v>
      </c>
      <c r="J396" s="16">
        <v>191354.592</v>
      </c>
      <c r="K396" s="16">
        <v>122663.2</v>
      </c>
      <c r="L396" s="16">
        <v>200000</v>
      </c>
      <c r="M396" s="16">
        <f t="shared" si="451"/>
        <v>54500</v>
      </c>
      <c r="N396" s="21">
        <f ca="1">IFERROR(__xludf.DUMMYFUNCTION("VLOOKUP(C396,IMPORTRANGE(""https://docs.google.com/spreadsheets/d/1rQ2O3to3MCxQ4eTnJ5b4WStW3zTBTYg21JZurI75aCM/edit?gid=1410613181#gid=1410613181"",""DATA_ABSEN_DES24""),39,0)"),21)</f>
        <v>21</v>
      </c>
      <c r="O396" s="334">
        <f ca="1">IFERROR(__xludf.DUMMYFUNCTION("VLOOKUP(C396,IMPORTRANGE(""https://docs.google.com/spreadsheets/d/1rQ2O3to3MCxQ4eTnJ5b4WStW3zTBTYg21JZurI75aCM/edit?gid=1410613181#gid=1410613181"",""DATA_ABSEN_DES24""),40,0)"),20)</f>
        <v>20</v>
      </c>
      <c r="P396" s="16">
        <f t="shared" ca="1" si="381"/>
        <v>1344500</v>
      </c>
      <c r="Q396" s="16">
        <v>21</v>
      </c>
      <c r="R396" s="16">
        <f t="shared" si="382"/>
        <v>4725097.7920000004</v>
      </c>
      <c r="S396" s="16">
        <f t="shared" ca="1" si="383"/>
        <v>4725097.7920000004</v>
      </c>
      <c r="T396" s="16">
        <f t="shared" ca="1" si="384"/>
        <v>0</v>
      </c>
      <c r="U396" s="16">
        <v>100810</v>
      </c>
      <c r="V396" s="21">
        <f ca="1">IFERROR(__xludf.DUMMYFUNCTION("VLOOKUP(C396,IMPORTRANGE(""https://docs.google.com/spreadsheets/d/1rQ2O3to3MCxQ4eTnJ5b4WStW3zTBTYg21JZurI75aCM/edit?gid=1410613181#gid=1410613181"",""DATA_ABSEN_DES24""),41,0)"),0)</f>
        <v>0</v>
      </c>
      <c r="W396" s="16">
        <f t="shared" ca="1" si="385"/>
        <v>0</v>
      </c>
      <c r="X396" s="16">
        <v>0</v>
      </c>
      <c r="Y396" s="16">
        <f t="shared" ca="1" si="386"/>
        <v>4725097.7920000004</v>
      </c>
      <c r="Z396" s="21"/>
      <c r="AA396" s="21"/>
      <c r="AB396" s="21"/>
      <c r="AC396" s="21"/>
      <c r="AD396" s="21"/>
      <c r="AE396" s="16"/>
      <c r="AF396" s="16"/>
      <c r="AG396" s="16"/>
      <c r="AH396" s="16"/>
      <c r="AI396" s="16"/>
      <c r="AJ396" s="16"/>
      <c r="AK396" s="16"/>
      <c r="AL396" s="16"/>
      <c r="AM396" s="16"/>
      <c r="AN396" s="335">
        <f t="shared" ca="1" si="387"/>
        <v>4725097.7920000004</v>
      </c>
      <c r="AO396" s="20">
        <f t="shared" ca="1" si="388"/>
        <v>0</v>
      </c>
      <c r="AP396" s="20">
        <f t="shared" ca="1" si="389"/>
        <v>4725097.7920000004</v>
      </c>
      <c r="AQ396" s="20">
        <f t="shared" ca="1" si="390"/>
        <v>4725097.7920000004</v>
      </c>
      <c r="AR396" s="20">
        <f t="shared" ca="1" si="391"/>
        <v>4725100</v>
      </c>
      <c r="AS396" s="216"/>
      <c r="AT396" s="27" t="s">
        <v>9</v>
      </c>
      <c r="AU396" s="30" t="str">
        <f>VLOOKUP(AT396,TER!$R$2:$S$10,2,0)</f>
        <v>A</v>
      </c>
      <c r="AV396" s="20">
        <f t="shared" si="392"/>
        <v>3066580</v>
      </c>
      <c r="AW396" s="20">
        <f t="shared" ca="1" si="393"/>
        <v>1344500</v>
      </c>
      <c r="AX396" s="20">
        <f t="shared" ref="AX396:AY396" ca="1" si="460">W396</f>
        <v>0</v>
      </c>
      <c r="AY396" s="20">
        <f t="shared" si="460"/>
        <v>0</v>
      </c>
      <c r="AZ396" s="20">
        <f t="shared" si="395"/>
        <v>7359.7919999999995</v>
      </c>
      <c r="BA396" s="20">
        <f t="shared" si="396"/>
        <v>9199.74</v>
      </c>
      <c r="BB396" s="20">
        <f t="shared" si="397"/>
        <v>122663.2</v>
      </c>
      <c r="BC396" s="20">
        <f t="shared" ca="1" si="398"/>
        <v>4550302.7320000008</v>
      </c>
      <c r="BD396" s="37">
        <f ca="1">IF(AU396="C",VLOOKUP(BC396,TER!$J$4:$L$50,3,TRUE),IF(AU396="B",VLOOKUP(BC396,TER!$F$4:$H$50,3,TRUE),IF(AU396="A",VLOOKUP(BC396,TER!$B$4:$D$50,3,TRUE),"ERROR")))</f>
        <v>0</v>
      </c>
      <c r="BE396" s="20">
        <f t="shared" ca="1" si="399"/>
        <v>0</v>
      </c>
      <c r="BF396" s="216"/>
      <c r="BG396" s="216"/>
    </row>
    <row r="397" spans="1:59" ht="15.75" hidden="1" customHeight="1">
      <c r="A397" s="216"/>
      <c r="B397" s="27">
        <v>59</v>
      </c>
      <c r="C397" s="28" t="s">
        <v>766</v>
      </c>
      <c r="D397" s="32" t="s">
        <v>767</v>
      </c>
      <c r="E397" s="27" t="s">
        <v>57</v>
      </c>
      <c r="F397" s="28" t="s">
        <v>768</v>
      </c>
      <c r="G397" s="27" t="s">
        <v>31</v>
      </c>
      <c r="H397" s="332" t="s">
        <v>450</v>
      </c>
      <c r="I397" s="16" t="e">
        <f t="shared" ca="1" si="380"/>
        <v>#VALUE!</v>
      </c>
      <c r="J397" s="16">
        <v>191354.592</v>
      </c>
      <c r="K397" s="16">
        <v>122663.2</v>
      </c>
      <c r="L397" s="342" t="e">
        <f ca="1">200000*N397/O397</f>
        <v>#VALUE!</v>
      </c>
      <c r="M397" s="16">
        <f t="shared" si="451"/>
        <v>54500</v>
      </c>
      <c r="N397" s="21" t="str">
        <f ca="1">IFERROR(__xludf.DUMMYFUNCTION("VLOOKUP(C397,IMPORTRANGE(""https://docs.google.com/spreadsheets/d/1rQ2O3to3MCxQ4eTnJ5b4WStW3zTBTYg21JZurI75aCM/edit?gid=1410613181#gid=1410613181"",""DATA_ABSEN_DES24""),39,0)"),"#N/A")</f>
        <v>#N/A</v>
      </c>
      <c r="O397" s="334" t="str">
        <f ca="1">IFERROR(__xludf.DUMMYFUNCTION("VLOOKUP(C397,IMPORTRANGE(""https://docs.google.com/spreadsheets/d/1rQ2O3to3MCxQ4eTnJ5b4WStW3zTBTYg21JZurI75aCM/edit?gid=1410613181#gid=1410613181"",""DATA_ABSEN_DES24""),40,0)"),"#N/A")</f>
        <v>#N/A</v>
      </c>
      <c r="P397" s="16" t="e">
        <f t="shared" ca="1" si="381"/>
        <v>#VALUE!</v>
      </c>
      <c r="Q397" s="16">
        <v>21</v>
      </c>
      <c r="R397" s="16" t="e">
        <f t="shared" ca="1" si="382"/>
        <v>#VALUE!</v>
      </c>
      <c r="S397" s="16" t="e">
        <f t="shared" ca="1" si="383"/>
        <v>#VALUE!</v>
      </c>
      <c r="T397" s="16" t="e">
        <f t="shared" ca="1" si="384"/>
        <v>#VALUE!</v>
      </c>
      <c r="U397" s="16">
        <v>100810</v>
      </c>
      <c r="V397" s="21" t="str">
        <f ca="1">IFERROR(__xludf.DUMMYFUNCTION("VLOOKUP(C397,IMPORTRANGE(""https://docs.google.com/spreadsheets/d/1rQ2O3to3MCxQ4eTnJ5b4WStW3zTBTYg21JZurI75aCM/edit?gid=1410613181#gid=1410613181"",""DATA_ABSEN_DES24""),41,0)"),"#N/A")</f>
        <v>#N/A</v>
      </c>
      <c r="W397" s="16" t="e">
        <f t="shared" ca="1" si="385"/>
        <v>#VALUE!</v>
      </c>
      <c r="X397" s="16">
        <v>0</v>
      </c>
      <c r="Y397" s="16" t="e">
        <f t="shared" ca="1" si="386"/>
        <v>#VALUE!</v>
      </c>
      <c r="Z397" s="21"/>
      <c r="AA397" s="21"/>
      <c r="AB397" s="21"/>
      <c r="AC397" s="21"/>
      <c r="AD397" s="21"/>
      <c r="AE397" s="16"/>
      <c r="AF397" s="16"/>
      <c r="AG397" s="16"/>
      <c r="AH397" s="16"/>
      <c r="AI397" s="16"/>
      <c r="AJ397" s="16"/>
      <c r="AK397" s="16"/>
      <c r="AL397" s="16"/>
      <c r="AM397" s="16"/>
      <c r="AN397" s="335" t="e">
        <f t="shared" ca="1" si="387"/>
        <v>#VALUE!</v>
      </c>
      <c r="AO397" s="20" t="e">
        <f t="shared" ca="1" si="388"/>
        <v>#VALUE!</v>
      </c>
      <c r="AP397" s="20" t="e">
        <f t="shared" ca="1" si="389"/>
        <v>#VALUE!</v>
      </c>
      <c r="AQ397" s="20" t="e">
        <f t="shared" ca="1" si="390"/>
        <v>#VALUE!</v>
      </c>
      <c r="AR397" s="20" t="e">
        <f t="shared" ca="1" si="391"/>
        <v>#VALUE!</v>
      </c>
      <c r="AS397" s="216"/>
      <c r="AT397" s="30" t="s">
        <v>9</v>
      </c>
      <c r="AU397" s="30" t="str">
        <f>VLOOKUP(AT397,TER!$R$2:$S$10,2,0)</f>
        <v>A</v>
      </c>
      <c r="AV397" s="20" t="e">
        <f t="shared" ca="1" si="392"/>
        <v>#VALUE!</v>
      </c>
      <c r="AW397" s="20" t="e">
        <f t="shared" ca="1" si="393"/>
        <v>#VALUE!</v>
      </c>
      <c r="AX397" s="20" t="e">
        <f t="shared" ref="AX397:AY397" ca="1" si="461">W397</f>
        <v>#VALUE!</v>
      </c>
      <c r="AY397" s="20">
        <f t="shared" si="461"/>
        <v>0</v>
      </c>
      <c r="AZ397" s="20" t="e">
        <f t="shared" ca="1" si="395"/>
        <v>#VALUE!</v>
      </c>
      <c r="BA397" s="20" t="e">
        <f t="shared" ca="1" si="396"/>
        <v>#VALUE!</v>
      </c>
      <c r="BB397" s="20" t="e">
        <f t="shared" ca="1" si="397"/>
        <v>#VALUE!</v>
      </c>
      <c r="BC397" s="20" t="e">
        <f t="shared" ca="1" si="398"/>
        <v>#VALUE!</v>
      </c>
      <c r="BD397" s="37" t="e">
        <f ca="1">IF(AU397="C",VLOOKUP(BC397,TER!$J$4:$L$50,3,TRUE),IF(AU397="B",VLOOKUP(BC397,TER!$F$4:$H$50,3,TRUE),IF(AU397="A",VLOOKUP(BC397,TER!$B$4:$D$50,3,TRUE),"ERROR")))</f>
        <v>#VALUE!</v>
      </c>
      <c r="BE397" s="20" t="e">
        <f t="shared" ca="1" si="399"/>
        <v>#VALUE!</v>
      </c>
      <c r="BF397" s="216"/>
      <c r="BG397" s="216"/>
    </row>
    <row r="398" spans="1:59" ht="15.75" hidden="1" customHeight="1">
      <c r="A398" s="216"/>
      <c r="B398" s="27">
        <v>60</v>
      </c>
      <c r="C398" s="28" t="s">
        <v>245</v>
      </c>
      <c r="D398" s="29" t="s">
        <v>246</v>
      </c>
      <c r="E398" s="27" t="s">
        <v>57</v>
      </c>
      <c r="F398" s="28" t="s">
        <v>247</v>
      </c>
      <c r="G398" s="27" t="s">
        <v>31</v>
      </c>
      <c r="H398" s="332" t="s">
        <v>32</v>
      </c>
      <c r="I398" s="16">
        <f t="shared" si="380"/>
        <v>3066580</v>
      </c>
      <c r="J398" s="16">
        <v>191354.592</v>
      </c>
      <c r="K398" s="16">
        <v>122663.2</v>
      </c>
      <c r="L398" s="16">
        <v>200000</v>
      </c>
      <c r="M398" s="16">
        <f t="shared" si="451"/>
        <v>54500</v>
      </c>
      <c r="N398" s="21">
        <f ca="1">IFERROR(__xludf.DUMMYFUNCTION("VLOOKUP(C398,IMPORTRANGE(""https://docs.google.com/spreadsheets/d/1rQ2O3to3MCxQ4eTnJ5b4WStW3zTBTYg21JZurI75aCM/edit?gid=1410613181#gid=1410613181"",""DATA_ABSEN_DES24""),39,0)"),20)</f>
        <v>20</v>
      </c>
      <c r="O398" s="334">
        <f ca="1">IFERROR(__xludf.DUMMYFUNCTION("VLOOKUP(C398,IMPORTRANGE(""https://docs.google.com/spreadsheets/d/1rQ2O3to3MCxQ4eTnJ5b4WStW3zTBTYg21JZurI75aCM/edit?gid=1410613181#gid=1410613181"",""DATA_ABSEN_DES24""),40,0)"),20)</f>
        <v>20</v>
      </c>
      <c r="P398" s="16">
        <f t="shared" ca="1" si="381"/>
        <v>1290000</v>
      </c>
      <c r="Q398" s="16">
        <v>21</v>
      </c>
      <c r="R398" s="16">
        <f t="shared" si="382"/>
        <v>4725097.7920000004</v>
      </c>
      <c r="S398" s="16">
        <f t="shared" ca="1" si="383"/>
        <v>4670597.7920000004</v>
      </c>
      <c r="T398" s="16">
        <f t="shared" ca="1" si="384"/>
        <v>0</v>
      </c>
      <c r="U398" s="16">
        <v>100810</v>
      </c>
      <c r="V398" s="21">
        <f ca="1">IFERROR(__xludf.DUMMYFUNCTION("VLOOKUP(C398,IMPORTRANGE(""https://docs.google.com/spreadsheets/d/1rQ2O3to3MCxQ4eTnJ5b4WStW3zTBTYg21JZurI75aCM/edit?gid=1410613181#gid=1410613181"",""DATA_ABSEN_DES24""),41,0)"),0)</f>
        <v>0</v>
      </c>
      <c r="W398" s="16">
        <f t="shared" ca="1" si="385"/>
        <v>0</v>
      </c>
      <c r="X398" s="16">
        <v>0</v>
      </c>
      <c r="Y398" s="16">
        <f t="shared" ca="1" si="386"/>
        <v>4670597.7920000004</v>
      </c>
      <c r="Z398" s="21"/>
      <c r="AA398" s="21"/>
      <c r="AB398" s="21"/>
      <c r="AC398" s="21"/>
      <c r="AD398" s="21"/>
      <c r="AE398" s="16"/>
      <c r="AF398" s="16"/>
      <c r="AG398" s="16"/>
      <c r="AH398" s="16"/>
      <c r="AI398" s="16"/>
      <c r="AJ398" s="16"/>
      <c r="AK398" s="16"/>
      <c r="AL398" s="16"/>
      <c r="AM398" s="16"/>
      <c r="AN398" s="335">
        <f t="shared" ca="1" si="387"/>
        <v>4670597.7920000004</v>
      </c>
      <c r="AO398" s="20">
        <f t="shared" ca="1" si="388"/>
        <v>0</v>
      </c>
      <c r="AP398" s="20">
        <f t="shared" ca="1" si="389"/>
        <v>4670597.7920000004</v>
      </c>
      <c r="AQ398" s="20">
        <f t="shared" ca="1" si="390"/>
        <v>4670597.7920000004</v>
      </c>
      <c r="AR398" s="20">
        <f t="shared" ca="1" si="391"/>
        <v>4670600</v>
      </c>
      <c r="AS398" s="216"/>
      <c r="AT398" s="30" t="s">
        <v>9</v>
      </c>
      <c r="AU398" s="30" t="str">
        <f>VLOOKUP(AT398,TER!$R$2:$S$10,2,0)</f>
        <v>A</v>
      </c>
      <c r="AV398" s="20">
        <f t="shared" si="392"/>
        <v>3066580</v>
      </c>
      <c r="AW398" s="20">
        <f t="shared" ca="1" si="393"/>
        <v>1290000</v>
      </c>
      <c r="AX398" s="20">
        <f t="shared" ref="AX398:AY398" ca="1" si="462">W398</f>
        <v>0</v>
      </c>
      <c r="AY398" s="20">
        <f t="shared" si="462"/>
        <v>0</v>
      </c>
      <c r="AZ398" s="20">
        <f t="shared" si="395"/>
        <v>7359.7919999999995</v>
      </c>
      <c r="BA398" s="20">
        <f t="shared" si="396"/>
        <v>9199.74</v>
      </c>
      <c r="BB398" s="20">
        <f t="shared" si="397"/>
        <v>122663.2</v>
      </c>
      <c r="BC398" s="20">
        <f t="shared" ca="1" si="398"/>
        <v>4495802.7320000008</v>
      </c>
      <c r="BD398" s="37">
        <f ca="1">IF(AU398="C",VLOOKUP(BC398,TER!$J$4:$L$50,3,TRUE),IF(AU398="B",VLOOKUP(BC398,TER!$F$4:$H$50,3,TRUE),IF(AU398="A",VLOOKUP(BC398,TER!$B$4:$D$50,3,TRUE),"ERROR")))</f>
        <v>0</v>
      </c>
      <c r="BE398" s="20">
        <f t="shared" ca="1" si="399"/>
        <v>0</v>
      </c>
      <c r="BF398" s="216"/>
      <c r="BG398" s="216"/>
    </row>
    <row r="399" spans="1:59" ht="15.75" hidden="1" customHeight="1">
      <c r="A399" s="216"/>
      <c r="B399" s="27">
        <v>61</v>
      </c>
      <c r="C399" s="28" t="s">
        <v>769</v>
      </c>
      <c r="D399" s="29" t="s">
        <v>770</v>
      </c>
      <c r="E399" s="27" t="s">
        <v>57</v>
      </c>
      <c r="F399" s="28" t="s">
        <v>771</v>
      </c>
      <c r="G399" s="27" t="s">
        <v>31</v>
      </c>
      <c r="H399" s="332" t="s">
        <v>32</v>
      </c>
      <c r="I399" s="16">
        <f t="shared" si="380"/>
        <v>3066580</v>
      </c>
      <c r="J399" s="16">
        <v>191354.592</v>
      </c>
      <c r="K399" s="16">
        <v>122663.2</v>
      </c>
      <c r="L399" s="16">
        <v>200000</v>
      </c>
      <c r="M399" s="16">
        <f t="shared" si="451"/>
        <v>54500</v>
      </c>
      <c r="N399" s="21">
        <f ca="1">IFERROR(__xludf.DUMMYFUNCTION("VLOOKUP(C399,IMPORTRANGE(""https://docs.google.com/spreadsheets/d/1rQ2O3to3MCxQ4eTnJ5b4WStW3zTBTYg21JZurI75aCM/edit?gid=1410613181#gid=1410613181"",""DATA_ABSEN_DES24""),39,0)"),21)</f>
        <v>21</v>
      </c>
      <c r="O399" s="334">
        <f ca="1">IFERROR(__xludf.DUMMYFUNCTION("VLOOKUP(C399,IMPORTRANGE(""https://docs.google.com/spreadsheets/d/1rQ2O3to3MCxQ4eTnJ5b4WStW3zTBTYg21JZurI75aCM/edit?gid=1410613181#gid=1410613181"",""DATA_ABSEN_DES24""),40,0)"),20)</f>
        <v>20</v>
      </c>
      <c r="P399" s="16">
        <f t="shared" ca="1" si="381"/>
        <v>1344500</v>
      </c>
      <c r="Q399" s="16">
        <v>21</v>
      </c>
      <c r="R399" s="16">
        <f t="shared" si="382"/>
        <v>4725097.7920000004</v>
      </c>
      <c r="S399" s="16">
        <f t="shared" ca="1" si="383"/>
        <v>4725097.7920000004</v>
      </c>
      <c r="T399" s="16">
        <f t="shared" ca="1" si="384"/>
        <v>0</v>
      </c>
      <c r="U399" s="16">
        <v>100810</v>
      </c>
      <c r="V399" s="21">
        <f ca="1">IFERROR(__xludf.DUMMYFUNCTION("VLOOKUP(C399,IMPORTRANGE(""https://docs.google.com/spreadsheets/d/1rQ2O3to3MCxQ4eTnJ5b4WStW3zTBTYg21JZurI75aCM/edit?gid=1410613181#gid=1410613181"",""DATA_ABSEN_DES24""),41,0)"),0)</f>
        <v>0</v>
      </c>
      <c r="W399" s="16">
        <f t="shared" ca="1" si="385"/>
        <v>0</v>
      </c>
      <c r="X399" s="16">
        <v>0</v>
      </c>
      <c r="Y399" s="16">
        <f t="shared" ca="1" si="386"/>
        <v>4725097.7920000004</v>
      </c>
      <c r="Z399" s="21"/>
      <c r="AA399" s="21"/>
      <c r="AB399" s="21"/>
      <c r="AC399" s="21"/>
      <c r="AD399" s="21"/>
      <c r="AE399" s="16"/>
      <c r="AF399" s="16"/>
      <c r="AG399" s="16"/>
      <c r="AH399" s="16"/>
      <c r="AI399" s="16"/>
      <c r="AJ399" s="16"/>
      <c r="AK399" s="16"/>
      <c r="AL399" s="16"/>
      <c r="AM399" s="16"/>
      <c r="AN399" s="335">
        <f t="shared" ca="1" si="387"/>
        <v>4725097.7920000004</v>
      </c>
      <c r="AO399" s="20">
        <f t="shared" ca="1" si="388"/>
        <v>0</v>
      </c>
      <c r="AP399" s="20">
        <f t="shared" ca="1" si="389"/>
        <v>4725097.7920000004</v>
      </c>
      <c r="AQ399" s="20">
        <f t="shared" ca="1" si="390"/>
        <v>4725097.7920000004</v>
      </c>
      <c r="AR399" s="20">
        <f t="shared" ca="1" si="391"/>
        <v>4725100</v>
      </c>
      <c r="AS399" s="216"/>
      <c r="AT399" s="30" t="s">
        <v>18</v>
      </c>
      <c r="AU399" s="30" t="str">
        <f>VLOOKUP(AT399,TER!$R$2:$S$10,2,0)</f>
        <v>B</v>
      </c>
      <c r="AV399" s="20">
        <f t="shared" si="392"/>
        <v>3066580</v>
      </c>
      <c r="AW399" s="20">
        <f t="shared" ca="1" si="393"/>
        <v>1344500</v>
      </c>
      <c r="AX399" s="20">
        <f t="shared" ref="AX399:AY399" ca="1" si="463">W399</f>
        <v>0</v>
      </c>
      <c r="AY399" s="20">
        <f t="shared" si="463"/>
        <v>0</v>
      </c>
      <c r="AZ399" s="20">
        <f t="shared" si="395"/>
        <v>7359.7919999999995</v>
      </c>
      <c r="BA399" s="20">
        <f t="shared" si="396"/>
        <v>9199.74</v>
      </c>
      <c r="BB399" s="20">
        <f t="shared" si="397"/>
        <v>122663.2</v>
      </c>
      <c r="BC399" s="20">
        <f t="shared" ca="1" si="398"/>
        <v>4550302.7320000008</v>
      </c>
      <c r="BD399" s="37">
        <f ca="1">IF(AU399="C",VLOOKUP(BC399,TER!$J$4:$L$50,3,TRUE),IF(AU399="B",VLOOKUP(BC399,TER!$F$4:$H$50,3,TRUE),IF(AU399="A",VLOOKUP(BC399,TER!$B$4:$D$50,3,TRUE),"ERROR")))</f>
        <v>0</v>
      </c>
      <c r="BE399" s="20">
        <f t="shared" ca="1" si="399"/>
        <v>0</v>
      </c>
      <c r="BF399" s="216"/>
      <c r="BG399" s="216"/>
    </row>
    <row r="400" spans="1:59" ht="15.75" hidden="1" customHeight="1">
      <c r="A400" s="216"/>
      <c r="B400" s="27">
        <v>62</v>
      </c>
      <c r="C400" s="28" t="s">
        <v>772</v>
      </c>
      <c r="D400" s="29" t="s">
        <v>773</v>
      </c>
      <c r="E400" s="27" t="s">
        <v>57</v>
      </c>
      <c r="F400" s="28" t="s">
        <v>774</v>
      </c>
      <c r="G400" s="27" t="s">
        <v>31</v>
      </c>
      <c r="H400" s="332" t="s">
        <v>32</v>
      </c>
      <c r="I400" s="16">
        <f t="shared" si="380"/>
        <v>3066580</v>
      </c>
      <c r="J400" s="16">
        <v>191354.592</v>
      </c>
      <c r="K400" s="16">
        <v>122663.2</v>
      </c>
      <c r="L400" s="16">
        <v>200000</v>
      </c>
      <c r="M400" s="16">
        <f t="shared" si="451"/>
        <v>54500</v>
      </c>
      <c r="N400" s="21">
        <f ca="1">IFERROR(__xludf.DUMMYFUNCTION("VLOOKUP(C400,IMPORTRANGE(""https://docs.google.com/spreadsheets/d/1rQ2O3to3MCxQ4eTnJ5b4WStW3zTBTYg21JZurI75aCM/edit?gid=1410613181#gid=1410613181"",""DATA_ABSEN_DES24""),39,0)"),21)</f>
        <v>21</v>
      </c>
      <c r="O400" s="334">
        <f ca="1">IFERROR(__xludf.DUMMYFUNCTION("VLOOKUP(C400,IMPORTRANGE(""https://docs.google.com/spreadsheets/d/1rQ2O3to3MCxQ4eTnJ5b4WStW3zTBTYg21JZurI75aCM/edit?gid=1410613181#gid=1410613181"",""DATA_ABSEN_DES24""),40,0)"),20)</f>
        <v>20</v>
      </c>
      <c r="P400" s="16">
        <f t="shared" ca="1" si="381"/>
        <v>1344500</v>
      </c>
      <c r="Q400" s="16">
        <v>21</v>
      </c>
      <c r="R400" s="16">
        <f t="shared" si="382"/>
        <v>4725097.7920000004</v>
      </c>
      <c r="S400" s="16">
        <f t="shared" ca="1" si="383"/>
        <v>4725097.7920000004</v>
      </c>
      <c r="T400" s="16">
        <f t="shared" ca="1" si="384"/>
        <v>0</v>
      </c>
      <c r="U400" s="16">
        <v>100810</v>
      </c>
      <c r="V400" s="21">
        <f ca="1">IFERROR(__xludf.DUMMYFUNCTION("VLOOKUP(C400,IMPORTRANGE(""https://docs.google.com/spreadsheets/d/1rQ2O3to3MCxQ4eTnJ5b4WStW3zTBTYg21JZurI75aCM/edit?gid=1410613181#gid=1410613181"",""DATA_ABSEN_DES24""),41,0)"),0)</f>
        <v>0</v>
      </c>
      <c r="W400" s="16">
        <f t="shared" ca="1" si="385"/>
        <v>0</v>
      </c>
      <c r="X400" s="16">
        <v>0</v>
      </c>
      <c r="Y400" s="16">
        <f t="shared" ca="1" si="386"/>
        <v>4725097.7920000004</v>
      </c>
      <c r="Z400" s="21"/>
      <c r="AA400" s="21"/>
      <c r="AB400" s="21"/>
      <c r="AC400" s="21"/>
      <c r="AD400" s="21"/>
      <c r="AE400" s="16"/>
      <c r="AF400" s="16"/>
      <c r="AG400" s="16"/>
      <c r="AH400" s="16"/>
      <c r="AI400" s="16"/>
      <c r="AJ400" s="16"/>
      <c r="AK400" s="16"/>
      <c r="AL400" s="16"/>
      <c r="AM400" s="16"/>
      <c r="AN400" s="335">
        <f t="shared" ca="1" si="387"/>
        <v>4725097.7920000004</v>
      </c>
      <c r="AO400" s="20">
        <f t="shared" ca="1" si="388"/>
        <v>0</v>
      </c>
      <c r="AP400" s="20">
        <f t="shared" ca="1" si="389"/>
        <v>4725097.7920000004</v>
      </c>
      <c r="AQ400" s="20">
        <f t="shared" ca="1" si="390"/>
        <v>4725097.7920000004</v>
      </c>
      <c r="AR400" s="20">
        <f t="shared" ca="1" si="391"/>
        <v>4725100</v>
      </c>
      <c r="AS400" s="216"/>
      <c r="AT400" s="30" t="s">
        <v>9</v>
      </c>
      <c r="AU400" s="30" t="str">
        <f>VLOOKUP(AT400,TER!$R$2:$S$10,2,0)</f>
        <v>A</v>
      </c>
      <c r="AV400" s="20">
        <f t="shared" si="392"/>
        <v>3066580</v>
      </c>
      <c r="AW400" s="20">
        <f t="shared" ca="1" si="393"/>
        <v>1344500</v>
      </c>
      <c r="AX400" s="20">
        <f t="shared" ref="AX400:AY400" ca="1" si="464">W400</f>
        <v>0</v>
      </c>
      <c r="AY400" s="20">
        <f t="shared" si="464"/>
        <v>0</v>
      </c>
      <c r="AZ400" s="20">
        <f t="shared" si="395"/>
        <v>7359.7919999999995</v>
      </c>
      <c r="BA400" s="20">
        <f t="shared" si="396"/>
        <v>9199.74</v>
      </c>
      <c r="BB400" s="20">
        <f t="shared" si="397"/>
        <v>122663.2</v>
      </c>
      <c r="BC400" s="20">
        <f t="shared" ca="1" si="398"/>
        <v>4550302.7320000008</v>
      </c>
      <c r="BD400" s="37">
        <f ca="1">IF(AU400="C",VLOOKUP(BC400,TER!$J$4:$L$50,3,TRUE),IF(AU400="B",VLOOKUP(BC400,TER!$F$4:$H$50,3,TRUE),IF(AU400="A",VLOOKUP(BC400,TER!$B$4:$D$50,3,TRUE),"ERROR")))</f>
        <v>0</v>
      </c>
      <c r="BE400" s="20">
        <f t="shared" ca="1" si="399"/>
        <v>0</v>
      </c>
      <c r="BF400" s="216"/>
      <c r="BG400" s="216"/>
    </row>
    <row r="401" spans="1:59" ht="15.75" hidden="1" customHeight="1">
      <c r="A401" s="216"/>
      <c r="B401" s="27">
        <v>63</v>
      </c>
      <c r="C401" s="28" t="s">
        <v>775</v>
      </c>
      <c r="D401" s="29" t="s">
        <v>776</v>
      </c>
      <c r="E401" s="27" t="s">
        <v>57</v>
      </c>
      <c r="F401" s="28" t="s">
        <v>777</v>
      </c>
      <c r="G401" s="27" t="s">
        <v>31</v>
      </c>
      <c r="H401" s="332" t="s">
        <v>32</v>
      </c>
      <c r="I401" s="16">
        <f t="shared" si="380"/>
        <v>3066580</v>
      </c>
      <c r="J401" s="16">
        <v>191354.592</v>
      </c>
      <c r="K401" s="16">
        <v>122663.2</v>
      </c>
      <c r="L401" s="16">
        <v>200000</v>
      </c>
      <c r="M401" s="16">
        <f t="shared" si="451"/>
        <v>54500</v>
      </c>
      <c r="N401" s="21">
        <f ca="1">IFERROR(__xludf.DUMMYFUNCTION("VLOOKUP(C401,IMPORTRANGE(""https://docs.google.com/spreadsheets/d/1rQ2O3to3MCxQ4eTnJ5b4WStW3zTBTYg21JZurI75aCM/edit?gid=1410613181#gid=1410613181"",""DATA_ABSEN_DES24""),39,0)"),20)</f>
        <v>20</v>
      </c>
      <c r="O401" s="334">
        <f ca="1">IFERROR(__xludf.DUMMYFUNCTION("VLOOKUP(C401,IMPORTRANGE(""https://docs.google.com/spreadsheets/d/1rQ2O3to3MCxQ4eTnJ5b4WStW3zTBTYg21JZurI75aCM/edit?gid=1410613181#gid=1410613181"",""DATA_ABSEN_DES24""),40,0)"),20)</f>
        <v>20</v>
      </c>
      <c r="P401" s="16">
        <f t="shared" ca="1" si="381"/>
        <v>1290000</v>
      </c>
      <c r="Q401" s="16">
        <v>21</v>
      </c>
      <c r="R401" s="16">
        <f t="shared" si="382"/>
        <v>4725097.7920000004</v>
      </c>
      <c r="S401" s="16">
        <f t="shared" ca="1" si="383"/>
        <v>4670597.7920000004</v>
      </c>
      <c r="T401" s="16">
        <f t="shared" ca="1" si="384"/>
        <v>0</v>
      </c>
      <c r="U401" s="16">
        <v>100810</v>
      </c>
      <c r="V401" s="21">
        <f ca="1">IFERROR(__xludf.DUMMYFUNCTION("VLOOKUP(C401,IMPORTRANGE(""https://docs.google.com/spreadsheets/d/1rQ2O3to3MCxQ4eTnJ5b4WStW3zTBTYg21JZurI75aCM/edit?gid=1410613181#gid=1410613181"",""DATA_ABSEN_DES24""),41,0)"),0)</f>
        <v>0</v>
      </c>
      <c r="W401" s="16">
        <f t="shared" ca="1" si="385"/>
        <v>0</v>
      </c>
      <c r="X401" s="16">
        <v>0</v>
      </c>
      <c r="Y401" s="16">
        <f t="shared" ca="1" si="386"/>
        <v>4670597.7920000004</v>
      </c>
      <c r="Z401" s="21"/>
      <c r="AA401" s="21"/>
      <c r="AB401" s="21"/>
      <c r="AC401" s="21"/>
      <c r="AD401" s="21"/>
      <c r="AE401" s="16"/>
      <c r="AF401" s="16"/>
      <c r="AG401" s="16"/>
      <c r="AH401" s="16"/>
      <c r="AI401" s="16"/>
      <c r="AJ401" s="16"/>
      <c r="AK401" s="16"/>
      <c r="AL401" s="16"/>
      <c r="AM401" s="16"/>
      <c r="AN401" s="335">
        <f t="shared" ca="1" si="387"/>
        <v>4670597.7920000004</v>
      </c>
      <c r="AO401" s="20">
        <f t="shared" ca="1" si="388"/>
        <v>0</v>
      </c>
      <c r="AP401" s="20">
        <f t="shared" ca="1" si="389"/>
        <v>4670597.7920000004</v>
      </c>
      <c r="AQ401" s="20">
        <f t="shared" ca="1" si="390"/>
        <v>4670597.7920000004</v>
      </c>
      <c r="AR401" s="20">
        <f t="shared" ca="1" si="391"/>
        <v>4670600</v>
      </c>
      <c r="AS401" s="216"/>
      <c r="AT401" s="30" t="s">
        <v>9</v>
      </c>
      <c r="AU401" s="30" t="str">
        <f>VLOOKUP(AT401,TER!$R$2:$S$10,2,0)</f>
        <v>A</v>
      </c>
      <c r="AV401" s="20">
        <f t="shared" si="392"/>
        <v>3066580</v>
      </c>
      <c r="AW401" s="20">
        <f t="shared" ca="1" si="393"/>
        <v>1290000</v>
      </c>
      <c r="AX401" s="20">
        <f t="shared" ref="AX401:AY401" ca="1" si="465">W401</f>
        <v>0</v>
      </c>
      <c r="AY401" s="20">
        <f t="shared" si="465"/>
        <v>0</v>
      </c>
      <c r="AZ401" s="20">
        <f t="shared" si="395"/>
        <v>7359.7919999999995</v>
      </c>
      <c r="BA401" s="20">
        <f t="shared" si="396"/>
        <v>9199.74</v>
      </c>
      <c r="BB401" s="20">
        <f t="shared" si="397"/>
        <v>122663.2</v>
      </c>
      <c r="BC401" s="20">
        <f t="shared" ca="1" si="398"/>
        <v>4495802.7320000008</v>
      </c>
      <c r="BD401" s="37">
        <f ca="1">IF(AU401="C",VLOOKUP(BC401,TER!$J$4:$L$50,3,TRUE),IF(AU401="B",VLOOKUP(BC401,TER!$F$4:$H$50,3,TRUE),IF(AU401="A",VLOOKUP(BC401,TER!$B$4:$D$50,3,TRUE),"ERROR")))</f>
        <v>0</v>
      </c>
      <c r="BE401" s="20">
        <f t="shared" ca="1" si="399"/>
        <v>0</v>
      </c>
      <c r="BF401" s="216"/>
      <c r="BG401" s="216"/>
    </row>
    <row r="402" spans="1:59" ht="15.75" hidden="1" customHeight="1">
      <c r="A402" s="216"/>
      <c r="B402" s="27">
        <v>64</v>
      </c>
      <c r="C402" s="28" t="s">
        <v>778</v>
      </c>
      <c r="D402" s="29" t="s">
        <v>779</v>
      </c>
      <c r="E402" s="27" t="s">
        <v>57</v>
      </c>
      <c r="F402" s="28" t="s">
        <v>780</v>
      </c>
      <c r="G402" s="27" t="s">
        <v>31</v>
      </c>
      <c r="H402" s="332" t="s">
        <v>32</v>
      </c>
      <c r="I402" s="16">
        <f t="shared" si="380"/>
        <v>3066580</v>
      </c>
      <c r="J402" s="16">
        <v>191354.592</v>
      </c>
      <c r="K402" s="16">
        <v>122663.2</v>
      </c>
      <c r="L402" s="16">
        <v>200000</v>
      </c>
      <c r="M402" s="16">
        <f t="shared" si="451"/>
        <v>54500</v>
      </c>
      <c r="N402" s="21">
        <f ca="1">IFERROR(__xludf.DUMMYFUNCTION("VLOOKUP(C402,IMPORTRANGE(""https://docs.google.com/spreadsheets/d/1rQ2O3to3MCxQ4eTnJ5b4WStW3zTBTYg21JZurI75aCM/edit?gid=1410613181#gid=1410613181"",""DATA_ABSEN_DES24""),39,0)"),21)</f>
        <v>21</v>
      </c>
      <c r="O402" s="334">
        <f ca="1">IFERROR(__xludf.DUMMYFUNCTION("VLOOKUP(C402,IMPORTRANGE(""https://docs.google.com/spreadsheets/d/1rQ2O3to3MCxQ4eTnJ5b4WStW3zTBTYg21JZurI75aCM/edit?gid=1410613181#gid=1410613181"",""DATA_ABSEN_DES24""),40,0)"),20)</f>
        <v>20</v>
      </c>
      <c r="P402" s="16">
        <f t="shared" ca="1" si="381"/>
        <v>1344500</v>
      </c>
      <c r="Q402" s="16">
        <v>21</v>
      </c>
      <c r="R402" s="16">
        <f t="shared" si="382"/>
        <v>4725097.7920000004</v>
      </c>
      <c r="S402" s="16">
        <f t="shared" ca="1" si="383"/>
        <v>4725097.7920000004</v>
      </c>
      <c r="T402" s="16">
        <f t="shared" ca="1" si="384"/>
        <v>0</v>
      </c>
      <c r="U402" s="16">
        <v>100810</v>
      </c>
      <c r="V402" s="21">
        <f ca="1">IFERROR(__xludf.DUMMYFUNCTION("VLOOKUP(C402,IMPORTRANGE(""https://docs.google.com/spreadsheets/d/1rQ2O3to3MCxQ4eTnJ5b4WStW3zTBTYg21JZurI75aCM/edit?gid=1410613181#gid=1410613181"",""DATA_ABSEN_DES24""),41,0)"),0)</f>
        <v>0</v>
      </c>
      <c r="W402" s="16">
        <f t="shared" ca="1" si="385"/>
        <v>0</v>
      </c>
      <c r="X402" s="16">
        <v>0</v>
      </c>
      <c r="Y402" s="16">
        <f t="shared" ca="1" si="386"/>
        <v>4725097.7920000004</v>
      </c>
      <c r="Z402" s="21"/>
      <c r="AA402" s="21"/>
      <c r="AB402" s="21"/>
      <c r="AC402" s="21"/>
      <c r="AD402" s="21"/>
      <c r="AE402" s="16"/>
      <c r="AF402" s="16"/>
      <c r="AG402" s="16"/>
      <c r="AH402" s="16"/>
      <c r="AI402" s="16"/>
      <c r="AJ402" s="16"/>
      <c r="AK402" s="16"/>
      <c r="AL402" s="16"/>
      <c r="AM402" s="16"/>
      <c r="AN402" s="335">
        <f t="shared" ca="1" si="387"/>
        <v>4725097.7920000004</v>
      </c>
      <c r="AO402" s="20">
        <f t="shared" ca="1" si="388"/>
        <v>0</v>
      </c>
      <c r="AP402" s="20">
        <f t="shared" ca="1" si="389"/>
        <v>4725097.7920000004</v>
      </c>
      <c r="AQ402" s="20">
        <f t="shared" ca="1" si="390"/>
        <v>4725097.7920000004</v>
      </c>
      <c r="AR402" s="20">
        <f t="shared" ca="1" si="391"/>
        <v>4725100</v>
      </c>
      <c r="AS402" s="216"/>
      <c r="AT402" s="30" t="s">
        <v>8</v>
      </c>
      <c r="AU402" s="30" t="str">
        <f>VLOOKUP(AT402,TER!$R$2:$S$10,2,0)</f>
        <v>C</v>
      </c>
      <c r="AV402" s="20">
        <f t="shared" si="392"/>
        <v>3066580</v>
      </c>
      <c r="AW402" s="20">
        <f t="shared" ca="1" si="393"/>
        <v>1344500</v>
      </c>
      <c r="AX402" s="20">
        <f t="shared" ref="AX402:AY402" ca="1" si="466">W402</f>
        <v>0</v>
      </c>
      <c r="AY402" s="20">
        <f t="shared" si="466"/>
        <v>0</v>
      </c>
      <c r="AZ402" s="20">
        <f t="shared" si="395"/>
        <v>7359.7919999999995</v>
      </c>
      <c r="BA402" s="20">
        <f t="shared" si="396"/>
        <v>9199.74</v>
      </c>
      <c r="BB402" s="20">
        <f t="shared" si="397"/>
        <v>122663.2</v>
      </c>
      <c r="BC402" s="20">
        <f t="shared" ca="1" si="398"/>
        <v>4550302.7320000008</v>
      </c>
      <c r="BD402" s="37">
        <f ca="1">IF(AU402="C",VLOOKUP(BC402,TER!$J$4:$L$50,3,TRUE),IF(AU402="B",VLOOKUP(BC402,TER!$F$4:$H$50,3,TRUE),IF(AU402="A",VLOOKUP(BC402,TER!$B$4:$D$50,3,TRUE),"ERROR")))</f>
        <v>0</v>
      </c>
      <c r="BE402" s="20">
        <f t="shared" ca="1" si="399"/>
        <v>0</v>
      </c>
      <c r="BF402" s="216"/>
      <c r="BG402" s="216"/>
    </row>
    <row r="403" spans="1:59" ht="15.75" hidden="1" customHeight="1">
      <c r="A403" s="216"/>
      <c r="B403" s="27">
        <v>65</v>
      </c>
      <c r="C403" s="28" t="s">
        <v>781</v>
      </c>
      <c r="D403" s="29" t="s">
        <v>782</v>
      </c>
      <c r="E403" s="27" t="s">
        <v>57</v>
      </c>
      <c r="F403" s="28" t="s">
        <v>783</v>
      </c>
      <c r="G403" s="27" t="s">
        <v>31</v>
      </c>
      <c r="H403" s="332" t="s">
        <v>32</v>
      </c>
      <c r="I403" s="16">
        <f t="shared" si="380"/>
        <v>3066580</v>
      </c>
      <c r="J403" s="16">
        <v>191354.592</v>
      </c>
      <c r="K403" s="16">
        <v>122663.2</v>
      </c>
      <c r="L403" s="16">
        <v>200000</v>
      </c>
      <c r="M403" s="16">
        <f t="shared" si="451"/>
        <v>54500</v>
      </c>
      <c r="N403" s="21">
        <f ca="1">IFERROR(__xludf.DUMMYFUNCTION("VLOOKUP(C403,IMPORTRANGE(""https://docs.google.com/spreadsheets/d/1rQ2O3to3MCxQ4eTnJ5b4WStW3zTBTYg21JZurI75aCM/edit?gid=1410613181#gid=1410613181"",""DATA_ABSEN_DES24""),39,0)"),21)</f>
        <v>21</v>
      </c>
      <c r="O403" s="334">
        <f ca="1">IFERROR(__xludf.DUMMYFUNCTION("VLOOKUP(C403,IMPORTRANGE(""https://docs.google.com/spreadsheets/d/1rQ2O3to3MCxQ4eTnJ5b4WStW3zTBTYg21JZurI75aCM/edit?gid=1410613181#gid=1410613181"",""DATA_ABSEN_DES24""),40,0)"),20)</f>
        <v>20</v>
      </c>
      <c r="P403" s="16">
        <f t="shared" ca="1" si="381"/>
        <v>1344500</v>
      </c>
      <c r="Q403" s="16">
        <v>21</v>
      </c>
      <c r="R403" s="16">
        <f t="shared" si="382"/>
        <v>4725097.7920000004</v>
      </c>
      <c r="S403" s="16">
        <f t="shared" ca="1" si="383"/>
        <v>4725097.7920000004</v>
      </c>
      <c r="T403" s="16">
        <f t="shared" ca="1" si="384"/>
        <v>0</v>
      </c>
      <c r="U403" s="16">
        <v>100810</v>
      </c>
      <c r="V403" s="21">
        <f ca="1">IFERROR(__xludf.DUMMYFUNCTION("VLOOKUP(C403,IMPORTRANGE(""https://docs.google.com/spreadsheets/d/1rQ2O3to3MCxQ4eTnJ5b4WStW3zTBTYg21JZurI75aCM/edit?gid=1410613181#gid=1410613181"",""DATA_ABSEN_DES24""),41,0)"),0)</f>
        <v>0</v>
      </c>
      <c r="W403" s="16">
        <f t="shared" ca="1" si="385"/>
        <v>0</v>
      </c>
      <c r="X403" s="16">
        <v>0</v>
      </c>
      <c r="Y403" s="16">
        <f t="shared" ca="1" si="386"/>
        <v>4725097.7920000004</v>
      </c>
      <c r="Z403" s="21"/>
      <c r="AA403" s="21"/>
      <c r="AB403" s="21"/>
      <c r="AC403" s="21"/>
      <c r="AD403" s="21"/>
      <c r="AE403" s="16"/>
      <c r="AF403" s="16"/>
      <c r="AG403" s="16"/>
      <c r="AH403" s="16"/>
      <c r="AI403" s="16"/>
      <c r="AJ403" s="16"/>
      <c r="AK403" s="16"/>
      <c r="AL403" s="16"/>
      <c r="AM403" s="16"/>
      <c r="AN403" s="335">
        <f t="shared" ca="1" si="387"/>
        <v>4725097.7920000004</v>
      </c>
      <c r="AO403" s="20">
        <f t="shared" ca="1" si="388"/>
        <v>0</v>
      </c>
      <c r="AP403" s="20">
        <f t="shared" ca="1" si="389"/>
        <v>4725097.7920000004</v>
      </c>
      <c r="AQ403" s="20">
        <f t="shared" ca="1" si="390"/>
        <v>4725097.7920000004</v>
      </c>
      <c r="AR403" s="20">
        <f t="shared" ca="1" si="391"/>
        <v>4725100</v>
      </c>
      <c r="AS403" s="216"/>
      <c r="AT403" s="30" t="s">
        <v>9</v>
      </c>
      <c r="AU403" s="30" t="str">
        <f>VLOOKUP(AT403,TER!$R$2:$S$10,2,0)</f>
        <v>A</v>
      </c>
      <c r="AV403" s="20">
        <f t="shared" si="392"/>
        <v>3066580</v>
      </c>
      <c r="AW403" s="20">
        <f t="shared" ca="1" si="393"/>
        <v>1344500</v>
      </c>
      <c r="AX403" s="20">
        <f t="shared" ref="AX403:AY403" ca="1" si="467">W403</f>
        <v>0</v>
      </c>
      <c r="AY403" s="20">
        <f t="shared" si="467"/>
        <v>0</v>
      </c>
      <c r="AZ403" s="20">
        <f t="shared" si="395"/>
        <v>7359.7919999999995</v>
      </c>
      <c r="BA403" s="20">
        <f t="shared" si="396"/>
        <v>9199.74</v>
      </c>
      <c r="BB403" s="20">
        <f t="shared" si="397"/>
        <v>122663.2</v>
      </c>
      <c r="BC403" s="20">
        <f t="shared" ca="1" si="398"/>
        <v>4550302.7320000008</v>
      </c>
      <c r="BD403" s="37">
        <f ca="1">IF(AU403="C",VLOOKUP(BC403,TER!$J$4:$L$50,3,TRUE),IF(AU403="B",VLOOKUP(BC403,TER!$F$4:$H$50,3,TRUE),IF(AU403="A",VLOOKUP(BC403,TER!$B$4:$D$50,3,TRUE),"ERROR")))</f>
        <v>0</v>
      </c>
      <c r="BE403" s="20">
        <f t="shared" ca="1" si="399"/>
        <v>0</v>
      </c>
      <c r="BF403" s="216"/>
      <c r="BG403" s="216"/>
    </row>
    <row r="404" spans="1:59" ht="15.75" hidden="1" customHeight="1">
      <c r="A404" s="216"/>
      <c r="B404" s="27">
        <v>66</v>
      </c>
      <c r="C404" s="28" t="s">
        <v>784</v>
      </c>
      <c r="D404" s="29" t="s">
        <v>785</v>
      </c>
      <c r="E404" s="27" t="s">
        <v>57</v>
      </c>
      <c r="F404" s="28" t="s">
        <v>786</v>
      </c>
      <c r="G404" s="27" t="s">
        <v>31</v>
      </c>
      <c r="H404" s="332" t="s">
        <v>32</v>
      </c>
      <c r="I404" s="16">
        <f t="shared" si="380"/>
        <v>3066580</v>
      </c>
      <c r="J404" s="16">
        <v>191354.592</v>
      </c>
      <c r="K404" s="16">
        <v>122663.2</v>
      </c>
      <c r="L404" s="16">
        <v>200000</v>
      </c>
      <c r="M404" s="16">
        <f t="shared" si="451"/>
        <v>54500</v>
      </c>
      <c r="N404" s="21">
        <f ca="1">IFERROR(__xludf.DUMMYFUNCTION("VLOOKUP(C404,IMPORTRANGE(""https://docs.google.com/spreadsheets/d/1rQ2O3to3MCxQ4eTnJ5b4WStW3zTBTYg21JZurI75aCM/edit?gid=1410613181#gid=1410613181"",""DATA_ABSEN_DES24""),39,0)"),20)</f>
        <v>20</v>
      </c>
      <c r="O404" s="334">
        <f ca="1">IFERROR(__xludf.DUMMYFUNCTION("VLOOKUP(C404,IMPORTRANGE(""https://docs.google.com/spreadsheets/d/1rQ2O3to3MCxQ4eTnJ5b4WStW3zTBTYg21JZurI75aCM/edit?gid=1410613181#gid=1410613181"",""DATA_ABSEN_DES24""),40,0)"),20)</f>
        <v>20</v>
      </c>
      <c r="P404" s="16">
        <f t="shared" ca="1" si="381"/>
        <v>1290000</v>
      </c>
      <c r="Q404" s="16">
        <v>21</v>
      </c>
      <c r="R404" s="16">
        <f t="shared" si="382"/>
        <v>4725097.7920000004</v>
      </c>
      <c r="S404" s="16">
        <f t="shared" ca="1" si="383"/>
        <v>4670597.7920000004</v>
      </c>
      <c r="T404" s="16">
        <f t="shared" ca="1" si="384"/>
        <v>0</v>
      </c>
      <c r="U404" s="16">
        <v>100810</v>
      </c>
      <c r="V404" s="21">
        <f ca="1">IFERROR(__xludf.DUMMYFUNCTION("VLOOKUP(C404,IMPORTRANGE(""https://docs.google.com/spreadsheets/d/1rQ2O3to3MCxQ4eTnJ5b4WStW3zTBTYg21JZurI75aCM/edit?gid=1410613181#gid=1410613181"",""DATA_ABSEN_DES24""),41,0)"),0)</f>
        <v>0</v>
      </c>
      <c r="W404" s="16">
        <f t="shared" ca="1" si="385"/>
        <v>0</v>
      </c>
      <c r="X404" s="16">
        <v>0</v>
      </c>
      <c r="Y404" s="16">
        <f t="shared" ca="1" si="386"/>
        <v>4670597.7920000004</v>
      </c>
      <c r="Z404" s="21"/>
      <c r="AA404" s="21"/>
      <c r="AB404" s="21"/>
      <c r="AC404" s="21"/>
      <c r="AD404" s="21"/>
      <c r="AE404" s="16"/>
      <c r="AF404" s="16"/>
      <c r="AG404" s="16"/>
      <c r="AH404" s="16"/>
      <c r="AI404" s="16"/>
      <c r="AJ404" s="16"/>
      <c r="AK404" s="16"/>
      <c r="AL404" s="16"/>
      <c r="AM404" s="16"/>
      <c r="AN404" s="335">
        <f t="shared" ca="1" si="387"/>
        <v>4670597.7920000004</v>
      </c>
      <c r="AO404" s="20">
        <f t="shared" ca="1" si="388"/>
        <v>0</v>
      </c>
      <c r="AP404" s="20">
        <f t="shared" ca="1" si="389"/>
        <v>4670597.7920000004</v>
      </c>
      <c r="AQ404" s="20">
        <f t="shared" ca="1" si="390"/>
        <v>4670597.7920000004</v>
      </c>
      <c r="AR404" s="20">
        <f t="shared" ca="1" si="391"/>
        <v>4670600</v>
      </c>
      <c r="AS404" s="216"/>
      <c r="AT404" s="30" t="s">
        <v>9</v>
      </c>
      <c r="AU404" s="30" t="str">
        <f>VLOOKUP(AT404,TER!$R$2:$S$10,2,0)</f>
        <v>A</v>
      </c>
      <c r="AV404" s="20">
        <f t="shared" si="392"/>
        <v>3066580</v>
      </c>
      <c r="AW404" s="20">
        <f t="shared" ca="1" si="393"/>
        <v>1290000</v>
      </c>
      <c r="AX404" s="20">
        <f t="shared" ref="AX404:AY404" ca="1" si="468">W404</f>
        <v>0</v>
      </c>
      <c r="AY404" s="20">
        <f t="shared" si="468"/>
        <v>0</v>
      </c>
      <c r="AZ404" s="20">
        <f t="shared" si="395"/>
        <v>7359.7919999999995</v>
      </c>
      <c r="BA404" s="20">
        <f t="shared" si="396"/>
        <v>9199.74</v>
      </c>
      <c r="BB404" s="20">
        <f t="shared" si="397"/>
        <v>122663.2</v>
      </c>
      <c r="BC404" s="20">
        <f t="shared" ca="1" si="398"/>
        <v>4495802.7320000008</v>
      </c>
      <c r="BD404" s="37">
        <f ca="1">IF(AU404="C",VLOOKUP(BC404,TER!$J$4:$L$50,3,TRUE),IF(AU404="B",VLOOKUP(BC404,TER!$F$4:$H$50,3,TRUE),IF(AU404="A",VLOOKUP(BC404,TER!$B$4:$D$50,3,TRUE),"ERROR")))</f>
        <v>0</v>
      </c>
      <c r="BE404" s="20">
        <f t="shared" ca="1" si="399"/>
        <v>0</v>
      </c>
      <c r="BF404" s="216"/>
      <c r="BG404" s="216"/>
    </row>
    <row r="405" spans="1:59" ht="15.75" hidden="1" customHeight="1">
      <c r="A405" s="216"/>
      <c r="B405" s="27">
        <v>67</v>
      </c>
      <c r="C405" s="28" t="s">
        <v>787</v>
      </c>
      <c r="D405" s="29" t="s">
        <v>788</v>
      </c>
      <c r="E405" s="27" t="s">
        <v>57</v>
      </c>
      <c r="F405" s="28" t="s">
        <v>789</v>
      </c>
      <c r="G405" s="27" t="s">
        <v>31</v>
      </c>
      <c r="H405" s="332" t="s">
        <v>32</v>
      </c>
      <c r="I405" s="16">
        <f t="shared" si="380"/>
        <v>3066580</v>
      </c>
      <c r="J405" s="16">
        <v>191354.592</v>
      </c>
      <c r="K405" s="16">
        <v>122663.2</v>
      </c>
      <c r="L405" s="16">
        <v>200000</v>
      </c>
      <c r="M405" s="16">
        <f t="shared" si="451"/>
        <v>54500</v>
      </c>
      <c r="N405" s="21">
        <f ca="1">IFERROR(__xludf.DUMMYFUNCTION("VLOOKUP(C405,IMPORTRANGE(""https://docs.google.com/spreadsheets/d/1rQ2O3to3MCxQ4eTnJ5b4WStW3zTBTYg21JZurI75aCM/edit?gid=1410613181#gid=1410613181"",""DATA_ABSEN_DES24""),39,0)"),20)</f>
        <v>20</v>
      </c>
      <c r="O405" s="334">
        <f ca="1">IFERROR(__xludf.DUMMYFUNCTION("VLOOKUP(C405,IMPORTRANGE(""https://docs.google.com/spreadsheets/d/1rQ2O3to3MCxQ4eTnJ5b4WStW3zTBTYg21JZurI75aCM/edit?gid=1410613181#gid=1410613181"",""DATA_ABSEN_DES24""),40,0)"),20)</f>
        <v>20</v>
      </c>
      <c r="P405" s="16">
        <f t="shared" ca="1" si="381"/>
        <v>1290000</v>
      </c>
      <c r="Q405" s="16">
        <v>21</v>
      </c>
      <c r="R405" s="16">
        <f t="shared" si="382"/>
        <v>4725097.7920000004</v>
      </c>
      <c r="S405" s="16">
        <f t="shared" ca="1" si="383"/>
        <v>4670597.7920000004</v>
      </c>
      <c r="T405" s="16">
        <f t="shared" ca="1" si="384"/>
        <v>0</v>
      </c>
      <c r="U405" s="16">
        <v>100810</v>
      </c>
      <c r="V405" s="21">
        <f ca="1">IFERROR(__xludf.DUMMYFUNCTION("VLOOKUP(C405,IMPORTRANGE(""https://docs.google.com/spreadsheets/d/1rQ2O3to3MCxQ4eTnJ5b4WStW3zTBTYg21JZurI75aCM/edit?gid=1410613181#gid=1410613181"",""DATA_ABSEN_DES24""),41,0)"),0)</f>
        <v>0</v>
      </c>
      <c r="W405" s="16">
        <f t="shared" ca="1" si="385"/>
        <v>0</v>
      </c>
      <c r="X405" s="16">
        <v>0</v>
      </c>
      <c r="Y405" s="16">
        <f t="shared" ca="1" si="386"/>
        <v>4670597.7920000004</v>
      </c>
      <c r="Z405" s="21"/>
      <c r="AA405" s="21"/>
      <c r="AB405" s="21"/>
      <c r="AC405" s="21"/>
      <c r="AD405" s="21"/>
      <c r="AE405" s="16"/>
      <c r="AF405" s="16"/>
      <c r="AG405" s="16"/>
      <c r="AH405" s="16"/>
      <c r="AI405" s="16"/>
      <c r="AJ405" s="16"/>
      <c r="AK405" s="16"/>
      <c r="AL405" s="16"/>
      <c r="AM405" s="16"/>
      <c r="AN405" s="335">
        <f t="shared" ca="1" si="387"/>
        <v>4670597.7920000004</v>
      </c>
      <c r="AO405" s="20">
        <f t="shared" ca="1" si="388"/>
        <v>0</v>
      </c>
      <c r="AP405" s="20">
        <f t="shared" ca="1" si="389"/>
        <v>4670597.7920000004</v>
      </c>
      <c r="AQ405" s="20">
        <f t="shared" ca="1" si="390"/>
        <v>4670597.7920000004</v>
      </c>
      <c r="AR405" s="20">
        <f t="shared" ca="1" si="391"/>
        <v>4670600</v>
      </c>
      <c r="AS405" s="216"/>
      <c r="AT405" s="30" t="s">
        <v>13</v>
      </c>
      <c r="AU405" s="30" t="str">
        <f>VLOOKUP(AT405,TER!$R$2:$S$10,2,0)</f>
        <v>A</v>
      </c>
      <c r="AV405" s="20">
        <f t="shared" si="392"/>
        <v>3066580</v>
      </c>
      <c r="AW405" s="20">
        <f t="shared" ca="1" si="393"/>
        <v>1290000</v>
      </c>
      <c r="AX405" s="20">
        <f t="shared" ref="AX405:AY405" ca="1" si="469">W405</f>
        <v>0</v>
      </c>
      <c r="AY405" s="20">
        <f t="shared" si="469"/>
        <v>0</v>
      </c>
      <c r="AZ405" s="20">
        <f t="shared" si="395"/>
        <v>7359.7919999999995</v>
      </c>
      <c r="BA405" s="20">
        <f t="shared" si="396"/>
        <v>9199.74</v>
      </c>
      <c r="BB405" s="20">
        <f t="shared" si="397"/>
        <v>122663.2</v>
      </c>
      <c r="BC405" s="20">
        <f t="shared" ca="1" si="398"/>
        <v>4495802.7320000008</v>
      </c>
      <c r="BD405" s="37">
        <f ca="1">IF(AU405="C",VLOOKUP(BC405,TER!$J$4:$L$50,3,TRUE),IF(AU405="B",VLOOKUP(BC405,TER!$F$4:$H$50,3,TRUE),IF(AU405="A",VLOOKUP(BC405,TER!$B$4:$D$50,3,TRUE),"ERROR")))</f>
        <v>0</v>
      </c>
      <c r="BE405" s="20">
        <f t="shared" ca="1" si="399"/>
        <v>0</v>
      </c>
      <c r="BF405" s="216"/>
      <c r="BG405" s="216"/>
    </row>
    <row r="406" spans="1:59" ht="15.75" hidden="1" customHeight="1">
      <c r="A406" s="216"/>
      <c r="B406" s="27">
        <v>68</v>
      </c>
      <c r="C406" s="28" t="s">
        <v>790</v>
      </c>
      <c r="D406" s="29" t="s">
        <v>791</v>
      </c>
      <c r="E406" s="27" t="s">
        <v>57</v>
      </c>
      <c r="F406" s="28" t="s">
        <v>792</v>
      </c>
      <c r="G406" s="27" t="s">
        <v>94</v>
      </c>
      <c r="H406" s="332" t="s">
        <v>32</v>
      </c>
      <c r="I406" s="16">
        <f t="shared" si="380"/>
        <v>3066580</v>
      </c>
      <c r="J406" s="16">
        <v>191354.592</v>
      </c>
      <c r="K406" s="16">
        <v>122663.2</v>
      </c>
      <c r="L406" s="16">
        <f>200000+250000</f>
        <v>450000</v>
      </c>
      <c r="M406" s="16">
        <f>(724500+472500)/21</f>
        <v>57000</v>
      </c>
      <c r="N406" s="21">
        <f ca="1">IFERROR(__xludf.DUMMYFUNCTION("VLOOKUP(C406,IMPORTRANGE(""https://docs.google.com/spreadsheets/d/1rQ2O3to3MCxQ4eTnJ5b4WStW3zTBTYg21JZurI75aCM/edit?gid=1410613181#gid=1410613181"",""DATA_ABSEN_DES24""),39,0)"),21)</f>
        <v>21</v>
      </c>
      <c r="O406" s="334">
        <f ca="1">IFERROR(__xludf.DUMMYFUNCTION("VLOOKUP(C406,IMPORTRANGE(""https://docs.google.com/spreadsheets/d/1rQ2O3to3MCxQ4eTnJ5b4WStW3zTBTYg21JZurI75aCM/edit?gid=1410613181#gid=1410613181"",""DATA_ABSEN_DES24""),40,0)"),20)</f>
        <v>20</v>
      </c>
      <c r="P406" s="16">
        <f t="shared" ca="1" si="381"/>
        <v>1647000</v>
      </c>
      <c r="Q406" s="16">
        <v>21</v>
      </c>
      <c r="R406" s="16">
        <f t="shared" si="382"/>
        <v>5027597.7920000004</v>
      </c>
      <c r="S406" s="16">
        <f t="shared" ca="1" si="383"/>
        <v>5027597.7920000004</v>
      </c>
      <c r="T406" s="16">
        <f t="shared" ca="1" si="384"/>
        <v>0</v>
      </c>
      <c r="U406" s="16">
        <v>100810</v>
      </c>
      <c r="V406" s="21">
        <f ca="1">IFERROR(__xludf.DUMMYFUNCTION("VLOOKUP(C406,IMPORTRANGE(""https://docs.google.com/spreadsheets/d/1rQ2O3to3MCxQ4eTnJ5b4WStW3zTBTYg21JZurI75aCM/edit?gid=1410613181#gid=1410613181"",""DATA_ABSEN_DES24""),41,0)"),0)</f>
        <v>0</v>
      </c>
      <c r="W406" s="16">
        <f t="shared" ca="1" si="385"/>
        <v>0</v>
      </c>
      <c r="X406" s="16">
        <v>0</v>
      </c>
      <c r="Y406" s="16">
        <f t="shared" ca="1" si="386"/>
        <v>5027597.7920000004</v>
      </c>
      <c r="Z406" s="21"/>
      <c r="AA406" s="21"/>
      <c r="AB406" s="21"/>
      <c r="AC406" s="21"/>
      <c r="AD406" s="21"/>
      <c r="AE406" s="16"/>
      <c r="AF406" s="16"/>
      <c r="AG406" s="16"/>
      <c r="AH406" s="16"/>
      <c r="AI406" s="16"/>
      <c r="AJ406" s="16"/>
      <c r="AK406" s="16"/>
      <c r="AL406" s="16"/>
      <c r="AM406" s="16"/>
      <c r="AN406" s="335">
        <f t="shared" ca="1" si="387"/>
        <v>5027597.7920000004</v>
      </c>
      <c r="AO406" s="20">
        <f t="shared" ca="1" si="388"/>
        <v>0</v>
      </c>
      <c r="AP406" s="20">
        <f t="shared" ca="1" si="389"/>
        <v>5027597.7920000004</v>
      </c>
      <c r="AQ406" s="20">
        <f t="shared" ca="1" si="390"/>
        <v>5027597.7920000004</v>
      </c>
      <c r="AR406" s="20">
        <f t="shared" ca="1" si="391"/>
        <v>5027600</v>
      </c>
      <c r="AS406" s="216"/>
      <c r="AT406" s="30" t="s">
        <v>13</v>
      </c>
      <c r="AU406" s="30" t="str">
        <f>VLOOKUP(AT406,TER!$R$2:$S$10,2,0)</f>
        <v>A</v>
      </c>
      <c r="AV406" s="20">
        <f t="shared" si="392"/>
        <v>3066580</v>
      </c>
      <c r="AW406" s="20">
        <f t="shared" ca="1" si="393"/>
        <v>1647000</v>
      </c>
      <c r="AX406" s="20">
        <f t="shared" ref="AX406:AY406" ca="1" si="470">W406</f>
        <v>0</v>
      </c>
      <c r="AY406" s="20">
        <f t="shared" si="470"/>
        <v>0</v>
      </c>
      <c r="AZ406" s="20">
        <f t="shared" si="395"/>
        <v>7359.7919999999995</v>
      </c>
      <c r="BA406" s="20">
        <f t="shared" si="396"/>
        <v>9199.74</v>
      </c>
      <c r="BB406" s="20">
        <f t="shared" si="397"/>
        <v>122663.2</v>
      </c>
      <c r="BC406" s="20">
        <f t="shared" ca="1" si="398"/>
        <v>4852802.7320000008</v>
      </c>
      <c r="BD406" s="37">
        <f ca="1">IF(AU406="C",VLOOKUP(BC406,TER!$J$4:$L$50,3,TRUE),IF(AU406="B",VLOOKUP(BC406,TER!$F$4:$H$50,3,TRUE),IF(AU406="A",VLOOKUP(BC406,TER!$B$4:$D$50,3,TRUE),"ERROR")))</f>
        <v>0</v>
      </c>
      <c r="BE406" s="20">
        <f t="shared" ca="1" si="399"/>
        <v>0</v>
      </c>
      <c r="BF406" s="216"/>
      <c r="BG406" s="216"/>
    </row>
    <row r="407" spans="1:59" ht="15.75" hidden="1" customHeight="1">
      <c r="A407" s="216"/>
      <c r="B407" s="27">
        <v>69</v>
      </c>
      <c r="C407" s="28" t="s">
        <v>793</v>
      </c>
      <c r="D407" s="29" t="s">
        <v>794</v>
      </c>
      <c r="E407" s="27" t="s">
        <v>57</v>
      </c>
      <c r="F407" s="28" t="s">
        <v>795</v>
      </c>
      <c r="G407" s="27" t="s">
        <v>31</v>
      </c>
      <c r="H407" s="332" t="s">
        <v>32</v>
      </c>
      <c r="I407" s="16">
        <f t="shared" si="380"/>
        <v>3066580</v>
      </c>
      <c r="J407" s="16">
        <v>191354.592</v>
      </c>
      <c r="K407" s="16">
        <v>122663.2</v>
      </c>
      <c r="L407" s="16">
        <v>200000</v>
      </c>
      <c r="M407" s="16">
        <f t="shared" ref="M407:M413" si="471">(724500+420000)/21</f>
        <v>54500</v>
      </c>
      <c r="N407" s="21">
        <f ca="1">IFERROR(__xludf.DUMMYFUNCTION("VLOOKUP(C407,IMPORTRANGE(""https://docs.google.com/spreadsheets/d/1rQ2O3to3MCxQ4eTnJ5b4WStW3zTBTYg21JZurI75aCM/edit?gid=1410613181#gid=1410613181"",""DATA_ABSEN_DES24""),39,0)"),21)</f>
        <v>21</v>
      </c>
      <c r="O407" s="334">
        <f ca="1">IFERROR(__xludf.DUMMYFUNCTION("VLOOKUP(C407,IMPORTRANGE(""https://docs.google.com/spreadsheets/d/1rQ2O3to3MCxQ4eTnJ5b4WStW3zTBTYg21JZurI75aCM/edit?gid=1410613181#gid=1410613181"",""DATA_ABSEN_DES24""),40,0)"),20)</f>
        <v>20</v>
      </c>
      <c r="P407" s="16">
        <f t="shared" ca="1" si="381"/>
        <v>1344500</v>
      </c>
      <c r="Q407" s="16">
        <v>21</v>
      </c>
      <c r="R407" s="16">
        <f t="shared" si="382"/>
        <v>4725097.7920000004</v>
      </c>
      <c r="S407" s="16">
        <f t="shared" ca="1" si="383"/>
        <v>4725097.7920000004</v>
      </c>
      <c r="T407" s="16">
        <f t="shared" ca="1" si="384"/>
        <v>0</v>
      </c>
      <c r="U407" s="16">
        <v>100810</v>
      </c>
      <c r="V407" s="21">
        <f ca="1">IFERROR(__xludf.DUMMYFUNCTION("VLOOKUP(C407,IMPORTRANGE(""https://docs.google.com/spreadsheets/d/1rQ2O3to3MCxQ4eTnJ5b4WStW3zTBTYg21JZurI75aCM/edit?gid=1410613181#gid=1410613181"",""DATA_ABSEN_DES24""),41,0)"),0)</f>
        <v>0</v>
      </c>
      <c r="W407" s="16">
        <f t="shared" ca="1" si="385"/>
        <v>0</v>
      </c>
      <c r="X407" s="16">
        <v>0</v>
      </c>
      <c r="Y407" s="16">
        <f t="shared" ca="1" si="386"/>
        <v>4725097.7920000004</v>
      </c>
      <c r="Z407" s="21"/>
      <c r="AA407" s="21"/>
      <c r="AB407" s="21"/>
      <c r="AC407" s="21"/>
      <c r="AD407" s="21"/>
      <c r="AE407" s="16"/>
      <c r="AF407" s="16"/>
      <c r="AG407" s="16"/>
      <c r="AH407" s="16"/>
      <c r="AI407" s="16"/>
      <c r="AJ407" s="16"/>
      <c r="AK407" s="16"/>
      <c r="AL407" s="16"/>
      <c r="AM407" s="16"/>
      <c r="AN407" s="335">
        <f t="shared" ca="1" si="387"/>
        <v>4725097.7920000004</v>
      </c>
      <c r="AO407" s="20">
        <f t="shared" ca="1" si="388"/>
        <v>0</v>
      </c>
      <c r="AP407" s="20">
        <f t="shared" ca="1" si="389"/>
        <v>4725097.7920000004</v>
      </c>
      <c r="AQ407" s="20">
        <f t="shared" ca="1" si="390"/>
        <v>4725097.7920000004</v>
      </c>
      <c r="AR407" s="20">
        <f t="shared" ca="1" si="391"/>
        <v>4725100</v>
      </c>
      <c r="AS407" s="216"/>
      <c r="AT407" s="30" t="s">
        <v>13</v>
      </c>
      <c r="AU407" s="30" t="str">
        <f>VLOOKUP(AT407,TER!$R$2:$S$10,2,0)</f>
        <v>A</v>
      </c>
      <c r="AV407" s="20">
        <f t="shared" si="392"/>
        <v>3066580</v>
      </c>
      <c r="AW407" s="20">
        <f t="shared" ca="1" si="393"/>
        <v>1344500</v>
      </c>
      <c r="AX407" s="20">
        <f t="shared" ref="AX407:AY407" ca="1" si="472">W407</f>
        <v>0</v>
      </c>
      <c r="AY407" s="20">
        <f t="shared" si="472"/>
        <v>0</v>
      </c>
      <c r="AZ407" s="20">
        <f t="shared" si="395"/>
        <v>7359.7919999999995</v>
      </c>
      <c r="BA407" s="20">
        <f t="shared" si="396"/>
        <v>9199.74</v>
      </c>
      <c r="BB407" s="20">
        <f t="shared" si="397"/>
        <v>122663.2</v>
      </c>
      <c r="BC407" s="20">
        <f t="shared" ca="1" si="398"/>
        <v>4550302.7320000008</v>
      </c>
      <c r="BD407" s="37">
        <f ca="1">IF(AU407="C",VLOOKUP(BC407,TER!$J$4:$L$50,3,TRUE),IF(AU407="B",VLOOKUP(BC407,TER!$F$4:$H$50,3,TRUE),IF(AU407="A",VLOOKUP(BC407,TER!$B$4:$D$50,3,TRUE),"ERROR")))</f>
        <v>0</v>
      </c>
      <c r="BE407" s="20">
        <f t="shared" ca="1" si="399"/>
        <v>0</v>
      </c>
      <c r="BF407" s="216"/>
      <c r="BG407" s="216"/>
    </row>
    <row r="408" spans="1:59" ht="15.75" hidden="1" customHeight="1">
      <c r="A408" s="216"/>
      <c r="B408" s="27">
        <v>70</v>
      </c>
      <c r="C408" s="28" t="s">
        <v>796</v>
      </c>
      <c r="D408" s="29" t="s">
        <v>797</v>
      </c>
      <c r="E408" s="27" t="s">
        <v>57</v>
      </c>
      <c r="F408" s="28" t="s">
        <v>798</v>
      </c>
      <c r="G408" s="27" t="s">
        <v>31</v>
      </c>
      <c r="H408" s="332" t="s">
        <v>32</v>
      </c>
      <c r="I408" s="16">
        <f t="shared" si="380"/>
        <v>3066580</v>
      </c>
      <c r="J408" s="16">
        <v>191354.592</v>
      </c>
      <c r="K408" s="16">
        <v>122663.2</v>
      </c>
      <c r="L408" s="16">
        <v>200000</v>
      </c>
      <c r="M408" s="16">
        <f t="shared" si="471"/>
        <v>54500</v>
      </c>
      <c r="N408" s="21">
        <f ca="1">IFERROR(__xludf.DUMMYFUNCTION("VLOOKUP(C408,IMPORTRANGE(""https://docs.google.com/spreadsheets/d/1rQ2O3to3MCxQ4eTnJ5b4WStW3zTBTYg21JZurI75aCM/edit?gid=1410613181#gid=1410613181"",""DATA_ABSEN_DES24""),39,0)"),20)</f>
        <v>20</v>
      </c>
      <c r="O408" s="334">
        <f ca="1">IFERROR(__xludf.DUMMYFUNCTION("VLOOKUP(C408,IMPORTRANGE(""https://docs.google.com/spreadsheets/d/1rQ2O3to3MCxQ4eTnJ5b4WStW3zTBTYg21JZurI75aCM/edit?gid=1410613181#gid=1410613181"",""DATA_ABSEN_DES24""),40,0)"),20)</f>
        <v>20</v>
      </c>
      <c r="P408" s="16">
        <f t="shared" ca="1" si="381"/>
        <v>1290000</v>
      </c>
      <c r="Q408" s="16">
        <v>21</v>
      </c>
      <c r="R408" s="16">
        <f t="shared" si="382"/>
        <v>4725097.7920000004</v>
      </c>
      <c r="S408" s="16">
        <f t="shared" ca="1" si="383"/>
        <v>4670597.7920000004</v>
      </c>
      <c r="T408" s="16">
        <f t="shared" ca="1" si="384"/>
        <v>0</v>
      </c>
      <c r="U408" s="16">
        <v>100810</v>
      </c>
      <c r="V408" s="21">
        <f ca="1">IFERROR(__xludf.DUMMYFUNCTION("VLOOKUP(C408,IMPORTRANGE(""https://docs.google.com/spreadsheets/d/1rQ2O3to3MCxQ4eTnJ5b4WStW3zTBTYg21JZurI75aCM/edit?gid=1410613181#gid=1410613181"",""DATA_ABSEN_DES24""),41,0)"),0)</f>
        <v>0</v>
      </c>
      <c r="W408" s="16">
        <f t="shared" ca="1" si="385"/>
        <v>0</v>
      </c>
      <c r="X408" s="16">
        <v>0</v>
      </c>
      <c r="Y408" s="16">
        <f t="shared" ca="1" si="386"/>
        <v>4670597.7920000004</v>
      </c>
      <c r="Z408" s="21"/>
      <c r="AA408" s="21"/>
      <c r="AB408" s="21"/>
      <c r="AC408" s="21"/>
      <c r="AD408" s="21"/>
      <c r="AE408" s="16"/>
      <c r="AF408" s="16"/>
      <c r="AG408" s="16"/>
      <c r="AH408" s="16"/>
      <c r="AI408" s="16"/>
      <c r="AJ408" s="16"/>
      <c r="AK408" s="16"/>
      <c r="AL408" s="16"/>
      <c r="AM408" s="16"/>
      <c r="AN408" s="335">
        <f t="shared" ca="1" si="387"/>
        <v>4670597.7920000004</v>
      </c>
      <c r="AO408" s="20">
        <f t="shared" ca="1" si="388"/>
        <v>0</v>
      </c>
      <c r="AP408" s="20">
        <f t="shared" ca="1" si="389"/>
        <v>4670597.7920000004</v>
      </c>
      <c r="AQ408" s="20">
        <f t="shared" ca="1" si="390"/>
        <v>4670597.7920000004</v>
      </c>
      <c r="AR408" s="20">
        <f t="shared" ca="1" si="391"/>
        <v>4670600</v>
      </c>
      <c r="AS408" s="216"/>
      <c r="AT408" s="30" t="s">
        <v>9</v>
      </c>
      <c r="AU408" s="30" t="str">
        <f>VLOOKUP(AT408,TER!$R$2:$S$10,2,0)</f>
        <v>A</v>
      </c>
      <c r="AV408" s="20">
        <f t="shared" si="392"/>
        <v>3066580</v>
      </c>
      <c r="AW408" s="20">
        <f t="shared" ca="1" si="393"/>
        <v>1290000</v>
      </c>
      <c r="AX408" s="20">
        <f t="shared" ref="AX408:AY408" ca="1" si="473">W408</f>
        <v>0</v>
      </c>
      <c r="AY408" s="20">
        <f t="shared" si="473"/>
        <v>0</v>
      </c>
      <c r="AZ408" s="20">
        <f t="shared" si="395"/>
        <v>7359.7919999999995</v>
      </c>
      <c r="BA408" s="20">
        <f t="shared" si="396"/>
        <v>9199.74</v>
      </c>
      <c r="BB408" s="20">
        <f t="shared" si="397"/>
        <v>122663.2</v>
      </c>
      <c r="BC408" s="20">
        <f t="shared" ca="1" si="398"/>
        <v>4495802.7320000008</v>
      </c>
      <c r="BD408" s="37">
        <f ca="1">IF(AU408="C",VLOOKUP(BC408,TER!$J$4:$L$50,3,TRUE),IF(AU408="B",VLOOKUP(BC408,TER!$F$4:$H$50,3,TRUE),IF(AU408="A",VLOOKUP(BC408,TER!$B$4:$D$50,3,TRUE),"ERROR")))</f>
        <v>0</v>
      </c>
      <c r="BE408" s="20">
        <f t="shared" ca="1" si="399"/>
        <v>0</v>
      </c>
      <c r="BF408" s="216"/>
      <c r="BG408" s="216"/>
    </row>
    <row r="409" spans="1:59" ht="15.75" hidden="1" customHeight="1">
      <c r="A409" s="216"/>
      <c r="B409" s="27">
        <v>71</v>
      </c>
      <c r="C409" s="28" t="s">
        <v>799</v>
      </c>
      <c r="D409" s="29" t="s">
        <v>800</v>
      </c>
      <c r="E409" s="27" t="s">
        <v>57</v>
      </c>
      <c r="F409" s="28" t="s">
        <v>801</v>
      </c>
      <c r="G409" s="27" t="s">
        <v>31</v>
      </c>
      <c r="H409" s="332" t="s">
        <v>32</v>
      </c>
      <c r="I409" s="16">
        <f t="shared" si="380"/>
        <v>3066580</v>
      </c>
      <c r="J409" s="16">
        <v>191354.592</v>
      </c>
      <c r="K409" s="16">
        <v>122663.2</v>
      </c>
      <c r="L409" s="16">
        <v>200000</v>
      </c>
      <c r="M409" s="16">
        <f t="shared" si="471"/>
        <v>54500</v>
      </c>
      <c r="N409" s="21">
        <f ca="1">IFERROR(__xludf.DUMMYFUNCTION("VLOOKUP(C409,IMPORTRANGE(""https://docs.google.com/spreadsheets/d/1rQ2O3to3MCxQ4eTnJ5b4WStW3zTBTYg21JZurI75aCM/edit?gid=1410613181#gid=1410613181"",""DATA_ABSEN_DES24""),39,0)"),21)</f>
        <v>21</v>
      </c>
      <c r="O409" s="334">
        <f ca="1">IFERROR(__xludf.DUMMYFUNCTION("VLOOKUP(C409,IMPORTRANGE(""https://docs.google.com/spreadsheets/d/1rQ2O3to3MCxQ4eTnJ5b4WStW3zTBTYg21JZurI75aCM/edit?gid=1410613181#gid=1410613181"",""DATA_ABSEN_DES24""),40,0)"),20)</f>
        <v>20</v>
      </c>
      <c r="P409" s="16">
        <f t="shared" ca="1" si="381"/>
        <v>1344500</v>
      </c>
      <c r="Q409" s="16">
        <v>21</v>
      </c>
      <c r="R409" s="16">
        <f t="shared" si="382"/>
        <v>4725097.7920000004</v>
      </c>
      <c r="S409" s="16">
        <f t="shared" ca="1" si="383"/>
        <v>4725097.7920000004</v>
      </c>
      <c r="T409" s="16">
        <f t="shared" ca="1" si="384"/>
        <v>0</v>
      </c>
      <c r="U409" s="16">
        <v>100810</v>
      </c>
      <c r="V409" s="21">
        <f ca="1">IFERROR(__xludf.DUMMYFUNCTION("VLOOKUP(C409,IMPORTRANGE(""https://docs.google.com/spreadsheets/d/1rQ2O3to3MCxQ4eTnJ5b4WStW3zTBTYg21JZurI75aCM/edit?gid=1410613181#gid=1410613181"",""DATA_ABSEN_DES24""),41,0)"),0)</f>
        <v>0</v>
      </c>
      <c r="W409" s="16">
        <f t="shared" ca="1" si="385"/>
        <v>0</v>
      </c>
      <c r="X409" s="16">
        <v>0</v>
      </c>
      <c r="Y409" s="16">
        <f t="shared" ca="1" si="386"/>
        <v>4725097.7920000004</v>
      </c>
      <c r="Z409" s="21"/>
      <c r="AA409" s="21"/>
      <c r="AB409" s="21"/>
      <c r="AC409" s="21"/>
      <c r="AD409" s="21"/>
      <c r="AE409" s="16"/>
      <c r="AF409" s="16"/>
      <c r="AG409" s="16"/>
      <c r="AH409" s="16"/>
      <c r="AI409" s="16"/>
      <c r="AJ409" s="16"/>
      <c r="AK409" s="16"/>
      <c r="AL409" s="16"/>
      <c r="AM409" s="16"/>
      <c r="AN409" s="335">
        <f t="shared" ca="1" si="387"/>
        <v>4725097.7920000004</v>
      </c>
      <c r="AO409" s="20">
        <f t="shared" ca="1" si="388"/>
        <v>0</v>
      </c>
      <c r="AP409" s="20">
        <f t="shared" ca="1" si="389"/>
        <v>4725097.7920000004</v>
      </c>
      <c r="AQ409" s="20">
        <f t="shared" ca="1" si="390"/>
        <v>4725097.7920000004</v>
      </c>
      <c r="AR409" s="20">
        <f t="shared" ca="1" si="391"/>
        <v>4725100</v>
      </c>
      <c r="AS409" s="216"/>
      <c r="AT409" s="30" t="s">
        <v>9</v>
      </c>
      <c r="AU409" s="30" t="str">
        <f>VLOOKUP(AT409,TER!$R$2:$S$10,2,0)</f>
        <v>A</v>
      </c>
      <c r="AV409" s="20">
        <f t="shared" si="392"/>
        <v>3066580</v>
      </c>
      <c r="AW409" s="20">
        <f t="shared" ca="1" si="393"/>
        <v>1344500</v>
      </c>
      <c r="AX409" s="20">
        <f t="shared" ref="AX409:AY409" ca="1" si="474">W409</f>
        <v>0</v>
      </c>
      <c r="AY409" s="20">
        <f t="shared" si="474"/>
        <v>0</v>
      </c>
      <c r="AZ409" s="20">
        <f t="shared" si="395"/>
        <v>7359.7919999999995</v>
      </c>
      <c r="BA409" s="20">
        <f t="shared" si="396"/>
        <v>9199.74</v>
      </c>
      <c r="BB409" s="20">
        <f t="shared" si="397"/>
        <v>122663.2</v>
      </c>
      <c r="BC409" s="20">
        <f t="shared" ca="1" si="398"/>
        <v>4550302.7320000008</v>
      </c>
      <c r="BD409" s="37">
        <f ca="1">IF(AU409="C",VLOOKUP(BC409,TER!$J$4:$L$50,3,TRUE),IF(AU409="B",VLOOKUP(BC409,TER!$F$4:$H$50,3,TRUE),IF(AU409="A",VLOOKUP(BC409,TER!$B$4:$D$50,3,TRUE),"ERROR")))</f>
        <v>0</v>
      </c>
      <c r="BE409" s="20">
        <f t="shared" ca="1" si="399"/>
        <v>0</v>
      </c>
      <c r="BF409" s="216"/>
      <c r="BG409" s="216"/>
    </row>
    <row r="410" spans="1:59" ht="15.75" hidden="1" customHeight="1">
      <c r="A410" s="216"/>
      <c r="B410" s="27">
        <v>72</v>
      </c>
      <c r="C410" s="28" t="s">
        <v>802</v>
      </c>
      <c r="D410" s="29" t="s">
        <v>803</v>
      </c>
      <c r="E410" s="27" t="s">
        <v>57</v>
      </c>
      <c r="F410" s="28" t="s">
        <v>804</v>
      </c>
      <c r="G410" s="27" t="s">
        <v>31</v>
      </c>
      <c r="H410" s="332" t="s">
        <v>32</v>
      </c>
      <c r="I410" s="16">
        <f t="shared" si="380"/>
        <v>3066580</v>
      </c>
      <c r="J410" s="16">
        <v>191354.592</v>
      </c>
      <c r="K410" s="16">
        <v>122663.2</v>
      </c>
      <c r="L410" s="16">
        <v>200000</v>
      </c>
      <c r="M410" s="16">
        <f t="shared" si="471"/>
        <v>54500</v>
      </c>
      <c r="N410" s="21">
        <f ca="1">IFERROR(__xludf.DUMMYFUNCTION("VLOOKUP(C410,IMPORTRANGE(""https://docs.google.com/spreadsheets/d/1rQ2O3to3MCxQ4eTnJ5b4WStW3zTBTYg21JZurI75aCM/edit?gid=1410613181#gid=1410613181"",""DATA_ABSEN_DES24""),39,0)"),20)</f>
        <v>20</v>
      </c>
      <c r="O410" s="334">
        <f ca="1">IFERROR(__xludf.DUMMYFUNCTION("VLOOKUP(C410,IMPORTRANGE(""https://docs.google.com/spreadsheets/d/1rQ2O3to3MCxQ4eTnJ5b4WStW3zTBTYg21JZurI75aCM/edit?gid=1410613181#gid=1410613181"",""DATA_ABSEN_DES24""),40,0)"),20)</f>
        <v>20</v>
      </c>
      <c r="P410" s="16">
        <f t="shared" ca="1" si="381"/>
        <v>1290000</v>
      </c>
      <c r="Q410" s="16">
        <v>21</v>
      </c>
      <c r="R410" s="16">
        <f t="shared" si="382"/>
        <v>4725097.7920000004</v>
      </c>
      <c r="S410" s="16">
        <f t="shared" ca="1" si="383"/>
        <v>4670597.7920000004</v>
      </c>
      <c r="T410" s="16">
        <f t="shared" ca="1" si="384"/>
        <v>0</v>
      </c>
      <c r="U410" s="16">
        <v>100810</v>
      </c>
      <c r="V410" s="21">
        <f ca="1">IFERROR(__xludf.DUMMYFUNCTION("VLOOKUP(C410,IMPORTRANGE(""https://docs.google.com/spreadsheets/d/1rQ2O3to3MCxQ4eTnJ5b4WStW3zTBTYg21JZurI75aCM/edit?gid=1410613181#gid=1410613181"",""DATA_ABSEN_DES24""),41,0)"),0)</f>
        <v>0</v>
      </c>
      <c r="W410" s="16">
        <f t="shared" ca="1" si="385"/>
        <v>0</v>
      </c>
      <c r="X410" s="16">
        <v>0</v>
      </c>
      <c r="Y410" s="16">
        <f t="shared" ca="1" si="386"/>
        <v>4670597.7920000004</v>
      </c>
      <c r="Z410" s="21"/>
      <c r="AA410" s="21"/>
      <c r="AB410" s="21"/>
      <c r="AC410" s="21"/>
      <c r="AD410" s="21"/>
      <c r="AE410" s="16"/>
      <c r="AF410" s="16"/>
      <c r="AG410" s="16"/>
      <c r="AH410" s="16"/>
      <c r="AI410" s="16"/>
      <c r="AJ410" s="16"/>
      <c r="AK410" s="16"/>
      <c r="AL410" s="16"/>
      <c r="AM410" s="16"/>
      <c r="AN410" s="335">
        <f t="shared" ca="1" si="387"/>
        <v>4670597.7920000004</v>
      </c>
      <c r="AO410" s="20">
        <f t="shared" ca="1" si="388"/>
        <v>0</v>
      </c>
      <c r="AP410" s="20">
        <f t="shared" ca="1" si="389"/>
        <v>4670597.7920000004</v>
      </c>
      <c r="AQ410" s="20">
        <f t="shared" ca="1" si="390"/>
        <v>4670597.7920000004</v>
      </c>
      <c r="AR410" s="20">
        <f t="shared" ca="1" si="391"/>
        <v>4670600</v>
      </c>
      <c r="AS410" s="216"/>
      <c r="AT410" s="30" t="s">
        <v>9</v>
      </c>
      <c r="AU410" s="30" t="str">
        <f>VLOOKUP(AT410,TER!$R$2:$S$10,2,0)</f>
        <v>A</v>
      </c>
      <c r="AV410" s="20">
        <f t="shared" si="392"/>
        <v>3066580</v>
      </c>
      <c r="AW410" s="20">
        <f t="shared" ca="1" si="393"/>
        <v>1290000</v>
      </c>
      <c r="AX410" s="20">
        <f t="shared" ref="AX410:AY410" ca="1" si="475">W410</f>
        <v>0</v>
      </c>
      <c r="AY410" s="20">
        <f t="shared" si="475"/>
        <v>0</v>
      </c>
      <c r="AZ410" s="20">
        <f t="shared" si="395"/>
        <v>7359.7919999999995</v>
      </c>
      <c r="BA410" s="20">
        <f t="shared" si="396"/>
        <v>9199.74</v>
      </c>
      <c r="BB410" s="20">
        <f t="shared" si="397"/>
        <v>122663.2</v>
      </c>
      <c r="BC410" s="20">
        <f t="shared" ca="1" si="398"/>
        <v>4495802.7320000008</v>
      </c>
      <c r="BD410" s="37">
        <f ca="1">IF(AU410="C",VLOOKUP(BC410,TER!$J$4:$L$50,3,TRUE),IF(AU410="B",VLOOKUP(BC410,TER!$F$4:$H$50,3,TRUE),IF(AU410="A",VLOOKUP(BC410,TER!$B$4:$D$50,3,TRUE),"ERROR")))</f>
        <v>0</v>
      </c>
      <c r="BE410" s="20">
        <f t="shared" ca="1" si="399"/>
        <v>0</v>
      </c>
      <c r="BF410" s="216"/>
      <c r="BG410" s="216"/>
    </row>
    <row r="411" spans="1:59" ht="15.75" hidden="1" customHeight="1">
      <c r="A411" s="216"/>
      <c r="B411" s="27">
        <v>73</v>
      </c>
      <c r="C411" s="28" t="s">
        <v>805</v>
      </c>
      <c r="D411" s="244" t="s">
        <v>806</v>
      </c>
      <c r="E411" s="242" t="s">
        <v>57</v>
      </c>
      <c r="F411" s="28" t="s">
        <v>807</v>
      </c>
      <c r="G411" s="27" t="s">
        <v>31</v>
      </c>
      <c r="H411" s="332" t="s">
        <v>32</v>
      </c>
      <c r="I411" s="16">
        <f t="shared" si="380"/>
        <v>3066580</v>
      </c>
      <c r="J411" s="16">
        <v>191354.592</v>
      </c>
      <c r="K411" s="16">
        <v>122663.2</v>
      </c>
      <c r="L411" s="16">
        <v>200000</v>
      </c>
      <c r="M411" s="16">
        <f t="shared" si="471"/>
        <v>54500</v>
      </c>
      <c r="N411" s="21">
        <f ca="1">IFERROR(__xludf.DUMMYFUNCTION("VLOOKUP(C411,IMPORTRANGE(""https://docs.google.com/spreadsheets/d/1rQ2O3to3MCxQ4eTnJ5b4WStW3zTBTYg21JZurI75aCM/edit?gid=1410613181#gid=1410613181"",""DATA_ABSEN_DES24""),39,0)"),20)</f>
        <v>20</v>
      </c>
      <c r="O411" s="334">
        <f ca="1">IFERROR(__xludf.DUMMYFUNCTION("VLOOKUP(C411,IMPORTRANGE(""https://docs.google.com/spreadsheets/d/1rQ2O3to3MCxQ4eTnJ5b4WStW3zTBTYg21JZurI75aCM/edit?gid=1410613181#gid=1410613181"",""DATA_ABSEN_DES24""),40,0)"),20)</f>
        <v>20</v>
      </c>
      <c r="P411" s="16">
        <f t="shared" ca="1" si="381"/>
        <v>1290000</v>
      </c>
      <c r="Q411" s="16">
        <v>21</v>
      </c>
      <c r="R411" s="16">
        <f t="shared" si="382"/>
        <v>4725097.7920000004</v>
      </c>
      <c r="S411" s="16">
        <f t="shared" ca="1" si="383"/>
        <v>4670597.7920000004</v>
      </c>
      <c r="T411" s="16">
        <f t="shared" ca="1" si="384"/>
        <v>0</v>
      </c>
      <c r="U411" s="16">
        <v>100810</v>
      </c>
      <c r="V411" s="21">
        <f ca="1">IFERROR(__xludf.DUMMYFUNCTION("VLOOKUP(C411,IMPORTRANGE(""https://docs.google.com/spreadsheets/d/1rQ2O3to3MCxQ4eTnJ5b4WStW3zTBTYg21JZurI75aCM/edit?gid=1410613181#gid=1410613181"",""DATA_ABSEN_DES24""),41,0)"),0)</f>
        <v>0</v>
      </c>
      <c r="W411" s="16">
        <f t="shared" ca="1" si="385"/>
        <v>0</v>
      </c>
      <c r="X411" s="16">
        <v>0</v>
      </c>
      <c r="Y411" s="16">
        <f t="shared" ca="1" si="386"/>
        <v>4670597.7920000004</v>
      </c>
      <c r="Z411" s="21"/>
      <c r="AA411" s="21"/>
      <c r="AB411" s="21"/>
      <c r="AC411" s="21"/>
      <c r="AD411" s="21"/>
      <c r="AE411" s="16"/>
      <c r="AF411" s="16"/>
      <c r="AG411" s="16"/>
      <c r="AH411" s="16"/>
      <c r="AI411" s="16"/>
      <c r="AJ411" s="16"/>
      <c r="AK411" s="16"/>
      <c r="AL411" s="16"/>
      <c r="AM411" s="16"/>
      <c r="AN411" s="335">
        <f t="shared" ca="1" si="387"/>
        <v>4670597.7920000004</v>
      </c>
      <c r="AO411" s="20">
        <f t="shared" ca="1" si="388"/>
        <v>0</v>
      </c>
      <c r="AP411" s="20">
        <f t="shared" ca="1" si="389"/>
        <v>4670597.7920000004</v>
      </c>
      <c r="AQ411" s="20">
        <f t="shared" ca="1" si="390"/>
        <v>4670597.7920000004</v>
      </c>
      <c r="AR411" s="20">
        <f t="shared" ca="1" si="391"/>
        <v>4670600</v>
      </c>
      <c r="AS411" s="216"/>
      <c r="AT411" s="30" t="s">
        <v>9</v>
      </c>
      <c r="AU411" s="30" t="str">
        <f>VLOOKUP(AT411,TER!$R$2:$S$10,2,0)</f>
        <v>A</v>
      </c>
      <c r="AV411" s="20">
        <f t="shared" si="392"/>
        <v>3066580</v>
      </c>
      <c r="AW411" s="20">
        <f t="shared" ca="1" si="393"/>
        <v>1290000</v>
      </c>
      <c r="AX411" s="20">
        <f t="shared" ref="AX411:AY411" ca="1" si="476">W411</f>
        <v>0</v>
      </c>
      <c r="AY411" s="20">
        <f t="shared" si="476"/>
        <v>0</v>
      </c>
      <c r="AZ411" s="20">
        <f t="shared" si="395"/>
        <v>7359.7919999999995</v>
      </c>
      <c r="BA411" s="20">
        <f t="shared" si="396"/>
        <v>9199.74</v>
      </c>
      <c r="BB411" s="20">
        <f t="shared" si="397"/>
        <v>122663.2</v>
      </c>
      <c r="BC411" s="20">
        <f t="shared" ca="1" si="398"/>
        <v>4495802.7320000008</v>
      </c>
      <c r="BD411" s="37">
        <f ca="1">IF(AU411="C",VLOOKUP(BC411,TER!$J$4:$L$50,3,TRUE),IF(AU411="B",VLOOKUP(BC411,TER!$F$4:$H$50,3,TRUE),IF(AU411="A",VLOOKUP(BC411,TER!$B$4:$D$50,3,TRUE),"ERROR")))</f>
        <v>0</v>
      </c>
      <c r="BE411" s="20">
        <f t="shared" ca="1" si="399"/>
        <v>0</v>
      </c>
      <c r="BF411" s="216"/>
      <c r="BG411" s="216"/>
    </row>
    <row r="412" spans="1:59" ht="15.75" hidden="1" customHeight="1">
      <c r="A412" s="216"/>
      <c r="B412" s="27">
        <v>74</v>
      </c>
      <c r="C412" s="28" t="s">
        <v>808</v>
      </c>
      <c r="D412" s="29" t="s">
        <v>809</v>
      </c>
      <c r="E412" s="27" t="s">
        <v>57</v>
      </c>
      <c r="F412" s="28" t="s">
        <v>810</v>
      </c>
      <c r="G412" s="27" t="s">
        <v>31</v>
      </c>
      <c r="H412" s="332" t="s">
        <v>32</v>
      </c>
      <c r="I412" s="16">
        <f t="shared" si="380"/>
        <v>3066580</v>
      </c>
      <c r="J412" s="16">
        <v>191354.592</v>
      </c>
      <c r="K412" s="16">
        <v>122663.2</v>
      </c>
      <c r="L412" s="16">
        <v>200000</v>
      </c>
      <c r="M412" s="16">
        <f t="shared" si="471"/>
        <v>54500</v>
      </c>
      <c r="N412" s="21">
        <f ca="1">IFERROR(__xludf.DUMMYFUNCTION("VLOOKUP(C412,IMPORTRANGE(""https://docs.google.com/spreadsheets/d/1rQ2O3to3MCxQ4eTnJ5b4WStW3zTBTYg21JZurI75aCM/edit?gid=1410613181#gid=1410613181"",""DATA_ABSEN_DES24""),39,0)"),21)</f>
        <v>21</v>
      </c>
      <c r="O412" s="334">
        <f ca="1">IFERROR(__xludf.DUMMYFUNCTION("VLOOKUP(C412,IMPORTRANGE(""https://docs.google.com/spreadsheets/d/1rQ2O3to3MCxQ4eTnJ5b4WStW3zTBTYg21JZurI75aCM/edit?gid=1410613181#gid=1410613181"",""DATA_ABSEN_DES24""),40,0)"),20)</f>
        <v>20</v>
      </c>
      <c r="P412" s="16">
        <f t="shared" ca="1" si="381"/>
        <v>1344500</v>
      </c>
      <c r="Q412" s="16">
        <v>21</v>
      </c>
      <c r="R412" s="16">
        <f t="shared" si="382"/>
        <v>4725097.7920000004</v>
      </c>
      <c r="S412" s="16">
        <f t="shared" ca="1" si="383"/>
        <v>4725097.7920000004</v>
      </c>
      <c r="T412" s="16">
        <f t="shared" ca="1" si="384"/>
        <v>0</v>
      </c>
      <c r="U412" s="16">
        <v>100810</v>
      </c>
      <c r="V412" s="21">
        <f ca="1">IFERROR(__xludf.DUMMYFUNCTION("VLOOKUP(C412,IMPORTRANGE(""https://docs.google.com/spreadsheets/d/1rQ2O3to3MCxQ4eTnJ5b4WStW3zTBTYg21JZurI75aCM/edit?gid=1410613181#gid=1410613181"",""DATA_ABSEN_DES24""),41,0)"),0)</f>
        <v>0</v>
      </c>
      <c r="W412" s="16">
        <f t="shared" ca="1" si="385"/>
        <v>0</v>
      </c>
      <c r="X412" s="16">
        <v>0</v>
      </c>
      <c r="Y412" s="16">
        <f t="shared" ca="1" si="386"/>
        <v>4725097.7920000004</v>
      </c>
      <c r="Z412" s="21"/>
      <c r="AA412" s="21"/>
      <c r="AB412" s="21"/>
      <c r="AC412" s="21"/>
      <c r="AD412" s="21"/>
      <c r="AE412" s="16"/>
      <c r="AF412" s="16"/>
      <c r="AG412" s="16"/>
      <c r="AH412" s="16"/>
      <c r="AI412" s="16"/>
      <c r="AJ412" s="16"/>
      <c r="AK412" s="16"/>
      <c r="AL412" s="16"/>
      <c r="AM412" s="16"/>
      <c r="AN412" s="335">
        <f t="shared" ca="1" si="387"/>
        <v>4725097.7920000004</v>
      </c>
      <c r="AO412" s="20">
        <f t="shared" ca="1" si="388"/>
        <v>0</v>
      </c>
      <c r="AP412" s="20">
        <f t="shared" ca="1" si="389"/>
        <v>4725097.7920000004</v>
      </c>
      <c r="AQ412" s="20">
        <f t="shared" ca="1" si="390"/>
        <v>4725097.7920000004</v>
      </c>
      <c r="AR412" s="20">
        <f t="shared" ca="1" si="391"/>
        <v>4725100</v>
      </c>
      <c r="AS412" s="216"/>
      <c r="AT412" s="30" t="s">
        <v>13</v>
      </c>
      <c r="AU412" s="30" t="str">
        <f>VLOOKUP(AT412,TER!$R$2:$S$10,2,0)</f>
        <v>A</v>
      </c>
      <c r="AV412" s="20">
        <f t="shared" si="392"/>
        <v>3066580</v>
      </c>
      <c r="AW412" s="20">
        <f t="shared" ca="1" si="393"/>
        <v>1344500</v>
      </c>
      <c r="AX412" s="20">
        <f t="shared" ref="AX412:AY412" ca="1" si="477">W412</f>
        <v>0</v>
      </c>
      <c r="AY412" s="20">
        <f t="shared" si="477"/>
        <v>0</v>
      </c>
      <c r="AZ412" s="20">
        <f t="shared" si="395"/>
        <v>7359.7919999999995</v>
      </c>
      <c r="BA412" s="20">
        <f t="shared" si="396"/>
        <v>9199.74</v>
      </c>
      <c r="BB412" s="20">
        <f t="shared" si="397"/>
        <v>122663.2</v>
      </c>
      <c r="BC412" s="20">
        <f t="shared" ca="1" si="398"/>
        <v>4550302.7320000008</v>
      </c>
      <c r="BD412" s="37">
        <f ca="1">IF(AU412="C",VLOOKUP(BC412,TER!$J$4:$L$50,3,TRUE),IF(AU412="B",VLOOKUP(BC412,TER!$F$4:$H$50,3,TRUE),IF(AU412="A",VLOOKUP(BC412,TER!$B$4:$D$50,3,TRUE),"ERROR")))</f>
        <v>0</v>
      </c>
      <c r="BE412" s="20">
        <f t="shared" ca="1" si="399"/>
        <v>0</v>
      </c>
      <c r="BF412" s="216"/>
      <c r="BG412" s="216"/>
    </row>
    <row r="413" spans="1:59" ht="15.75" hidden="1" customHeight="1">
      <c r="A413" s="216"/>
      <c r="B413" s="27">
        <v>75</v>
      </c>
      <c r="C413" s="28" t="s">
        <v>811</v>
      </c>
      <c r="D413" s="245" t="s">
        <v>812</v>
      </c>
      <c r="E413" s="242" t="s">
        <v>57</v>
      </c>
      <c r="F413" s="28" t="s">
        <v>813</v>
      </c>
      <c r="G413" s="27" t="s">
        <v>31</v>
      </c>
      <c r="H413" s="332" t="s">
        <v>32</v>
      </c>
      <c r="I413" s="16">
        <f t="shared" si="380"/>
        <v>3066580</v>
      </c>
      <c r="J413" s="349">
        <v>191354.592</v>
      </c>
      <c r="K413" s="349"/>
      <c r="L413" s="16">
        <v>200000</v>
      </c>
      <c r="M413" s="16">
        <f t="shared" si="471"/>
        <v>54500</v>
      </c>
      <c r="N413" s="21">
        <f ca="1">IFERROR(__xludf.DUMMYFUNCTION("VLOOKUP(C413,IMPORTRANGE(""https://docs.google.com/spreadsheets/d/1rQ2O3to3MCxQ4eTnJ5b4WStW3zTBTYg21JZurI75aCM/edit?gid=1410613181#gid=1410613181"",""DATA_ABSEN_DES24""),39,0)"),21)</f>
        <v>21</v>
      </c>
      <c r="O413" s="334">
        <f ca="1">IFERROR(__xludf.DUMMYFUNCTION("VLOOKUP(C413,IMPORTRANGE(""https://docs.google.com/spreadsheets/d/1rQ2O3to3MCxQ4eTnJ5b4WStW3zTBTYg21JZurI75aCM/edit?gid=1410613181#gid=1410613181"",""DATA_ABSEN_DES24""),40,0)"),20)</f>
        <v>20</v>
      </c>
      <c r="P413" s="16">
        <f t="shared" ca="1" si="381"/>
        <v>1344500</v>
      </c>
      <c r="Q413" s="16">
        <v>21</v>
      </c>
      <c r="R413" s="16">
        <f t="shared" si="382"/>
        <v>4602434.5920000002</v>
      </c>
      <c r="S413" s="16">
        <f t="shared" ca="1" si="383"/>
        <v>4602434.5920000002</v>
      </c>
      <c r="T413" s="16">
        <f t="shared" ca="1" si="384"/>
        <v>0</v>
      </c>
      <c r="U413" s="16">
        <v>100810</v>
      </c>
      <c r="V413" s="21">
        <f ca="1">IFERROR(__xludf.DUMMYFUNCTION("VLOOKUP(C413,IMPORTRANGE(""https://docs.google.com/spreadsheets/d/1rQ2O3to3MCxQ4eTnJ5b4WStW3zTBTYg21JZurI75aCM/edit?gid=1410613181#gid=1410613181"",""DATA_ABSEN_DES24""),41,0)"),0)</f>
        <v>0</v>
      </c>
      <c r="W413" s="16">
        <f t="shared" ca="1" si="385"/>
        <v>0</v>
      </c>
      <c r="X413" s="16">
        <v>0</v>
      </c>
      <c r="Y413" s="16">
        <f t="shared" ca="1" si="386"/>
        <v>4602434.5920000002</v>
      </c>
      <c r="Z413" s="21"/>
      <c r="AA413" s="21"/>
      <c r="AB413" s="21"/>
      <c r="AC413" s="21"/>
      <c r="AD413" s="21"/>
      <c r="AE413" s="16"/>
      <c r="AF413" s="351"/>
      <c r="AG413" s="351"/>
      <c r="AH413" s="16"/>
      <c r="AI413" s="16"/>
      <c r="AJ413" s="16"/>
      <c r="AK413" s="16"/>
      <c r="AL413" s="16"/>
      <c r="AM413" s="16"/>
      <c r="AN413" s="335">
        <f t="shared" ca="1" si="387"/>
        <v>4602434.5920000002</v>
      </c>
      <c r="AO413" s="20">
        <f t="shared" ca="1" si="388"/>
        <v>0</v>
      </c>
      <c r="AP413" s="20">
        <f t="shared" ca="1" si="389"/>
        <v>4602434.5920000002</v>
      </c>
      <c r="AQ413" s="20">
        <f t="shared" ca="1" si="390"/>
        <v>4602434.5920000002</v>
      </c>
      <c r="AR413" s="20">
        <f t="shared" ca="1" si="391"/>
        <v>4602400</v>
      </c>
      <c r="AS413" s="216"/>
      <c r="AT413" s="30" t="s">
        <v>9</v>
      </c>
      <c r="AU413" s="30" t="str">
        <f>VLOOKUP(AT413,TER!$R$2:$S$10,2,0)</f>
        <v>A</v>
      </c>
      <c r="AV413" s="20">
        <f t="shared" si="392"/>
        <v>3066580</v>
      </c>
      <c r="AW413" s="20">
        <f t="shared" ca="1" si="393"/>
        <v>1344500</v>
      </c>
      <c r="AX413" s="20">
        <f t="shared" ref="AX413:AY413" ca="1" si="478">W413</f>
        <v>0</v>
      </c>
      <c r="AY413" s="20">
        <f t="shared" si="478"/>
        <v>0</v>
      </c>
      <c r="AZ413" s="20">
        <f t="shared" si="395"/>
        <v>7359.7919999999995</v>
      </c>
      <c r="BA413" s="20">
        <f t="shared" si="396"/>
        <v>9199.74</v>
      </c>
      <c r="BB413" s="20">
        <f t="shared" si="397"/>
        <v>0</v>
      </c>
      <c r="BC413" s="20">
        <f t="shared" ca="1" si="398"/>
        <v>4427639.5320000006</v>
      </c>
      <c r="BD413" s="37">
        <f ca="1">IF(AU413="C",VLOOKUP(BC413,TER!$J$4:$L$50,3,TRUE),IF(AU413="B",VLOOKUP(BC413,TER!$F$4:$H$50,3,TRUE),IF(AU413="A",VLOOKUP(BC413,TER!$B$4:$D$50,3,TRUE),"ERROR")))</f>
        <v>0</v>
      </c>
      <c r="BE413" s="20">
        <f t="shared" ca="1" si="399"/>
        <v>0</v>
      </c>
      <c r="BF413" s="216"/>
      <c r="BG413" s="216"/>
    </row>
    <row r="414" spans="1:59" ht="15.75" hidden="1" customHeight="1">
      <c r="A414" s="216"/>
      <c r="B414" s="27">
        <v>76</v>
      </c>
      <c r="C414" s="28" t="s">
        <v>814</v>
      </c>
      <c r="D414" s="29" t="s">
        <v>815</v>
      </c>
      <c r="E414" s="27" t="s">
        <v>57</v>
      </c>
      <c r="F414" s="28" t="s">
        <v>816</v>
      </c>
      <c r="G414" s="27" t="s">
        <v>222</v>
      </c>
      <c r="H414" s="332" t="s">
        <v>32</v>
      </c>
      <c r="I414" s="16">
        <f t="shared" si="380"/>
        <v>3066580</v>
      </c>
      <c r="J414" s="16">
        <v>213194.592</v>
      </c>
      <c r="K414" s="16">
        <v>136663.20000000001</v>
      </c>
      <c r="L414" s="16">
        <f>500000+550000+550000+500000+781000</f>
        <v>2881000</v>
      </c>
      <c r="M414" s="16"/>
      <c r="N414" s="21">
        <f ca="1">IFERROR(__xludf.DUMMYFUNCTION("VLOOKUP(C414,IMPORTRANGE(""https://docs.google.com/spreadsheets/d/1rQ2O3to3MCxQ4eTnJ5b4WStW3zTBTYg21JZurI75aCM/edit?gid=1410613181#gid=1410613181"",""DATA_ABSEN_DES24""),39,0)"),20)</f>
        <v>20</v>
      </c>
      <c r="O414" s="334">
        <f ca="1">IFERROR(__xludf.DUMMYFUNCTION("VLOOKUP(C414,IMPORTRANGE(""https://docs.google.com/spreadsheets/d/1rQ2O3to3MCxQ4eTnJ5b4WStW3zTBTYg21JZurI75aCM/edit?gid=1410613181#gid=1410613181"",""DATA_ABSEN_DES24""),40,0)"),20)</f>
        <v>20</v>
      </c>
      <c r="P414" s="16">
        <f t="shared" ca="1" si="381"/>
        <v>2881000</v>
      </c>
      <c r="Q414" s="16"/>
      <c r="R414" s="16">
        <f t="shared" si="382"/>
        <v>6297437.7920000004</v>
      </c>
      <c r="S414" s="16">
        <f t="shared" ca="1" si="383"/>
        <v>6297437.7920000004</v>
      </c>
      <c r="T414" s="16">
        <f t="shared" ca="1" si="384"/>
        <v>0</v>
      </c>
      <c r="U414" s="16">
        <v>100810</v>
      </c>
      <c r="V414" s="21">
        <f ca="1">IFERROR(__xludf.DUMMYFUNCTION("VLOOKUP(C414,IMPORTRANGE(""https://docs.google.com/spreadsheets/d/1rQ2O3to3MCxQ4eTnJ5b4WStW3zTBTYg21JZurI75aCM/edit?gid=1410613181#gid=1410613181"",""DATA_ABSEN_DES24""),41,0)"),0)</f>
        <v>0</v>
      </c>
      <c r="W414" s="16">
        <f t="shared" ca="1" si="385"/>
        <v>0</v>
      </c>
      <c r="X414" s="16">
        <v>0</v>
      </c>
      <c r="Y414" s="16">
        <f t="shared" ca="1" si="386"/>
        <v>6297437.7920000004</v>
      </c>
      <c r="Z414" s="21"/>
      <c r="AA414" s="21"/>
      <c r="AB414" s="21"/>
      <c r="AC414" s="21"/>
      <c r="AD414" s="21"/>
      <c r="AE414" s="16"/>
      <c r="AF414" s="16"/>
      <c r="AG414" s="16"/>
      <c r="AH414" s="16"/>
      <c r="AI414" s="16"/>
      <c r="AJ414" s="16"/>
      <c r="AK414" s="16"/>
      <c r="AL414" s="16"/>
      <c r="AM414" s="16"/>
      <c r="AN414" s="335">
        <f t="shared" ca="1" si="387"/>
        <v>6297437.7920000004</v>
      </c>
      <c r="AO414" s="20">
        <f t="shared" ca="1" si="388"/>
        <v>0</v>
      </c>
      <c r="AP414" s="20">
        <f t="shared" ca="1" si="389"/>
        <v>6297437.7920000004</v>
      </c>
      <c r="AQ414" s="20">
        <f t="shared" ca="1" si="390"/>
        <v>6297437.7920000004</v>
      </c>
      <c r="AR414" s="20">
        <f t="shared" ca="1" si="391"/>
        <v>6297400</v>
      </c>
      <c r="AS414" s="216"/>
      <c r="AT414" s="30" t="s">
        <v>18</v>
      </c>
      <c r="AU414" s="30" t="str">
        <f>VLOOKUP(AT414,TER!$R$2:$S$10,2,0)</f>
        <v>B</v>
      </c>
      <c r="AV414" s="20">
        <f t="shared" si="392"/>
        <v>3066580</v>
      </c>
      <c r="AW414" s="20">
        <f t="shared" ca="1" si="393"/>
        <v>2881000</v>
      </c>
      <c r="AX414" s="20">
        <f t="shared" ref="AX414:AY414" ca="1" si="479">W414</f>
        <v>0</v>
      </c>
      <c r="AY414" s="20">
        <f t="shared" si="479"/>
        <v>0</v>
      </c>
      <c r="AZ414" s="20">
        <f t="shared" si="395"/>
        <v>7359.7919999999995</v>
      </c>
      <c r="BA414" s="20">
        <f t="shared" si="396"/>
        <v>9199.74</v>
      </c>
      <c r="BB414" s="20">
        <f t="shared" si="397"/>
        <v>122663.2</v>
      </c>
      <c r="BC414" s="20">
        <f t="shared" ca="1" si="398"/>
        <v>6086802.7320000008</v>
      </c>
      <c r="BD414" s="37">
        <f ca="1">IF(AU414="C",VLOOKUP(BC414,TER!$J$4:$L$50,3,TRUE),IF(AU414="B",VLOOKUP(BC414,TER!$F$4:$H$50,3,TRUE),IF(AU414="A",VLOOKUP(BC414,TER!$B$4:$D$50,3,TRUE),"ERROR")))</f>
        <v>0</v>
      </c>
      <c r="BE414" s="20">
        <f t="shared" ca="1" si="399"/>
        <v>0</v>
      </c>
      <c r="BF414" s="216"/>
      <c r="BG414" s="216"/>
    </row>
    <row r="415" spans="1:59" ht="15.75" hidden="1" customHeight="1">
      <c r="A415" s="216"/>
      <c r="B415" s="27">
        <v>77</v>
      </c>
      <c r="C415" s="28" t="s">
        <v>817</v>
      </c>
      <c r="D415" s="29" t="s">
        <v>818</v>
      </c>
      <c r="E415" s="27" t="s">
        <v>57</v>
      </c>
      <c r="F415" s="28" t="s">
        <v>819</v>
      </c>
      <c r="G415" s="27" t="s">
        <v>31</v>
      </c>
      <c r="H415" s="332" t="s">
        <v>32</v>
      </c>
      <c r="I415" s="16">
        <f t="shared" si="380"/>
        <v>3066580</v>
      </c>
      <c r="J415" s="16">
        <v>191354.592</v>
      </c>
      <c r="K415" s="16">
        <v>122663.2</v>
      </c>
      <c r="L415" s="16">
        <v>200000</v>
      </c>
      <c r="M415" s="16">
        <f t="shared" ref="M415:M417" si="480">(724500+420000)/21</f>
        <v>54500</v>
      </c>
      <c r="N415" s="21">
        <f ca="1">IFERROR(__xludf.DUMMYFUNCTION("VLOOKUP(C415,IMPORTRANGE(""https://docs.google.com/spreadsheets/d/1rQ2O3to3MCxQ4eTnJ5b4WStW3zTBTYg21JZurI75aCM/edit?gid=1410613181#gid=1410613181"",""DATA_ABSEN_DES24""),39,0)"),19)</f>
        <v>19</v>
      </c>
      <c r="O415" s="334">
        <f ca="1">IFERROR(__xludf.DUMMYFUNCTION("VLOOKUP(C415,IMPORTRANGE(""https://docs.google.com/spreadsheets/d/1rQ2O3to3MCxQ4eTnJ5b4WStW3zTBTYg21JZurI75aCM/edit?gid=1410613181#gid=1410613181"",""DATA_ABSEN_DES24""),40,0)"),20)</f>
        <v>20</v>
      </c>
      <c r="P415" s="16">
        <f t="shared" ca="1" si="381"/>
        <v>1235500</v>
      </c>
      <c r="Q415" s="16">
        <v>21</v>
      </c>
      <c r="R415" s="16">
        <f t="shared" si="382"/>
        <v>4725097.7920000004</v>
      </c>
      <c r="S415" s="16">
        <f t="shared" ca="1" si="383"/>
        <v>4616097.7920000004</v>
      </c>
      <c r="T415" s="16">
        <f t="shared" ca="1" si="384"/>
        <v>0</v>
      </c>
      <c r="U415" s="16">
        <v>100810</v>
      </c>
      <c r="V415" s="21">
        <f ca="1">IFERROR(__xludf.DUMMYFUNCTION("VLOOKUP(C415,IMPORTRANGE(""https://docs.google.com/spreadsheets/d/1rQ2O3to3MCxQ4eTnJ5b4WStW3zTBTYg21JZurI75aCM/edit?gid=1410613181#gid=1410613181"",""DATA_ABSEN_DES24""),41,0)"),0)</f>
        <v>0</v>
      </c>
      <c r="W415" s="16">
        <f t="shared" ca="1" si="385"/>
        <v>0</v>
      </c>
      <c r="X415" s="16">
        <v>0</v>
      </c>
      <c r="Y415" s="16">
        <f t="shared" ca="1" si="386"/>
        <v>4616097.7920000004</v>
      </c>
      <c r="Z415" s="21"/>
      <c r="AA415" s="21"/>
      <c r="AB415" s="21"/>
      <c r="AC415" s="21"/>
      <c r="AD415" s="21"/>
      <c r="AE415" s="16"/>
      <c r="AF415" s="16"/>
      <c r="AG415" s="16"/>
      <c r="AH415" s="16"/>
      <c r="AI415" s="16"/>
      <c r="AJ415" s="16"/>
      <c r="AK415" s="16"/>
      <c r="AL415" s="16"/>
      <c r="AM415" s="16"/>
      <c r="AN415" s="335">
        <f t="shared" ca="1" si="387"/>
        <v>4616097.7920000004</v>
      </c>
      <c r="AO415" s="20">
        <f t="shared" ca="1" si="388"/>
        <v>0</v>
      </c>
      <c r="AP415" s="20">
        <f t="shared" ca="1" si="389"/>
        <v>4616097.7920000004</v>
      </c>
      <c r="AQ415" s="20">
        <f t="shared" ca="1" si="390"/>
        <v>4616097.7920000004</v>
      </c>
      <c r="AR415" s="20">
        <f t="shared" ca="1" si="391"/>
        <v>4616100</v>
      </c>
      <c r="AS415" s="216"/>
      <c r="AT415" s="30" t="s">
        <v>13</v>
      </c>
      <c r="AU415" s="30" t="str">
        <f>VLOOKUP(AT415,TER!$R$2:$S$10,2,0)</f>
        <v>A</v>
      </c>
      <c r="AV415" s="20">
        <f t="shared" si="392"/>
        <v>3066580</v>
      </c>
      <c r="AW415" s="20">
        <f t="shared" ca="1" si="393"/>
        <v>1235500</v>
      </c>
      <c r="AX415" s="20">
        <f t="shared" ref="AX415:AY415" ca="1" si="481">W415</f>
        <v>0</v>
      </c>
      <c r="AY415" s="20">
        <f t="shared" si="481"/>
        <v>0</v>
      </c>
      <c r="AZ415" s="20">
        <f t="shared" si="395"/>
        <v>7359.7919999999995</v>
      </c>
      <c r="BA415" s="20">
        <f t="shared" si="396"/>
        <v>9199.74</v>
      </c>
      <c r="BB415" s="20">
        <f t="shared" si="397"/>
        <v>122663.2</v>
      </c>
      <c r="BC415" s="20">
        <f t="shared" ca="1" si="398"/>
        <v>4441302.7320000008</v>
      </c>
      <c r="BD415" s="37">
        <f ca="1">IF(AU415="C",VLOOKUP(BC415,TER!$J$4:$L$50,3,TRUE),IF(AU415="B",VLOOKUP(BC415,TER!$F$4:$H$50,3,TRUE),IF(AU415="A",VLOOKUP(BC415,TER!$B$4:$D$50,3,TRUE),"ERROR")))</f>
        <v>0</v>
      </c>
      <c r="BE415" s="20">
        <f t="shared" ca="1" si="399"/>
        <v>0</v>
      </c>
      <c r="BF415" s="216"/>
      <c r="BG415" s="216"/>
    </row>
    <row r="416" spans="1:59" ht="15.75" hidden="1" customHeight="1">
      <c r="A416" s="216"/>
      <c r="B416" s="27">
        <v>78</v>
      </c>
      <c r="C416" s="28" t="s">
        <v>820</v>
      </c>
      <c r="D416" s="29" t="s">
        <v>821</v>
      </c>
      <c r="E416" s="27" t="s">
        <v>57</v>
      </c>
      <c r="F416" s="28" t="s">
        <v>822</v>
      </c>
      <c r="G416" s="27" t="s">
        <v>31</v>
      </c>
      <c r="H416" s="332" t="s">
        <v>32</v>
      </c>
      <c r="I416" s="16">
        <f t="shared" si="380"/>
        <v>3066580</v>
      </c>
      <c r="J416" s="16">
        <v>191354.592</v>
      </c>
      <c r="K416" s="16">
        <v>122663.2</v>
      </c>
      <c r="L416" s="16">
        <v>200000</v>
      </c>
      <c r="M416" s="16">
        <f t="shared" si="480"/>
        <v>54500</v>
      </c>
      <c r="N416" s="21">
        <f ca="1">IFERROR(__xludf.DUMMYFUNCTION("VLOOKUP(C416,IMPORTRANGE(""https://docs.google.com/spreadsheets/d/1rQ2O3to3MCxQ4eTnJ5b4WStW3zTBTYg21JZurI75aCM/edit?gid=1410613181#gid=1410613181"",""DATA_ABSEN_DES24""),39,0)"),20)</f>
        <v>20</v>
      </c>
      <c r="O416" s="334">
        <f ca="1">IFERROR(__xludf.DUMMYFUNCTION("VLOOKUP(C416,IMPORTRANGE(""https://docs.google.com/spreadsheets/d/1rQ2O3to3MCxQ4eTnJ5b4WStW3zTBTYg21JZurI75aCM/edit?gid=1410613181#gid=1410613181"",""DATA_ABSEN_DES24""),40,0)"),20)</f>
        <v>20</v>
      </c>
      <c r="P416" s="16">
        <f t="shared" ca="1" si="381"/>
        <v>1290000</v>
      </c>
      <c r="Q416" s="16">
        <v>21</v>
      </c>
      <c r="R416" s="16">
        <f t="shared" si="382"/>
        <v>4725097.7920000004</v>
      </c>
      <c r="S416" s="16">
        <f t="shared" ca="1" si="383"/>
        <v>4670597.7920000004</v>
      </c>
      <c r="T416" s="16">
        <f t="shared" ca="1" si="384"/>
        <v>0</v>
      </c>
      <c r="U416" s="16">
        <v>100810</v>
      </c>
      <c r="V416" s="21">
        <f ca="1">IFERROR(__xludf.DUMMYFUNCTION("VLOOKUP(C416,IMPORTRANGE(""https://docs.google.com/spreadsheets/d/1rQ2O3to3MCxQ4eTnJ5b4WStW3zTBTYg21JZurI75aCM/edit?gid=1410613181#gid=1410613181"",""DATA_ABSEN_DES24""),41,0)"),0)</f>
        <v>0</v>
      </c>
      <c r="W416" s="16">
        <f t="shared" ca="1" si="385"/>
        <v>0</v>
      </c>
      <c r="X416" s="16">
        <v>0</v>
      </c>
      <c r="Y416" s="16">
        <f t="shared" ca="1" si="386"/>
        <v>4670597.7920000004</v>
      </c>
      <c r="Z416" s="21"/>
      <c r="AA416" s="21"/>
      <c r="AB416" s="21"/>
      <c r="AC416" s="21"/>
      <c r="AD416" s="21"/>
      <c r="AE416" s="16"/>
      <c r="AF416" s="16"/>
      <c r="AG416" s="16"/>
      <c r="AH416" s="16"/>
      <c r="AI416" s="16"/>
      <c r="AJ416" s="16"/>
      <c r="AK416" s="16"/>
      <c r="AL416" s="16"/>
      <c r="AM416" s="16"/>
      <c r="AN416" s="335">
        <f t="shared" ca="1" si="387"/>
        <v>4670597.7920000004</v>
      </c>
      <c r="AO416" s="20">
        <f t="shared" ca="1" si="388"/>
        <v>0</v>
      </c>
      <c r="AP416" s="20">
        <f t="shared" ca="1" si="389"/>
        <v>4670597.7920000004</v>
      </c>
      <c r="AQ416" s="20">
        <f t="shared" ca="1" si="390"/>
        <v>4670597.7920000004</v>
      </c>
      <c r="AR416" s="20">
        <f t="shared" ca="1" si="391"/>
        <v>4670600</v>
      </c>
      <c r="AS416" s="216"/>
      <c r="AT416" s="30" t="s">
        <v>9</v>
      </c>
      <c r="AU416" s="30" t="str">
        <f>VLOOKUP(AT416,TER!$R$2:$S$10,2,0)</f>
        <v>A</v>
      </c>
      <c r="AV416" s="20">
        <f t="shared" si="392"/>
        <v>3066580</v>
      </c>
      <c r="AW416" s="20">
        <f t="shared" ca="1" si="393"/>
        <v>1290000</v>
      </c>
      <c r="AX416" s="20">
        <f t="shared" ref="AX416:AY416" ca="1" si="482">W416</f>
        <v>0</v>
      </c>
      <c r="AY416" s="20">
        <f t="shared" si="482"/>
        <v>0</v>
      </c>
      <c r="AZ416" s="20">
        <f t="shared" si="395"/>
        <v>7359.7919999999995</v>
      </c>
      <c r="BA416" s="20">
        <f t="shared" si="396"/>
        <v>9199.74</v>
      </c>
      <c r="BB416" s="20">
        <f t="shared" si="397"/>
        <v>122663.2</v>
      </c>
      <c r="BC416" s="20">
        <f t="shared" ca="1" si="398"/>
        <v>4495802.7320000008</v>
      </c>
      <c r="BD416" s="37">
        <f ca="1">IF(AU416="C",VLOOKUP(BC416,TER!$J$4:$L$50,3,TRUE),IF(AU416="B",VLOOKUP(BC416,TER!$F$4:$H$50,3,TRUE),IF(AU416="A",VLOOKUP(BC416,TER!$B$4:$D$50,3,TRUE),"ERROR")))</f>
        <v>0</v>
      </c>
      <c r="BE416" s="20">
        <f t="shared" ca="1" si="399"/>
        <v>0</v>
      </c>
      <c r="BF416" s="216"/>
      <c r="BG416" s="216"/>
    </row>
    <row r="417" spans="1:59" ht="15.75" hidden="1" customHeight="1">
      <c r="A417" s="216"/>
      <c r="B417" s="27">
        <v>79</v>
      </c>
      <c r="C417" s="28" t="s">
        <v>823</v>
      </c>
      <c r="D417" s="29" t="s">
        <v>824</v>
      </c>
      <c r="E417" s="27" t="s">
        <v>57</v>
      </c>
      <c r="F417" s="28" t="s">
        <v>825</v>
      </c>
      <c r="G417" s="27" t="s">
        <v>31</v>
      </c>
      <c r="H417" s="332" t="s">
        <v>32</v>
      </c>
      <c r="I417" s="16">
        <f t="shared" si="380"/>
        <v>3066580</v>
      </c>
      <c r="J417" s="16">
        <v>191354.592</v>
      </c>
      <c r="K417" s="16">
        <v>122663.2</v>
      </c>
      <c r="L417" s="16">
        <v>200000</v>
      </c>
      <c r="M417" s="16">
        <f t="shared" si="480"/>
        <v>54500</v>
      </c>
      <c r="N417" s="21">
        <f ca="1">IFERROR(__xludf.DUMMYFUNCTION("VLOOKUP(C417,IMPORTRANGE(""https://docs.google.com/spreadsheets/d/1rQ2O3to3MCxQ4eTnJ5b4WStW3zTBTYg21JZurI75aCM/edit?gid=1410613181#gid=1410613181"",""DATA_ABSEN_DES24""),39,0)"),20)</f>
        <v>20</v>
      </c>
      <c r="O417" s="334">
        <f ca="1">IFERROR(__xludf.DUMMYFUNCTION("VLOOKUP(C417,IMPORTRANGE(""https://docs.google.com/spreadsheets/d/1rQ2O3to3MCxQ4eTnJ5b4WStW3zTBTYg21JZurI75aCM/edit?gid=1410613181#gid=1410613181"",""DATA_ABSEN_DES24""),40,0)"),20)</f>
        <v>20</v>
      </c>
      <c r="P417" s="16">
        <f t="shared" ca="1" si="381"/>
        <v>1290000</v>
      </c>
      <c r="Q417" s="16">
        <v>21</v>
      </c>
      <c r="R417" s="16">
        <f t="shared" si="382"/>
        <v>4725097.7920000004</v>
      </c>
      <c r="S417" s="16">
        <f t="shared" ca="1" si="383"/>
        <v>4670597.7920000004</v>
      </c>
      <c r="T417" s="16">
        <f t="shared" ca="1" si="384"/>
        <v>0</v>
      </c>
      <c r="U417" s="16">
        <v>100810</v>
      </c>
      <c r="V417" s="21">
        <f ca="1">IFERROR(__xludf.DUMMYFUNCTION("VLOOKUP(C417,IMPORTRANGE(""https://docs.google.com/spreadsheets/d/1rQ2O3to3MCxQ4eTnJ5b4WStW3zTBTYg21JZurI75aCM/edit?gid=1410613181#gid=1410613181"",""DATA_ABSEN_DES24""),41,0)"),0)</f>
        <v>0</v>
      </c>
      <c r="W417" s="16">
        <f t="shared" ca="1" si="385"/>
        <v>0</v>
      </c>
      <c r="X417" s="16">
        <v>0</v>
      </c>
      <c r="Y417" s="16">
        <f t="shared" ca="1" si="386"/>
        <v>4670597.7920000004</v>
      </c>
      <c r="Z417" s="21"/>
      <c r="AA417" s="21"/>
      <c r="AB417" s="21"/>
      <c r="AC417" s="21"/>
      <c r="AD417" s="21"/>
      <c r="AE417" s="16"/>
      <c r="AF417" s="16"/>
      <c r="AG417" s="16"/>
      <c r="AH417" s="16"/>
      <c r="AI417" s="16"/>
      <c r="AJ417" s="16"/>
      <c r="AK417" s="16"/>
      <c r="AL417" s="16"/>
      <c r="AM417" s="16"/>
      <c r="AN417" s="335">
        <f t="shared" ca="1" si="387"/>
        <v>4670597.7920000004</v>
      </c>
      <c r="AO417" s="20">
        <f t="shared" ca="1" si="388"/>
        <v>0</v>
      </c>
      <c r="AP417" s="20">
        <f t="shared" ca="1" si="389"/>
        <v>4670597.7920000004</v>
      </c>
      <c r="AQ417" s="20">
        <f t="shared" ca="1" si="390"/>
        <v>4670597.7920000004</v>
      </c>
      <c r="AR417" s="20">
        <f t="shared" ca="1" si="391"/>
        <v>4670600</v>
      </c>
      <c r="AS417" s="216"/>
      <c r="AT417" s="30" t="s">
        <v>18</v>
      </c>
      <c r="AU417" s="30" t="str">
        <f>VLOOKUP(AT417,TER!$R$2:$S$10,2,0)</f>
        <v>B</v>
      </c>
      <c r="AV417" s="20">
        <f t="shared" si="392"/>
        <v>3066580</v>
      </c>
      <c r="AW417" s="20">
        <f t="shared" ca="1" si="393"/>
        <v>1290000</v>
      </c>
      <c r="AX417" s="20">
        <f t="shared" ref="AX417:AY417" ca="1" si="483">W417</f>
        <v>0</v>
      </c>
      <c r="AY417" s="20">
        <f t="shared" si="483"/>
        <v>0</v>
      </c>
      <c r="AZ417" s="20">
        <f t="shared" si="395"/>
        <v>7359.7919999999995</v>
      </c>
      <c r="BA417" s="20">
        <f t="shared" si="396"/>
        <v>9199.74</v>
      </c>
      <c r="BB417" s="20">
        <f t="shared" si="397"/>
        <v>122663.2</v>
      </c>
      <c r="BC417" s="20">
        <f t="shared" ca="1" si="398"/>
        <v>4495802.7320000008</v>
      </c>
      <c r="BD417" s="37">
        <f ca="1">IF(AU417="C",VLOOKUP(BC417,TER!$J$4:$L$50,3,TRUE),IF(AU417="B",VLOOKUP(BC417,TER!$F$4:$H$50,3,TRUE),IF(AU417="A",VLOOKUP(BC417,TER!$B$4:$D$50,3,TRUE),"ERROR")))</f>
        <v>0</v>
      </c>
      <c r="BE417" s="20">
        <f t="shared" ca="1" si="399"/>
        <v>0</v>
      </c>
      <c r="BF417" s="216"/>
      <c r="BG417" s="216"/>
    </row>
    <row r="418" spans="1:59" ht="15.75" hidden="1" customHeight="1">
      <c r="A418" s="216"/>
      <c r="B418" s="27">
        <v>80</v>
      </c>
      <c r="C418" s="28" t="s">
        <v>826</v>
      </c>
      <c r="D418" s="29" t="s">
        <v>827</v>
      </c>
      <c r="E418" s="27" t="s">
        <v>57</v>
      </c>
      <c r="F418" s="28" t="s">
        <v>828</v>
      </c>
      <c r="G418" s="27" t="s">
        <v>300</v>
      </c>
      <c r="H418" s="332" t="s">
        <v>32</v>
      </c>
      <c r="I418" s="16">
        <f t="shared" si="380"/>
        <v>3066580</v>
      </c>
      <c r="J418" s="16">
        <v>234000.00000000003</v>
      </c>
      <c r="K418" s="16">
        <v>150000</v>
      </c>
      <c r="L418" s="16">
        <f>2450000+1000000+800000+1500000+1000000</f>
        <v>6750000</v>
      </c>
      <c r="M418" s="16"/>
      <c r="N418" s="21">
        <f ca="1">IFERROR(__xludf.DUMMYFUNCTION("VLOOKUP(C418,IMPORTRANGE(""https://docs.google.com/spreadsheets/d/1rQ2O3to3MCxQ4eTnJ5b4WStW3zTBTYg21JZurI75aCM/edit?gid=1410613181#gid=1410613181"",""DATA_ABSEN_DES24""),39,0)"),31)</f>
        <v>31</v>
      </c>
      <c r="O418" s="334">
        <f ca="1">IFERROR(__xludf.DUMMYFUNCTION("VLOOKUP(C418,IMPORTRANGE(""https://docs.google.com/spreadsheets/d/1rQ2O3to3MCxQ4eTnJ5b4WStW3zTBTYg21JZurI75aCM/edit?gid=1410613181#gid=1410613181"",""DATA_ABSEN_DES24""),40,0)"),30)</f>
        <v>30</v>
      </c>
      <c r="P418" s="16">
        <f t="shared" ca="1" si="381"/>
        <v>6750000</v>
      </c>
      <c r="Q418" s="16"/>
      <c r="R418" s="16">
        <f t="shared" si="382"/>
        <v>10200580</v>
      </c>
      <c r="S418" s="16">
        <f t="shared" ca="1" si="383"/>
        <v>10200580</v>
      </c>
      <c r="T418" s="16">
        <f t="shared" ca="1" si="384"/>
        <v>0</v>
      </c>
      <c r="U418" s="16">
        <v>100810</v>
      </c>
      <c r="V418" s="21">
        <f ca="1">IFERROR(__xludf.DUMMYFUNCTION("VLOOKUP(C418,IMPORTRANGE(""https://docs.google.com/spreadsheets/d/1rQ2O3to3MCxQ4eTnJ5b4WStW3zTBTYg21JZurI75aCM/edit?gid=1410613181#gid=1410613181"",""DATA_ABSEN_DES24""),41,0)"),0)</f>
        <v>0</v>
      </c>
      <c r="W418" s="16">
        <f t="shared" ca="1" si="385"/>
        <v>0</v>
      </c>
      <c r="X418" s="16">
        <v>0</v>
      </c>
      <c r="Y418" s="16">
        <f t="shared" ca="1" si="386"/>
        <v>10200580</v>
      </c>
      <c r="Z418" s="21"/>
      <c r="AA418" s="21"/>
      <c r="AB418" s="21"/>
      <c r="AC418" s="21"/>
      <c r="AD418" s="21"/>
      <c r="AE418" s="16"/>
      <c r="AF418" s="16"/>
      <c r="AG418" s="16"/>
      <c r="AH418" s="16"/>
      <c r="AI418" s="16"/>
      <c r="AJ418" s="16"/>
      <c r="AK418" s="16"/>
      <c r="AL418" s="16"/>
      <c r="AM418" s="16"/>
      <c r="AN418" s="335">
        <f t="shared" ca="1" si="387"/>
        <v>10200580</v>
      </c>
      <c r="AO418" s="20">
        <f t="shared" ca="1" si="388"/>
        <v>149337.04097999999</v>
      </c>
      <c r="AP418" s="20">
        <f t="shared" ca="1" si="389"/>
        <v>10051242.95902</v>
      </c>
      <c r="AQ418" s="20">
        <f t="shared" ca="1" si="390"/>
        <v>10051242.95902</v>
      </c>
      <c r="AR418" s="20">
        <f t="shared" ca="1" si="391"/>
        <v>10051200</v>
      </c>
      <c r="AS418" s="216"/>
      <c r="AT418" s="30" t="s">
        <v>18</v>
      </c>
      <c r="AU418" s="30" t="str">
        <f>VLOOKUP(AT418,TER!$R$2:$S$10,2,0)</f>
        <v>B</v>
      </c>
      <c r="AV418" s="20">
        <f t="shared" si="392"/>
        <v>3066580</v>
      </c>
      <c r="AW418" s="20">
        <f t="shared" ca="1" si="393"/>
        <v>6750000</v>
      </c>
      <c r="AX418" s="20">
        <f t="shared" ref="AX418:AY418" ca="1" si="484">W418</f>
        <v>0</v>
      </c>
      <c r="AY418" s="20">
        <f t="shared" si="484"/>
        <v>0</v>
      </c>
      <c r="AZ418" s="20">
        <f t="shared" si="395"/>
        <v>7359.7919999999995</v>
      </c>
      <c r="BA418" s="20">
        <f t="shared" si="396"/>
        <v>9199.74</v>
      </c>
      <c r="BB418" s="20">
        <f t="shared" si="397"/>
        <v>122663.2</v>
      </c>
      <c r="BC418" s="20">
        <f t="shared" ca="1" si="398"/>
        <v>9955802.7319999989</v>
      </c>
      <c r="BD418" s="37">
        <f ca="1">IF(AU418="C",VLOOKUP(BC418,TER!$J$4:$L$50,3,TRUE),IF(AU418="B",VLOOKUP(BC418,TER!$F$4:$H$50,3,TRUE),IF(AU418="A",VLOOKUP(BC418,TER!$B$4:$D$50,3,TRUE),"ERROR")))</f>
        <v>1.4999999999999999E-2</v>
      </c>
      <c r="BE418" s="20">
        <f t="shared" ca="1" si="399"/>
        <v>149337.04097999999</v>
      </c>
      <c r="BF418" s="216"/>
      <c r="BG418" s="216"/>
    </row>
    <row r="419" spans="1:59" ht="15.75" hidden="1" customHeight="1">
      <c r="A419" s="216"/>
      <c r="B419" s="27">
        <v>81</v>
      </c>
      <c r="C419" s="28" t="s">
        <v>829</v>
      </c>
      <c r="D419" s="29" t="s">
        <v>830</v>
      </c>
      <c r="E419" s="27" t="s">
        <v>57</v>
      </c>
      <c r="F419" s="28" t="s">
        <v>831</v>
      </c>
      <c r="G419" s="27" t="s">
        <v>31</v>
      </c>
      <c r="H419" s="332" t="s">
        <v>32</v>
      </c>
      <c r="I419" s="16">
        <f t="shared" si="380"/>
        <v>3066580</v>
      </c>
      <c r="J419" s="16">
        <v>191354.592</v>
      </c>
      <c r="K419" s="16">
        <v>122663.2</v>
      </c>
      <c r="L419" s="16">
        <v>200000</v>
      </c>
      <c r="M419" s="16">
        <f t="shared" ref="M419:M427" si="485">(724500+420000)/21</f>
        <v>54500</v>
      </c>
      <c r="N419" s="21">
        <f ca="1">IFERROR(__xludf.DUMMYFUNCTION("VLOOKUP(C419,IMPORTRANGE(""https://docs.google.com/spreadsheets/d/1rQ2O3to3MCxQ4eTnJ5b4WStW3zTBTYg21JZurI75aCM/edit?gid=1410613181#gid=1410613181"",""DATA_ABSEN_DES24""),39,0)"),21)</f>
        <v>21</v>
      </c>
      <c r="O419" s="334">
        <f ca="1">IFERROR(__xludf.DUMMYFUNCTION("VLOOKUP(C419,IMPORTRANGE(""https://docs.google.com/spreadsheets/d/1rQ2O3to3MCxQ4eTnJ5b4WStW3zTBTYg21JZurI75aCM/edit?gid=1410613181#gid=1410613181"",""DATA_ABSEN_DES24""),40,0)"),20)</f>
        <v>20</v>
      </c>
      <c r="P419" s="16">
        <f t="shared" ca="1" si="381"/>
        <v>1344500</v>
      </c>
      <c r="Q419" s="16">
        <v>21</v>
      </c>
      <c r="R419" s="16">
        <f t="shared" si="382"/>
        <v>4725097.7920000004</v>
      </c>
      <c r="S419" s="16">
        <f t="shared" ca="1" si="383"/>
        <v>4725097.7920000004</v>
      </c>
      <c r="T419" s="16">
        <f t="shared" ca="1" si="384"/>
        <v>0</v>
      </c>
      <c r="U419" s="16">
        <v>100810</v>
      </c>
      <c r="V419" s="21">
        <f ca="1">IFERROR(__xludf.DUMMYFUNCTION("VLOOKUP(C419,IMPORTRANGE(""https://docs.google.com/spreadsheets/d/1rQ2O3to3MCxQ4eTnJ5b4WStW3zTBTYg21JZurI75aCM/edit?gid=1410613181#gid=1410613181"",""DATA_ABSEN_DES24""),41,0)"),0)</f>
        <v>0</v>
      </c>
      <c r="W419" s="16">
        <f t="shared" ca="1" si="385"/>
        <v>0</v>
      </c>
      <c r="X419" s="16">
        <v>0</v>
      </c>
      <c r="Y419" s="16">
        <f t="shared" ca="1" si="386"/>
        <v>4725097.7920000004</v>
      </c>
      <c r="Z419" s="21"/>
      <c r="AA419" s="21"/>
      <c r="AB419" s="21"/>
      <c r="AC419" s="21"/>
      <c r="AD419" s="21"/>
      <c r="AE419" s="16"/>
      <c r="AF419" s="16"/>
      <c r="AG419" s="16"/>
      <c r="AH419" s="16"/>
      <c r="AI419" s="16"/>
      <c r="AJ419" s="16"/>
      <c r="AK419" s="16"/>
      <c r="AL419" s="16"/>
      <c r="AM419" s="16"/>
      <c r="AN419" s="335">
        <f t="shared" ca="1" si="387"/>
        <v>4725097.7920000004</v>
      </c>
      <c r="AO419" s="20">
        <f t="shared" ca="1" si="388"/>
        <v>0</v>
      </c>
      <c r="AP419" s="20">
        <f t="shared" ca="1" si="389"/>
        <v>4725097.7920000004</v>
      </c>
      <c r="AQ419" s="20">
        <f t="shared" ca="1" si="390"/>
        <v>4725097.7920000004</v>
      </c>
      <c r="AR419" s="20">
        <f t="shared" ca="1" si="391"/>
        <v>4725100</v>
      </c>
      <c r="AS419" s="216"/>
      <c r="AT419" s="30" t="s">
        <v>9</v>
      </c>
      <c r="AU419" s="30" t="str">
        <f>VLOOKUP(AT419,TER!$R$2:$S$10,2,0)</f>
        <v>A</v>
      </c>
      <c r="AV419" s="20">
        <f t="shared" si="392"/>
        <v>3066580</v>
      </c>
      <c r="AW419" s="20">
        <f t="shared" ca="1" si="393"/>
        <v>1344500</v>
      </c>
      <c r="AX419" s="20">
        <f t="shared" ref="AX419:AY419" ca="1" si="486">W419</f>
        <v>0</v>
      </c>
      <c r="AY419" s="20">
        <f t="shared" si="486"/>
        <v>0</v>
      </c>
      <c r="AZ419" s="20">
        <f t="shared" si="395"/>
        <v>7359.7919999999995</v>
      </c>
      <c r="BA419" s="20">
        <f t="shared" si="396"/>
        <v>9199.74</v>
      </c>
      <c r="BB419" s="20">
        <f t="shared" si="397"/>
        <v>122663.2</v>
      </c>
      <c r="BC419" s="20">
        <f t="shared" ca="1" si="398"/>
        <v>4550302.7320000008</v>
      </c>
      <c r="BD419" s="37">
        <f ca="1">IF(AU419="C",VLOOKUP(BC419,TER!$J$4:$L$50,3,TRUE),IF(AU419="B",VLOOKUP(BC419,TER!$F$4:$H$50,3,TRUE),IF(AU419="A",VLOOKUP(BC419,TER!$B$4:$D$50,3,TRUE),"ERROR")))</f>
        <v>0</v>
      </c>
      <c r="BE419" s="20">
        <f t="shared" ca="1" si="399"/>
        <v>0</v>
      </c>
      <c r="BF419" s="216"/>
      <c r="BG419" s="216"/>
    </row>
    <row r="420" spans="1:59" ht="15.75" hidden="1" customHeight="1">
      <c r="A420" s="216"/>
      <c r="B420" s="27">
        <v>82</v>
      </c>
      <c r="C420" s="28" t="s">
        <v>832</v>
      </c>
      <c r="D420" s="29" t="s">
        <v>833</v>
      </c>
      <c r="E420" s="27" t="s">
        <v>57</v>
      </c>
      <c r="F420" s="28" t="s">
        <v>834</v>
      </c>
      <c r="G420" s="27" t="s">
        <v>31</v>
      </c>
      <c r="H420" s="332" t="s">
        <v>32</v>
      </c>
      <c r="I420" s="16">
        <f t="shared" si="380"/>
        <v>3066580</v>
      </c>
      <c r="J420" s="16">
        <v>191354.592</v>
      </c>
      <c r="K420" s="16">
        <v>122663.2</v>
      </c>
      <c r="L420" s="16">
        <v>200000</v>
      </c>
      <c r="M420" s="16">
        <f t="shared" si="485"/>
        <v>54500</v>
      </c>
      <c r="N420" s="21">
        <f ca="1">IFERROR(__xludf.DUMMYFUNCTION("VLOOKUP(C420,IMPORTRANGE(""https://docs.google.com/spreadsheets/d/1rQ2O3to3MCxQ4eTnJ5b4WStW3zTBTYg21JZurI75aCM/edit?gid=1410613181#gid=1410613181"",""DATA_ABSEN_DES24""),39,0)"),21)</f>
        <v>21</v>
      </c>
      <c r="O420" s="334">
        <f ca="1">IFERROR(__xludf.DUMMYFUNCTION("VLOOKUP(C420,IMPORTRANGE(""https://docs.google.com/spreadsheets/d/1rQ2O3to3MCxQ4eTnJ5b4WStW3zTBTYg21JZurI75aCM/edit?gid=1410613181#gid=1410613181"",""DATA_ABSEN_DES24""),40,0)"),20)</f>
        <v>20</v>
      </c>
      <c r="P420" s="16">
        <f t="shared" ca="1" si="381"/>
        <v>1344500</v>
      </c>
      <c r="Q420" s="16">
        <v>21</v>
      </c>
      <c r="R420" s="16">
        <f t="shared" si="382"/>
        <v>4725097.7920000004</v>
      </c>
      <c r="S420" s="16">
        <f t="shared" ca="1" si="383"/>
        <v>4725097.7920000004</v>
      </c>
      <c r="T420" s="16">
        <f t="shared" ca="1" si="384"/>
        <v>0</v>
      </c>
      <c r="U420" s="16">
        <v>100810</v>
      </c>
      <c r="V420" s="21">
        <f ca="1">IFERROR(__xludf.DUMMYFUNCTION("VLOOKUP(C420,IMPORTRANGE(""https://docs.google.com/spreadsheets/d/1rQ2O3to3MCxQ4eTnJ5b4WStW3zTBTYg21JZurI75aCM/edit?gid=1410613181#gid=1410613181"",""DATA_ABSEN_DES24""),41,0)"),0)</f>
        <v>0</v>
      </c>
      <c r="W420" s="16">
        <f t="shared" ca="1" si="385"/>
        <v>0</v>
      </c>
      <c r="X420" s="16">
        <v>0</v>
      </c>
      <c r="Y420" s="16">
        <f t="shared" ca="1" si="386"/>
        <v>4725097.7920000004</v>
      </c>
      <c r="Z420" s="21"/>
      <c r="AA420" s="21"/>
      <c r="AB420" s="21"/>
      <c r="AC420" s="21"/>
      <c r="AD420" s="21"/>
      <c r="AE420" s="16"/>
      <c r="AF420" s="16"/>
      <c r="AG420" s="16"/>
      <c r="AH420" s="16"/>
      <c r="AI420" s="16"/>
      <c r="AJ420" s="16"/>
      <c r="AK420" s="16"/>
      <c r="AL420" s="16"/>
      <c r="AM420" s="16"/>
      <c r="AN420" s="335">
        <f t="shared" ca="1" si="387"/>
        <v>4725097.7920000004</v>
      </c>
      <c r="AO420" s="20">
        <f t="shared" ca="1" si="388"/>
        <v>0</v>
      </c>
      <c r="AP420" s="20">
        <f t="shared" ca="1" si="389"/>
        <v>4725097.7920000004</v>
      </c>
      <c r="AQ420" s="20">
        <f t="shared" ca="1" si="390"/>
        <v>4725097.7920000004</v>
      </c>
      <c r="AR420" s="20">
        <f t="shared" ca="1" si="391"/>
        <v>4725100</v>
      </c>
      <c r="AS420" s="216"/>
      <c r="AT420" s="30" t="s">
        <v>18</v>
      </c>
      <c r="AU420" s="30" t="str">
        <f>VLOOKUP(AT420,TER!$R$2:$S$10,2,0)</f>
        <v>B</v>
      </c>
      <c r="AV420" s="20">
        <f t="shared" si="392"/>
        <v>3066580</v>
      </c>
      <c r="AW420" s="20">
        <f t="shared" ca="1" si="393"/>
        <v>1344500</v>
      </c>
      <c r="AX420" s="20">
        <f t="shared" ref="AX420:AY420" ca="1" si="487">W420</f>
        <v>0</v>
      </c>
      <c r="AY420" s="20">
        <f t="shared" si="487"/>
        <v>0</v>
      </c>
      <c r="AZ420" s="20">
        <f t="shared" si="395"/>
        <v>7359.7919999999995</v>
      </c>
      <c r="BA420" s="20">
        <f t="shared" si="396"/>
        <v>9199.74</v>
      </c>
      <c r="BB420" s="20">
        <f t="shared" si="397"/>
        <v>122663.2</v>
      </c>
      <c r="BC420" s="20">
        <f t="shared" ca="1" si="398"/>
        <v>4550302.7320000008</v>
      </c>
      <c r="BD420" s="37">
        <f ca="1">IF(AU420="C",VLOOKUP(BC420,TER!$J$4:$L$50,3,TRUE),IF(AU420="B",VLOOKUP(BC420,TER!$F$4:$H$50,3,TRUE),IF(AU420="A",VLOOKUP(BC420,TER!$B$4:$D$50,3,TRUE),"ERROR")))</f>
        <v>0</v>
      </c>
      <c r="BE420" s="20">
        <f t="shared" ca="1" si="399"/>
        <v>0</v>
      </c>
      <c r="BF420" s="216"/>
      <c r="BG420" s="216"/>
    </row>
    <row r="421" spans="1:59" ht="15.75" hidden="1" customHeight="1">
      <c r="A421" s="216"/>
      <c r="B421" s="27">
        <v>83</v>
      </c>
      <c r="C421" s="28" t="s">
        <v>835</v>
      </c>
      <c r="D421" s="29" t="s">
        <v>836</v>
      </c>
      <c r="E421" s="27" t="s">
        <v>57</v>
      </c>
      <c r="F421" s="28" t="s">
        <v>837</v>
      </c>
      <c r="G421" s="27" t="s">
        <v>31</v>
      </c>
      <c r="H421" s="332" t="s">
        <v>32</v>
      </c>
      <c r="I421" s="16">
        <f t="shared" si="380"/>
        <v>3066580</v>
      </c>
      <c r="J421" s="16">
        <v>191354.592</v>
      </c>
      <c r="K421" s="16">
        <v>122663.2</v>
      </c>
      <c r="L421" s="16">
        <v>200000</v>
      </c>
      <c r="M421" s="16">
        <f t="shared" si="485"/>
        <v>54500</v>
      </c>
      <c r="N421" s="21">
        <f ca="1">IFERROR(__xludf.DUMMYFUNCTION("VLOOKUP(C421,IMPORTRANGE(""https://docs.google.com/spreadsheets/d/1rQ2O3to3MCxQ4eTnJ5b4WStW3zTBTYg21JZurI75aCM/edit?gid=1410613181#gid=1410613181"",""DATA_ABSEN_DES24""),39,0)"),21)</f>
        <v>21</v>
      </c>
      <c r="O421" s="334">
        <f ca="1">IFERROR(__xludf.DUMMYFUNCTION("VLOOKUP(C421,IMPORTRANGE(""https://docs.google.com/spreadsheets/d/1rQ2O3to3MCxQ4eTnJ5b4WStW3zTBTYg21JZurI75aCM/edit?gid=1410613181#gid=1410613181"",""DATA_ABSEN_DES24""),40,0)"),20)</f>
        <v>20</v>
      </c>
      <c r="P421" s="16">
        <f t="shared" ca="1" si="381"/>
        <v>1344500</v>
      </c>
      <c r="Q421" s="16">
        <v>21</v>
      </c>
      <c r="R421" s="16">
        <f t="shared" si="382"/>
        <v>4725097.7920000004</v>
      </c>
      <c r="S421" s="16">
        <f t="shared" ca="1" si="383"/>
        <v>4725097.7920000004</v>
      </c>
      <c r="T421" s="16">
        <f t="shared" ca="1" si="384"/>
        <v>0</v>
      </c>
      <c r="U421" s="16">
        <v>100810</v>
      </c>
      <c r="V421" s="21">
        <f ca="1">IFERROR(__xludf.DUMMYFUNCTION("VLOOKUP(C421,IMPORTRANGE(""https://docs.google.com/spreadsheets/d/1rQ2O3to3MCxQ4eTnJ5b4WStW3zTBTYg21JZurI75aCM/edit?gid=1410613181#gid=1410613181"",""DATA_ABSEN_DES24""),41,0)"),0)</f>
        <v>0</v>
      </c>
      <c r="W421" s="16">
        <f t="shared" ca="1" si="385"/>
        <v>0</v>
      </c>
      <c r="X421" s="16">
        <v>0</v>
      </c>
      <c r="Y421" s="16">
        <f t="shared" ca="1" si="386"/>
        <v>4725097.7920000004</v>
      </c>
      <c r="Z421" s="21"/>
      <c r="AA421" s="21"/>
      <c r="AB421" s="21"/>
      <c r="AC421" s="21"/>
      <c r="AD421" s="21"/>
      <c r="AE421" s="16"/>
      <c r="AF421" s="16"/>
      <c r="AG421" s="16"/>
      <c r="AH421" s="16"/>
      <c r="AI421" s="16"/>
      <c r="AJ421" s="16"/>
      <c r="AK421" s="16"/>
      <c r="AL421" s="16"/>
      <c r="AM421" s="16"/>
      <c r="AN421" s="335">
        <f t="shared" ca="1" si="387"/>
        <v>4725097.7920000004</v>
      </c>
      <c r="AO421" s="20">
        <f t="shared" ca="1" si="388"/>
        <v>0</v>
      </c>
      <c r="AP421" s="20">
        <f t="shared" ca="1" si="389"/>
        <v>4725097.7920000004</v>
      </c>
      <c r="AQ421" s="20">
        <f t="shared" ca="1" si="390"/>
        <v>4725097.7920000004</v>
      </c>
      <c r="AR421" s="20">
        <f t="shared" ca="1" si="391"/>
        <v>4725100</v>
      </c>
      <c r="AS421" s="216"/>
      <c r="AT421" s="30" t="s">
        <v>13</v>
      </c>
      <c r="AU421" s="30" t="str">
        <f>VLOOKUP(AT421,TER!$R$2:$S$10,2,0)</f>
        <v>A</v>
      </c>
      <c r="AV421" s="20">
        <f t="shared" si="392"/>
        <v>3066580</v>
      </c>
      <c r="AW421" s="20">
        <f t="shared" ca="1" si="393"/>
        <v>1344500</v>
      </c>
      <c r="AX421" s="20">
        <f t="shared" ref="AX421:AY421" ca="1" si="488">W421</f>
        <v>0</v>
      </c>
      <c r="AY421" s="20">
        <f t="shared" si="488"/>
        <v>0</v>
      </c>
      <c r="AZ421" s="20">
        <f t="shared" si="395"/>
        <v>7359.7919999999995</v>
      </c>
      <c r="BA421" s="20">
        <f t="shared" si="396"/>
        <v>9199.74</v>
      </c>
      <c r="BB421" s="20">
        <f t="shared" si="397"/>
        <v>122663.2</v>
      </c>
      <c r="BC421" s="20">
        <f t="shared" ca="1" si="398"/>
        <v>4550302.7320000008</v>
      </c>
      <c r="BD421" s="37">
        <f ca="1">IF(AU421="C",VLOOKUP(BC421,TER!$J$4:$L$50,3,TRUE),IF(AU421="B",VLOOKUP(BC421,TER!$F$4:$H$50,3,TRUE),IF(AU421="A",VLOOKUP(BC421,TER!$B$4:$D$50,3,TRUE),"ERROR")))</f>
        <v>0</v>
      </c>
      <c r="BE421" s="20">
        <f t="shared" ca="1" si="399"/>
        <v>0</v>
      </c>
      <c r="BF421" s="216"/>
      <c r="BG421" s="216"/>
    </row>
    <row r="422" spans="1:59" ht="15.75" hidden="1" customHeight="1">
      <c r="A422" s="216"/>
      <c r="B422" s="27">
        <v>84</v>
      </c>
      <c r="C422" s="28" t="s">
        <v>838</v>
      </c>
      <c r="D422" s="29" t="s">
        <v>839</v>
      </c>
      <c r="E422" s="27" t="s">
        <v>57</v>
      </c>
      <c r="F422" s="28" t="s">
        <v>840</v>
      </c>
      <c r="G422" s="27" t="s">
        <v>31</v>
      </c>
      <c r="H422" s="332" t="s">
        <v>32</v>
      </c>
      <c r="I422" s="16">
        <f t="shared" si="380"/>
        <v>3066580</v>
      </c>
      <c r="J422" s="16">
        <v>191354.592</v>
      </c>
      <c r="K422" s="16">
        <v>122663.2</v>
      </c>
      <c r="L422" s="16">
        <v>200000</v>
      </c>
      <c r="M422" s="16">
        <f t="shared" si="485"/>
        <v>54500</v>
      </c>
      <c r="N422" s="21">
        <f ca="1">IFERROR(__xludf.DUMMYFUNCTION("VLOOKUP(C422,IMPORTRANGE(""https://docs.google.com/spreadsheets/d/1rQ2O3to3MCxQ4eTnJ5b4WStW3zTBTYg21JZurI75aCM/edit?gid=1410613181#gid=1410613181"",""DATA_ABSEN_DES24""),39,0)"),21)</f>
        <v>21</v>
      </c>
      <c r="O422" s="334">
        <f ca="1">IFERROR(__xludf.DUMMYFUNCTION("VLOOKUP(C422,IMPORTRANGE(""https://docs.google.com/spreadsheets/d/1rQ2O3to3MCxQ4eTnJ5b4WStW3zTBTYg21JZurI75aCM/edit?gid=1410613181#gid=1410613181"",""DATA_ABSEN_DES24""),40,0)"),20)</f>
        <v>20</v>
      </c>
      <c r="P422" s="16">
        <f t="shared" ca="1" si="381"/>
        <v>1344500</v>
      </c>
      <c r="Q422" s="16">
        <v>21</v>
      </c>
      <c r="R422" s="16">
        <f t="shared" si="382"/>
        <v>4725097.7920000004</v>
      </c>
      <c r="S422" s="16">
        <f t="shared" ca="1" si="383"/>
        <v>4725097.7920000004</v>
      </c>
      <c r="T422" s="16">
        <f t="shared" ca="1" si="384"/>
        <v>0</v>
      </c>
      <c r="U422" s="16">
        <v>100810</v>
      </c>
      <c r="V422" s="21">
        <f ca="1">IFERROR(__xludf.DUMMYFUNCTION("VLOOKUP(C422,IMPORTRANGE(""https://docs.google.com/spreadsheets/d/1rQ2O3to3MCxQ4eTnJ5b4WStW3zTBTYg21JZurI75aCM/edit?gid=1410613181#gid=1410613181"",""DATA_ABSEN_DES24""),41,0)"),0)</f>
        <v>0</v>
      </c>
      <c r="W422" s="16">
        <f t="shared" ca="1" si="385"/>
        <v>0</v>
      </c>
      <c r="X422" s="16">
        <v>0</v>
      </c>
      <c r="Y422" s="16">
        <f t="shared" ca="1" si="386"/>
        <v>4725097.7920000004</v>
      </c>
      <c r="Z422" s="21"/>
      <c r="AA422" s="21"/>
      <c r="AB422" s="21"/>
      <c r="AC422" s="21"/>
      <c r="AD422" s="21"/>
      <c r="AE422" s="16"/>
      <c r="AF422" s="16"/>
      <c r="AG422" s="16"/>
      <c r="AH422" s="16"/>
      <c r="AI422" s="16"/>
      <c r="AJ422" s="16"/>
      <c r="AK422" s="16"/>
      <c r="AL422" s="16"/>
      <c r="AM422" s="16"/>
      <c r="AN422" s="335">
        <f t="shared" ca="1" si="387"/>
        <v>4725097.7920000004</v>
      </c>
      <c r="AO422" s="20">
        <f t="shared" ca="1" si="388"/>
        <v>0</v>
      </c>
      <c r="AP422" s="20">
        <f t="shared" ca="1" si="389"/>
        <v>4725097.7920000004</v>
      </c>
      <c r="AQ422" s="20">
        <f t="shared" ca="1" si="390"/>
        <v>4725097.7920000004</v>
      </c>
      <c r="AR422" s="20">
        <f t="shared" ca="1" si="391"/>
        <v>4725100</v>
      </c>
      <c r="AS422" s="216"/>
      <c r="AT422" s="30" t="s">
        <v>9</v>
      </c>
      <c r="AU422" s="30" t="str">
        <f>VLOOKUP(AT422,TER!$R$2:$S$10,2,0)</f>
        <v>A</v>
      </c>
      <c r="AV422" s="20">
        <f t="shared" si="392"/>
        <v>3066580</v>
      </c>
      <c r="AW422" s="20">
        <f t="shared" ca="1" si="393"/>
        <v>1344500</v>
      </c>
      <c r="AX422" s="20">
        <f t="shared" ref="AX422:AY422" ca="1" si="489">W422</f>
        <v>0</v>
      </c>
      <c r="AY422" s="20">
        <f t="shared" si="489"/>
        <v>0</v>
      </c>
      <c r="AZ422" s="20">
        <f t="shared" si="395"/>
        <v>7359.7919999999995</v>
      </c>
      <c r="BA422" s="20">
        <f t="shared" si="396"/>
        <v>9199.74</v>
      </c>
      <c r="BB422" s="20">
        <f t="shared" si="397"/>
        <v>122663.2</v>
      </c>
      <c r="BC422" s="20">
        <f t="shared" ca="1" si="398"/>
        <v>4550302.7320000008</v>
      </c>
      <c r="BD422" s="37">
        <f ca="1">IF(AU422="C",VLOOKUP(BC422,TER!$J$4:$L$50,3,TRUE),IF(AU422="B",VLOOKUP(BC422,TER!$F$4:$H$50,3,TRUE),IF(AU422="A",VLOOKUP(BC422,TER!$B$4:$D$50,3,TRUE),"ERROR")))</f>
        <v>0</v>
      </c>
      <c r="BE422" s="20">
        <f t="shared" ca="1" si="399"/>
        <v>0</v>
      </c>
      <c r="BF422" s="216"/>
      <c r="BG422" s="216"/>
    </row>
    <row r="423" spans="1:59" ht="15.75" hidden="1" customHeight="1">
      <c r="A423" s="216"/>
      <c r="B423" s="27">
        <v>85</v>
      </c>
      <c r="C423" s="28" t="s">
        <v>841</v>
      </c>
      <c r="D423" s="29" t="s">
        <v>842</v>
      </c>
      <c r="E423" s="27" t="s">
        <v>57</v>
      </c>
      <c r="F423" s="28" t="s">
        <v>843</v>
      </c>
      <c r="G423" s="27" t="s">
        <v>31</v>
      </c>
      <c r="H423" s="332" t="s">
        <v>32</v>
      </c>
      <c r="I423" s="16">
        <f t="shared" si="380"/>
        <v>3066580</v>
      </c>
      <c r="J423" s="16">
        <v>191354.592</v>
      </c>
      <c r="K423" s="16">
        <v>122663.2</v>
      </c>
      <c r="L423" s="16">
        <v>200000</v>
      </c>
      <c r="M423" s="16">
        <f t="shared" si="485"/>
        <v>54500</v>
      </c>
      <c r="N423" s="21">
        <f ca="1">IFERROR(__xludf.DUMMYFUNCTION("VLOOKUP(C423,IMPORTRANGE(""https://docs.google.com/spreadsheets/d/1rQ2O3to3MCxQ4eTnJ5b4WStW3zTBTYg21JZurI75aCM/edit?gid=1410613181#gid=1410613181"",""DATA_ABSEN_DES24""),39,0)"),20)</f>
        <v>20</v>
      </c>
      <c r="O423" s="334">
        <f ca="1">IFERROR(__xludf.DUMMYFUNCTION("VLOOKUP(C423,IMPORTRANGE(""https://docs.google.com/spreadsheets/d/1rQ2O3to3MCxQ4eTnJ5b4WStW3zTBTYg21JZurI75aCM/edit?gid=1410613181#gid=1410613181"",""DATA_ABSEN_DES24""),40,0)"),20)</f>
        <v>20</v>
      </c>
      <c r="P423" s="16">
        <f t="shared" ca="1" si="381"/>
        <v>1290000</v>
      </c>
      <c r="Q423" s="16">
        <v>21</v>
      </c>
      <c r="R423" s="16">
        <f t="shared" si="382"/>
        <v>4725097.7920000004</v>
      </c>
      <c r="S423" s="16">
        <f t="shared" ca="1" si="383"/>
        <v>4670597.7920000004</v>
      </c>
      <c r="T423" s="16">
        <f t="shared" ca="1" si="384"/>
        <v>0</v>
      </c>
      <c r="U423" s="16">
        <v>100810</v>
      </c>
      <c r="V423" s="21">
        <f ca="1">IFERROR(__xludf.DUMMYFUNCTION("VLOOKUP(C423,IMPORTRANGE(""https://docs.google.com/spreadsheets/d/1rQ2O3to3MCxQ4eTnJ5b4WStW3zTBTYg21JZurI75aCM/edit?gid=1410613181#gid=1410613181"",""DATA_ABSEN_DES24""),41,0)"),0)</f>
        <v>0</v>
      </c>
      <c r="W423" s="16">
        <f t="shared" ca="1" si="385"/>
        <v>0</v>
      </c>
      <c r="X423" s="16">
        <v>0</v>
      </c>
      <c r="Y423" s="16">
        <f t="shared" ca="1" si="386"/>
        <v>4670597.7920000004</v>
      </c>
      <c r="Z423" s="21"/>
      <c r="AA423" s="21"/>
      <c r="AB423" s="21"/>
      <c r="AC423" s="21"/>
      <c r="AD423" s="21"/>
      <c r="AE423" s="16"/>
      <c r="AF423" s="16"/>
      <c r="AG423" s="16"/>
      <c r="AH423" s="16"/>
      <c r="AI423" s="16"/>
      <c r="AJ423" s="16"/>
      <c r="AK423" s="16"/>
      <c r="AL423" s="16"/>
      <c r="AM423" s="16"/>
      <c r="AN423" s="335">
        <f t="shared" ca="1" si="387"/>
        <v>4670597.7920000004</v>
      </c>
      <c r="AO423" s="20">
        <f t="shared" ca="1" si="388"/>
        <v>0</v>
      </c>
      <c r="AP423" s="20">
        <f t="shared" ca="1" si="389"/>
        <v>4670597.7920000004</v>
      </c>
      <c r="AQ423" s="20">
        <f t="shared" ca="1" si="390"/>
        <v>4670597.7920000004</v>
      </c>
      <c r="AR423" s="20">
        <f t="shared" ca="1" si="391"/>
        <v>4670600</v>
      </c>
      <c r="AS423" s="216"/>
      <c r="AT423" s="30" t="s">
        <v>9</v>
      </c>
      <c r="AU423" s="30" t="str">
        <f>VLOOKUP(AT423,TER!$R$2:$S$10,2,0)</f>
        <v>A</v>
      </c>
      <c r="AV423" s="20">
        <f t="shared" si="392"/>
        <v>3066580</v>
      </c>
      <c r="AW423" s="20">
        <f t="shared" ca="1" si="393"/>
        <v>1290000</v>
      </c>
      <c r="AX423" s="20">
        <f t="shared" ref="AX423:AY423" ca="1" si="490">W423</f>
        <v>0</v>
      </c>
      <c r="AY423" s="20">
        <f t="shared" si="490"/>
        <v>0</v>
      </c>
      <c r="AZ423" s="20">
        <f t="shared" si="395"/>
        <v>7359.7919999999995</v>
      </c>
      <c r="BA423" s="20">
        <f t="shared" si="396"/>
        <v>9199.74</v>
      </c>
      <c r="BB423" s="20">
        <f t="shared" si="397"/>
        <v>122663.2</v>
      </c>
      <c r="BC423" s="20">
        <f t="shared" ca="1" si="398"/>
        <v>4495802.7320000008</v>
      </c>
      <c r="BD423" s="37">
        <f ca="1">IF(AU423="C",VLOOKUP(BC423,TER!$J$4:$L$50,3,TRUE),IF(AU423="B",VLOOKUP(BC423,TER!$F$4:$H$50,3,TRUE),IF(AU423="A",VLOOKUP(BC423,TER!$B$4:$D$50,3,TRUE),"ERROR")))</f>
        <v>0</v>
      </c>
      <c r="BE423" s="20">
        <f t="shared" ca="1" si="399"/>
        <v>0</v>
      </c>
      <c r="BF423" s="216"/>
      <c r="BG423" s="216"/>
    </row>
    <row r="424" spans="1:59" ht="15.75" hidden="1" customHeight="1">
      <c r="A424" s="216"/>
      <c r="B424" s="27">
        <v>86</v>
      </c>
      <c r="C424" s="28" t="s">
        <v>844</v>
      </c>
      <c r="D424" s="29" t="s">
        <v>845</v>
      </c>
      <c r="E424" s="27" t="s">
        <v>57</v>
      </c>
      <c r="F424" s="28" t="s">
        <v>846</v>
      </c>
      <c r="G424" s="27" t="s">
        <v>31</v>
      </c>
      <c r="H424" s="332" t="s">
        <v>32</v>
      </c>
      <c r="I424" s="16">
        <f t="shared" si="380"/>
        <v>3066580</v>
      </c>
      <c r="J424" s="16">
        <v>191354.592</v>
      </c>
      <c r="K424" s="16">
        <v>122663.2</v>
      </c>
      <c r="L424" s="16">
        <v>200000</v>
      </c>
      <c r="M424" s="16">
        <f t="shared" si="485"/>
        <v>54500</v>
      </c>
      <c r="N424" s="21">
        <f ca="1">IFERROR(__xludf.DUMMYFUNCTION("VLOOKUP(C424,IMPORTRANGE(""https://docs.google.com/spreadsheets/d/1rQ2O3to3MCxQ4eTnJ5b4WStW3zTBTYg21JZurI75aCM/edit?gid=1410613181#gid=1410613181"",""DATA_ABSEN_DES24""),39,0)"),21)</f>
        <v>21</v>
      </c>
      <c r="O424" s="334">
        <f ca="1">IFERROR(__xludf.DUMMYFUNCTION("VLOOKUP(C424,IMPORTRANGE(""https://docs.google.com/spreadsheets/d/1rQ2O3to3MCxQ4eTnJ5b4WStW3zTBTYg21JZurI75aCM/edit?gid=1410613181#gid=1410613181"",""DATA_ABSEN_DES24""),40,0)"),20)</f>
        <v>20</v>
      </c>
      <c r="P424" s="16">
        <f t="shared" ca="1" si="381"/>
        <v>1344500</v>
      </c>
      <c r="Q424" s="16">
        <v>21</v>
      </c>
      <c r="R424" s="16">
        <f t="shared" si="382"/>
        <v>4725097.7920000004</v>
      </c>
      <c r="S424" s="16">
        <f t="shared" ca="1" si="383"/>
        <v>4725097.7920000004</v>
      </c>
      <c r="T424" s="16">
        <f t="shared" ca="1" si="384"/>
        <v>0</v>
      </c>
      <c r="U424" s="16">
        <v>100810</v>
      </c>
      <c r="V424" s="21">
        <f ca="1">IFERROR(__xludf.DUMMYFUNCTION("VLOOKUP(C424,IMPORTRANGE(""https://docs.google.com/spreadsheets/d/1rQ2O3to3MCxQ4eTnJ5b4WStW3zTBTYg21JZurI75aCM/edit?gid=1410613181#gid=1410613181"",""DATA_ABSEN_DES24""),41,0)"),0)</f>
        <v>0</v>
      </c>
      <c r="W424" s="16">
        <f t="shared" ca="1" si="385"/>
        <v>0</v>
      </c>
      <c r="X424" s="16">
        <v>0</v>
      </c>
      <c r="Y424" s="16">
        <f t="shared" ca="1" si="386"/>
        <v>4725097.7920000004</v>
      </c>
      <c r="Z424" s="21"/>
      <c r="AA424" s="21"/>
      <c r="AB424" s="21"/>
      <c r="AC424" s="21"/>
      <c r="AD424" s="21"/>
      <c r="AE424" s="16"/>
      <c r="AF424" s="16"/>
      <c r="AG424" s="16"/>
      <c r="AH424" s="16"/>
      <c r="AI424" s="16"/>
      <c r="AJ424" s="16"/>
      <c r="AK424" s="16"/>
      <c r="AL424" s="16"/>
      <c r="AM424" s="16"/>
      <c r="AN424" s="335">
        <f t="shared" ca="1" si="387"/>
        <v>4725097.7920000004</v>
      </c>
      <c r="AO424" s="20">
        <f t="shared" ca="1" si="388"/>
        <v>0</v>
      </c>
      <c r="AP424" s="20">
        <f t="shared" ca="1" si="389"/>
        <v>4725097.7920000004</v>
      </c>
      <c r="AQ424" s="20">
        <f t="shared" ca="1" si="390"/>
        <v>4725097.7920000004</v>
      </c>
      <c r="AR424" s="20">
        <f t="shared" ca="1" si="391"/>
        <v>4725100</v>
      </c>
      <c r="AS424" s="216"/>
      <c r="AT424" s="30" t="s">
        <v>9</v>
      </c>
      <c r="AU424" s="30" t="str">
        <f>VLOOKUP(AT424,TER!$R$2:$S$10,2,0)</f>
        <v>A</v>
      </c>
      <c r="AV424" s="20">
        <f t="shared" si="392"/>
        <v>3066580</v>
      </c>
      <c r="AW424" s="20">
        <f t="shared" ca="1" si="393"/>
        <v>1344500</v>
      </c>
      <c r="AX424" s="20">
        <f t="shared" ref="AX424:AY424" ca="1" si="491">W424</f>
        <v>0</v>
      </c>
      <c r="AY424" s="20">
        <f t="shared" si="491"/>
        <v>0</v>
      </c>
      <c r="AZ424" s="20">
        <f t="shared" si="395"/>
        <v>7359.7919999999995</v>
      </c>
      <c r="BA424" s="20">
        <f t="shared" si="396"/>
        <v>9199.74</v>
      </c>
      <c r="BB424" s="20">
        <f t="shared" si="397"/>
        <v>122663.2</v>
      </c>
      <c r="BC424" s="20">
        <f t="shared" ca="1" si="398"/>
        <v>4550302.7320000008</v>
      </c>
      <c r="BD424" s="37">
        <f ca="1">IF(AU424="C",VLOOKUP(BC424,TER!$J$4:$L$50,3,TRUE),IF(AU424="B",VLOOKUP(BC424,TER!$F$4:$H$50,3,TRUE),IF(AU424="A",VLOOKUP(BC424,TER!$B$4:$D$50,3,TRUE),"ERROR")))</f>
        <v>0</v>
      </c>
      <c r="BE424" s="20">
        <f t="shared" ca="1" si="399"/>
        <v>0</v>
      </c>
      <c r="BF424" s="216"/>
      <c r="BG424" s="216"/>
    </row>
    <row r="425" spans="1:59" ht="15.75" hidden="1" customHeight="1">
      <c r="A425" s="216"/>
      <c r="B425" s="27">
        <v>87</v>
      </c>
      <c r="C425" s="28" t="s">
        <v>847</v>
      </c>
      <c r="D425" s="29" t="s">
        <v>848</v>
      </c>
      <c r="E425" s="27" t="s">
        <v>57</v>
      </c>
      <c r="F425" s="28" t="s">
        <v>849</v>
      </c>
      <c r="G425" s="27" t="s">
        <v>31</v>
      </c>
      <c r="H425" s="332" t="s">
        <v>32</v>
      </c>
      <c r="I425" s="16">
        <f t="shared" si="380"/>
        <v>3066580</v>
      </c>
      <c r="J425" s="16">
        <v>191354.592</v>
      </c>
      <c r="K425" s="16">
        <v>122663.2</v>
      </c>
      <c r="L425" s="16">
        <v>200000</v>
      </c>
      <c r="M425" s="16">
        <f t="shared" si="485"/>
        <v>54500</v>
      </c>
      <c r="N425" s="21">
        <f ca="1">IFERROR(__xludf.DUMMYFUNCTION("VLOOKUP(C425,IMPORTRANGE(""https://docs.google.com/spreadsheets/d/1rQ2O3to3MCxQ4eTnJ5b4WStW3zTBTYg21JZurI75aCM/edit?gid=1410613181#gid=1410613181"",""DATA_ABSEN_DES24""),39,0)"),21)</f>
        <v>21</v>
      </c>
      <c r="O425" s="334">
        <f ca="1">IFERROR(__xludf.DUMMYFUNCTION("VLOOKUP(C425,IMPORTRANGE(""https://docs.google.com/spreadsheets/d/1rQ2O3to3MCxQ4eTnJ5b4WStW3zTBTYg21JZurI75aCM/edit?gid=1410613181#gid=1410613181"",""DATA_ABSEN_DES24""),40,0)"),20)</f>
        <v>20</v>
      </c>
      <c r="P425" s="16">
        <f t="shared" ca="1" si="381"/>
        <v>1344500</v>
      </c>
      <c r="Q425" s="16">
        <v>21</v>
      </c>
      <c r="R425" s="16">
        <f t="shared" si="382"/>
        <v>4725097.7920000004</v>
      </c>
      <c r="S425" s="16">
        <f t="shared" ca="1" si="383"/>
        <v>4725097.7920000004</v>
      </c>
      <c r="T425" s="16">
        <f t="shared" ca="1" si="384"/>
        <v>0</v>
      </c>
      <c r="U425" s="16">
        <v>100810</v>
      </c>
      <c r="V425" s="21">
        <f ca="1">IFERROR(__xludf.DUMMYFUNCTION("VLOOKUP(C425,IMPORTRANGE(""https://docs.google.com/spreadsheets/d/1rQ2O3to3MCxQ4eTnJ5b4WStW3zTBTYg21JZurI75aCM/edit?gid=1410613181#gid=1410613181"",""DATA_ABSEN_DES24""),41,0)"),0)</f>
        <v>0</v>
      </c>
      <c r="W425" s="16">
        <f t="shared" ca="1" si="385"/>
        <v>0</v>
      </c>
      <c r="X425" s="16">
        <v>0</v>
      </c>
      <c r="Y425" s="16">
        <f t="shared" ca="1" si="386"/>
        <v>4725097.7920000004</v>
      </c>
      <c r="Z425" s="21"/>
      <c r="AA425" s="21"/>
      <c r="AB425" s="21"/>
      <c r="AC425" s="21"/>
      <c r="AD425" s="21"/>
      <c r="AE425" s="16"/>
      <c r="AF425" s="16"/>
      <c r="AG425" s="16"/>
      <c r="AH425" s="16"/>
      <c r="AI425" s="16"/>
      <c r="AJ425" s="16"/>
      <c r="AK425" s="16"/>
      <c r="AL425" s="16"/>
      <c r="AM425" s="16"/>
      <c r="AN425" s="335">
        <f t="shared" ca="1" si="387"/>
        <v>4725097.7920000004</v>
      </c>
      <c r="AO425" s="20">
        <f t="shared" ca="1" si="388"/>
        <v>0</v>
      </c>
      <c r="AP425" s="20">
        <f t="shared" ca="1" si="389"/>
        <v>4725097.7920000004</v>
      </c>
      <c r="AQ425" s="20">
        <f t="shared" ca="1" si="390"/>
        <v>4725097.7920000004</v>
      </c>
      <c r="AR425" s="20">
        <f t="shared" ca="1" si="391"/>
        <v>4725100</v>
      </c>
      <c r="AS425" s="216"/>
      <c r="AT425" s="30" t="s">
        <v>9</v>
      </c>
      <c r="AU425" s="30" t="str">
        <f>VLOOKUP(AT425,TER!$R$2:$S$10,2,0)</f>
        <v>A</v>
      </c>
      <c r="AV425" s="20">
        <f t="shared" si="392"/>
        <v>3066580</v>
      </c>
      <c r="AW425" s="20">
        <f t="shared" ca="1" si="393"/>
        <v>1344500</v>
      </c>
      <c r="AX425" s="20">
        <f t="shared" ref="AX425:AY425" ca="1" si="492">W425</f>
        <v>0</v>
      </c>
      <c r="AY425" s="20">
        <f t="shared" si="492"/>
        <v>0</v>
      </c>
      <c r="AZ425" s="20">
        <f t="shared" si="395"/>
        <v>7359.7919999999995</v>
      </c>
      <c r="BA425" s="20">
        <f t="shared" si="396"/>
        <v>9199.74</v>
      </c>
      <c r="BB425" s="20">
        <f t="shared" si="397"/>
        <v>122663.2</v>
      </c>
      <c r="BC425" s="20">
        <f t="shared" ca="1" si="398"/>
        <v>4550302.7320000008</v>
      </c>
      <c r="BD425" s="37">
        <f ca="1">IF(AU425="C",VLOOKUP(BC425,TER!$J$4:$L$50,3,TRUE),IF(AU425="B",VLOOKUP(BC425,TER!$F$4:$H$50,3,TRUE),IF(AU425="A",VLOOKUP(BC425,TER!$B$4:$D$50,3,TRUE),"ERROR")))</f>
        <v>0</v>
      </c>
      <c r="BE425" s="20">
        <f t="shared" ca="1" si="399"/>
        <v>0</v>
      </c>
      <c r="BF425" s="216"/>
      <c r="BG425" s="216"/>
    </row>
    <row r="426" spans="1:59" ht="15.75" hidden="1" customHeight="1">
      <c r="A426" s="216"/>
      <c r="B426" s="27">
        <v>88</v>
      </c>
      <c r="C426" s="28" t="s">
        <v>850</v>
      </c>
      <c r="D426" s="29" t="s">
        <v>851</v>
      </c>
      <c r="E426" s="27" t="s">
        <v>57</v>
      </c>
      <c r="F426" s="28" t="s">
        <v>852</v>
      </c>
      <c r="G426" s="27" t="s">
        <v>31</v>
      </c>
      <c r="H426" s="332" t="s">
        <v>32</v>
      </c>
      <c r="I426" s="16">
        <f t="shared" si="380"/>
        <v>3066580</v>
      </c>
      <c r="J426" s="16">
        <v>191354.592</v>
      </c>
      <c r="K426" s="16">
        <v>122663.2</v>
      </c>
      <c r="L426" s="16">
        <v>200000</v>
      </c>
      <c r="M426" s="16">
        <f t="shared" si="485"/>
        <v>54500</v>
      </c>
      <c r="N426" s="21">
        <f ca="1">IFERROR(__xludf.DUMMYFUNCTION("VLOOKUP(C426,IMPORTRANGE(""https://docs.google.com/spreadsheets/d/1rQ2O3to3MCxQ4eTnJ5b4WStW3zTBTYg21JZurI75aCM/edit?gid=1410613181#gid=1410613181"",""DATA_ABSEN_DES24""),39,0)"),20)</f>
        <v>20</v>
      </c>
      <c r="O426" s="334">
        <f ca="1">IFERROR(__xludf.DUMMYFUNCTION("VLOOKUP(C426,IMPORTRANGE(""https://docs.google.com/spreadsheets/d/1rQ2O3to3MCxQ4eTnJ5b4WStW3zTBTYg21JZurI75aCM/edit?gid=1410613181#gid=1410613181"",""DATA_ABSEN_DES24""),40,0)"),20)</f>
        <v>20</v>
      </c>
      <c r="P426" s="16">
        <f t="shared" ca="1" si="381"/>
        <v>1290000</v>
      </c>
      <c r="Q426" s="16">
        <v>21</v>
      </c>
      <c r="R426" s="16">
        <f t="shared" si="382"/>
        <v>4725097.7920000004</v>
      </c>
      <c r="S426" s="16">
        <f t="shared" ca="1" si="383"/>
        <v>4670597.7920000004</v>
      </c>
      <c r="T426" s="16">
        <f t="shared" ca="1" si="384"/>
        <v>0</v>
      </c>
      <c r="U426" s="16">
        <v>100810</v>
      </c>
      <c r="V426" s="21">
        <f ca="1">IFERROR(__xludf.DUMMYFUNCTION("VLOOKUP(C426,IMPORTRANGE(""https://docs.google.com/spreadsheets/d/1rQ2O3to3MCxQ4eTnJ5b4WStW3zTBTYg21JZurI75aCM/edit?gid=1410613181#gid=1410613181"",""DATA_ABSEN_DES24""),41,0)"),0)</f>
        <v>0</v>
      </c>
      <c r="W426" s="16">
        <f t="shared" ca="1" si="385"/>
        <v>0</v>
      </c>
      <c r="X426" s="16">
        <v>0</v>
      </c>
      <c r="Y426" s="16">
        <f t="shared" ca="1" si="386"/>
        <v>4670597.7920000004</v>
      </c>
      <c r="Z426" s="21"/>
      <c r="AA426" s="21"/>
      <c r="AB426" s="21"/>
      <c r="AC426" s="21"/>
      <c r="AD426" s="21"/>
      <c r="AE426" s="16"/>
      <c r="AF426" s="16"/>
      <c r="AG426" s="16"/>
      <c r="AH426" s="16"/>
      <c r="AI426" s="16"/>
      <c r="AJ426" s="16"/>
      <c r="AK426" s="16"/>
      <c r="AL426" s="16"/>
      <c r="AM426" s="16"/>
      <c r="AN426" s="335">
        <f t="shared" ca="1" si="387"/>
        <v>4670597.7920000004</v>
      </c>
      <c r="AO426" s="20">
        <f t="shared" ca="1" si="388"/>
        <v>0</v>
      </c>
      <c r="AP426" s="20">
        <f t="shared" ca="1" si="389"/>
        <v>4670597.7920000004</v>
      </c>
      <c r="AQ426" s="20">
        <f t="shared" ca="1" si="390"/>
        <v>4670597.7920000004</v>
      </c>
      <c r="AR426" s="20">
        <f t="shared" ca="1" si="391"/>
        <v>4670600</v>
      </c>
      <c r="AS426" s="216"/>
      <c r="AT426" s="30" t="s">
        <v>9</v>
      </c>
      <c r="AU426" s="30" t="str">
        <f>VLOOKUP(AT426,TER!$R$2:$S$10,2,0)</f>
        <v>A</v>
      </c>
      <c r="AV426" s="20">
        <f t="shared" si="392"/>
        <v>3066580</v>
      </c>
      <c r="AW426" s="20">
        <f t="shared" ca="1" si="393"/>
        <v>1290000</v>
      </c>
      <c r="AX426" s="20">
        <f t="shared" ref="AX426:AY426" ca="1" si="493">W426</f>
        <v>0</v>
      </c>
      <c r="AY426" s="20">
        <f t="shared" si="493"/>
        <v>0</v>
      </c>
      <c r="AZ426" s="20">
        <f t="shared" si="395"/>
        <v>7359.7919999999995</v>
      </c>
      <c r="BA426" s="20">
        <f t="shared" si="396"/>
        <v>9199.74</v>
      </c>
      <c r="BB426" s="20">
        <f t="shared" si="397"/>
        <v>122663.2</v>
      </c>
      <c r="BC426" s="20">
        <f t="shared" ca="1" si="398"/>
        <v>4495802.7320000008</v>
      </c>
      <c r="BD426" s="37">
        <f ca="1">IF(AU426="C",VLOOKUP(BC426,TER!$J$4:$L$50,3,TRUE),IF(AU426="B",VLOOKUP(BC426,TER!$F$4:$H$50,3,TRUE),IF(AU426="A",VLOOKUP(BC426,TER!$B$4:$D$50,3,TRUE),"ERROR")))</f>
        <v>0</v>
      </c>
      <c r="BE426" s="20">
        <f t="shared" ca="1" si="399"/>
        <v>0</v>
      </c>
      <c r="BF426" s="216"/>
      <c r="BG426" s="216"/>
    </row>
    <row r="427" spans="1:59" ht="15.75" hidden="1" customHeight="1">
      <c r="A427" s="216"/>
      <c r="B427" s="27">
        <v>89</v>
      </c>
      <c r="C427" s="28" t="s">
        <v>853</v>
      </c>
      <c r="D427" s="246" t="s">
        <v>854</v>
      </c>
      <c r="E427" s="242" t="s">
        <v>57</v>
      </c>
      <c r="F427" s="28" t="s">
        <v>855</v>
      </c>
      <c r="G427" s="27" t="s">
        <v>31</v>
      </c>
      <c r="H427" s="332" t="s">
        <v>32</v>
      </c>
      <c r="I427" s="16">
        <f t="shared" si="380"/>
        <v>3066580</v>
      </c>
      <c r="J427" s="349">
        <v>191354.592</v>
      </c>
      <c r="K427" s="349"/>
      <c r="L427" s="16">
        <v>200000</v>
      </c>
      <c r="M427" s="16">
        <f t="shared" si="485"/>
        <v>54500</v>
      </c>
      <c r="N427" s="21">
        <f ca="1">IFERROR(__xludf.DUMMYFUNCTION("VLOOKUP(C427,IMPORTRANGE(""https://docs.google.com/spreadsheets/d/1rQ2O3to3MCxQ4eTnJ5b4WStW3zTBTYg21JZurI75aCM/edit?gid=1410613181#gid=1410613181"",""DATA_ABSEN_DES24""),39,0)"),21)</f>
        <v>21</v>
      </c>
      <c r="O427" s="334">
        <f ca="1">IFERROR(__xludf.DUMMYFUNCTION("VLOOKUP(C427,IMPORTRANGE(""https://docs.google.com/spreadsheets/d/1rQ2O3to3MCxQ4eTnJ5b4WStW3zTBTYg21JZurI75aCM/edit?gid=1410613181#gid=1410613181"",""DATA_ABSEN_DES24""),40,0)"),20)</f>
        <v>20</v>
      </c>
      <c r="P427" s="16">
        <f t="shared" ca="1" si="381"/>
        <v>1344500</v>
      </c>
      <c r="Q427" s="16">
        <v>21</v>
      </c>
      <c r="R427" s="16">
        <f t="shared" si="382"/>
        <v>4602434.5920000002</v>
      </c>
      <c r="S427" s="16">
        <f t="shared" ca="1" si="383"/>
        <v>4602434.5920000002</v>
      </c>
      <c r="T427" s="16">
        <f t="shared" ca="1" si="384"/>
        <v>0</v>
      </c>
      <c r="U427" s="16">
        <v>100810</v>
      </c>
      <c r="V427" s="21">
        <f ca="1">IFERROR(__xludf.DUMMYFUNCTION("VLOOKUP(C427,IMPORTRANGE(""https://docs.google.com/spreadsheets/d/1rQ2O3to3MCxQ4eTnJ5b4WStW3zTBTYg21JZurI75aCM/edit?gid=1410613181#gid=1410613181"",""DATA_ABSEN_DES24""),41,0)"),0)</f>
        <v>0</v>
      </c>
      <c r="W427" s="16">
        <f t="shared" ca="1" si="385"/>
        <v>0</v>
      </c>
      <c r="X427" s="16">
        <v>0</v>
      </c>
      <c r="Y427" s="16">
        <f t="shared" ca="1" si="386"/>
        <v>4602434.5920000002</v>
      </c>
      <c r="Z427" s="21"/>
      <c r="AA427" s="21"/>
      <c r="AB427" s="21"/>
      <c r="AC427" s="21"/>
      <c r="AD427" s="21"/>
      <c r="AE427" s="16"/>
      <c r="AF427" s="351"/>
      <c r="AG427" s="351"/>
      <c r="AH427" s="16"/>
      <c r="AI427" s="16"/>
      <c r="AJ427" s="16"/>
      <c r="AK427" s="16"/>
      <c r="AL427" s="16"/>
      <c r="AM427" s="16"/>
      <c r="AN427" s="335">
        <f t="shared" ca="1" si="387"/>
        <v>4602434.5920000002</v>
      </c>
      <c r="AO427" s="20">
        <f t="shared" ca="1" si="388"/>
        <v>0</v>
      </c>
      <c r="AP427" s="20">
        <f t="shared" ca="1" si="389"/>
        <v>4602434.5920000002</v>
      </c>
      <c r="AQ427" s="20">
        <f t="shared" ca="1" si="390"/>
        <v>4602434.5920000002</v>
      </c>
      <c r="AR427" s="20">
        <f t="shared" ca="1" si="391"/>
        <v>4602400</v>
      </c>
      <c r="AS427" s="216"/>
      <c r="AT427" s="30" t="s">
        <v>18</v>
      </c>
      <c r="AU427" s="30" t="str">
        <f>VLOOKUP(AT427,TER!$R$2:$S$10,2,0)</f>
        <v>B</v>
      </c>
      <c r="AV427" s="20">
        <f t="shared" si="392"/>
        <v>3066580</v>
      </c>
      <c r="AW427" s="20">
        <f t="shared" ca="1" si="393"/>
        <v>1344500</v>
      </c>
      <c r="AX427" s="20">
        <f t="shared" ref="AX427:AY427" ca="1" si="494">W427</f>
        <v>0</v>
      </c>
      <c r="AY427" s="20">
        <f t="shared" si="494"/>
        <v>0</v>
      </c>
      <c r="AZ427" s="20">
        <f t="shared" si="395"/>
        <v>7359.7919999999995</v>
      </c>
      <c r="BA427" s="20">
        <f t="shared" si="396"/>
        <v>9199.74</v>
      </c>
      <c r="BB427" s="20">
        <f t="shared" si="397"/>
        <v>0</v>
      </c>
      <c r="BC427" s="20">
        <f t="shared" ca="1" si="398"/>
        <v>4427639.5320000006</v>
      </c>
      <c r="BD427" s="37">
        <f ca="1">IF(AU427="C",VLOOKUP(BC427,TER!$J$4:$L$50,3,TRUE),IF(AU427="B",VLOOKUP(BC427,TER!$F$4:$H$50,3,TRUE),IF(AU427="A",VLOOKUP(BC427,TER!$B$4:$D$50,3,TRUE),"ERROR")))</f>
        <v>0</v>
      </c>
      <c r="BE427" s="20">
        <f t="shared" ca="1" si="399"/>
        <v>0</v>
      </c>
      <c r="BF427" s="216"/>
      <c r="BG427" s="216"/>
    </row>
    <row r="428" spans="1:59" ht="15.75" hidden="1" customHeight="1">
      <c r="A428" s="216"/>
      <c r="B428" s="27">
        <v>90</v>
      </c>
      <c r="C428" s="28" t="s">
        <v>853</v>
      </c>
      <c r="D428" s="29" t="s">
        <v>856</v>
      </c>
      <c r="E428" s="27" t="s">
        <v>57</v>
      </c>
      <c r="F428" s="28" t="s">
        <v>857</v>
      </c>
      <c r="G428" s="27" t="s">
        <v>94</v>
      </c>
      <c r="H428" s="332" t="s">
        <v>32</v>
      </c>
      <c r="I428" s="16">
        <f t="shared" si="380"/>
        <v>3066580</v>
      </c>
      <c r="J428" s="16">
        <v>191354.592</v>
      </c>
      <c r="K428" s="16">
        <v>122663.2</v>
      </c>
      <c r="L428" s="16">
        <f>200000+250000</f>
        <v>450000</v>
      </c>
      <c r="M428" s="16">
        <f>(724500+472500)/21</f>
        <v>57000</v>
      </c>
      <c r="N428" s="21">
        <f ca="1">IFERROR(__xludf.DUMMYFUNCTION("VLOOKUP(C428,IMPORTRANGE(""https://docs.google.com/spreadsheets/d/1rQ2O3to3MCxQ4eTnJ5b4WStW3zTBTYg21JZurI75aCM/edit?gid=1410613181#gid=1410613181"",""DATA_ABSEN_DES24""),39,0)"),21)</f>
        <v>21</v>
      </c>
      <c r="O428" s="334">
        <f ca="1">IFERROR(__xludf.DUMMYFUNCTION("VLOOKUP(C428,IMPORTRANGE(""https://docs.google.com/spreadsheets/d/1rQ2O3to3MCxQ4eTnJ5b4WStW3zTBTYg21JZurI75aCM/edit?gid=1410613181#gid=1410613181"",""DATA_ABSEN_DES24""),40,0)"),20)</f>
        <v>20</v>
      </c>
      <c r="P428" s="16">
        <f t="shared" ca="1" si="381"/>
        <v>1647000</v>
      </c>
      <c r="Q428" s="16">
        <v>21</v>
      </c>
      <c r="R428" s="16">
        <f t="shared" si="382"/>
        <v>5027597.7920000004</v>
      </c>
      <c r="S428" s="16">
        <f t="shared" ca="1" si="383"/>
        <v>5027597.7920000004</v>
      </c>
      <c r="T428" s="16">
        <f t="shared" ca="1" si="384"/>
        <v>0</v>
      </c>
      <c r="U428" s="16">
        <v>100810</v>
      </c>
      <c r="V428" s="21">
        <f ca="1">IFERROR(__xludf.DUMMYFUNCTION("VLOOKUP(C428,IMPORTRANGE(""https://docs.google.com/spreadsheets/d/1rQ2O3to3MCxQ4eTnJ5b4WStW3zTBTYg21JZurI75aCM/edit?gid=1410613181#gid=1410613181"",""DATA_ABSEN_DES24""),41,0)"),0)</f>
        <v>0</v>
      </c>
      <c r="W428" s="16">
        <f t="shared" ca="1" si="385"/>
        <v>0</v>
      </c>
      <c r="X428" s="16">
        <v>0</v>
      </c>
      <c r="Y428" s="16">
        <f t="shared" ca="1" si="386"/>
        <v>5027597.7920000004</v>
      </c>
      <c r="Z428" s="21"/>
      <c r="AA428" s="21"/>
      <c r="AB428" s="21"/>
      <c r="AC428" s="21"/>
      <c r="AD428" s="21"/>
      <c r="AE428" s="16"/>
      <c r="AF428" s="16"/>
      <c r="AG428" s="16"/>
      <c r="AH428" s="16"/>
      <c r="AI428" s="16"/>
      <c r="AJ428" s="16"/>
      <c r="AK428" s="16"/>
      <c r="AL428" s="16"/>
      <c r="AM428" s="16"/>
      <c r="AN428" s="335">
        <f t="shared" ca="1" si="387"/>
        <v>5027597.7920000004</v>
      </c>
      <c r="AO428" s="20">
        <f t="shared" ca="1" si="388"/>
        <v>0</v>
      </c>
      <c r="AP428" s="20">
        <f t="shared" ca="1" si="389"/>
        <v>5027597.7920000004</v>
      </c>
      <c r="AQ428" s="20">
        <f t="shared" ca="1" si="390"/>
        <v>5027597.7920000004</v>
      </c>
      <c r="AR428" s="20">
        <f t="shared" ca="1" si="391"/>
        <v>5027600</v>
      </c>
      <c r="AS428" s="216"/>
      <c r="AT428" s="30" t="s">
        <v>18</v>
      </c>
      <c r="AU428" s="30" t="str">
        <f>VLOOKUP(AT428,TER!$R$2:$S$10,2,0)</f>
        <v>B</v>
      </c>
      <c r="AV428" s="20">
        <f t="shared" si="392"/>
        <v>3066580</v>
      </c>
      <c r="AW428" s="20">
        <f t="shared" ca="1" si="393"/>
        <v>1647000</v>
      </c>
      <c r="AX428" s="20">
        <f t="shared" ref="AX428:AY428" ca="1" si="495">W428</f>
        <v>0</v>
      </c>
      <c r="AY428" s="20">
        <f t="shared" si="495"/>
        <v>0</v>
      </c>
      <c r="AZ428" s="20">
        <f t="shared" si="395"/>
        <v>7359.7919999999995</v>
      </c>
      <c r="BA428" s="20">
        <f t="shared" si="396"/>
        <v>9199.74</v>
      </c>
      <c r="BB428" s="20">
        <f t="shared" si="397"/>
        <v>122663.2</v>
      </c>
      <c r="BC428" s="20">
        <f t="shared" ca="1" si="398"/>
        <v>4852802.7320000008</v>
      </c>
      <c r="BD428" s="37">
        <f ca="1">IF(AU428="C",VLOOKUP(BC428,TER!$J$4:$L$50,3,TRUE),IF(AU428="B",VLOOKUP(BC428,TER!$F$4:$H$50,3,TRUE),IF(AU428="A",VLOOKUP(BC428,TER!$B$4:$D$50,3,TRUE),"ERROR")))</f>
        <v>0</v>
      </c>
      <c r="BE428" s="20">
        <f t="shared" ca="1" si="399"/>
        <v>0</v>
      </c>
      <c r="BF428" s="216"/>
      <c r="BG428" s="216"/>
    </row>
    <row r="429" spans="1:59" ht="15.75" hidden="1" customHeight="1">
      <c r="A429" s="216"/>
      <c r="B429" s="27">
        <v>91</v>
      </c>
      <c r="C429" s="28" t="s">
        <v>858</v>
      </c>
      <c r="D429" s="29" t="s">
        <v>859</v>
      </c>
      <c r="E429" s="27" t="s">
        <v>57</v>
      </c>
      <c r="F429" s="28" t="s">
        <v>860</v>
      </c>
      <c r="G429" s="27" t="s">
        <v>31</v>
      </c>
      <c r="H429" s="332" t="s">
        <v>32</v>
      </c>
      <c r="I429" s="16">
        <f t="shared" si="380"/>
        <v>3066580</v>
      </c>
      <c r="J429" s="16">
        <v>191354.592</v>
      </c>
      <c r="K429" s="16">
        <v>122663.2</v>
      </c>
      <c r="L429" s="16">
        <v>200000</v>
      </c>
      <c r="M429" s="16">
        <f t="shared" ref="M429:M432" si="496">(724500+420000)/21</f>
        <v>54500</v>
      </c>
      <c r="N429" s="21">
        <f ca="1">IFERROR(__xludf.DUMMYFUNCTION("VLOOKUP(C429,IMPORTRANGE(""https://docs.google.com/spreadsheets/d/1rQ2O3to3MCxQ4eTnJ5b4WStW3zTBTYg21JZurI75aCM/edit?gid=1410613181#gid=1410613181"",""DATA_ABSEN_DES24""),39,0)"),19)</f>
        <v>19</v>
      </c>
      <c r="O429" s="334">
        <f ca="1">IFERROR(__xludf.DUMMYFUNCTION("VLOOKUP(C429,IMPORTRANGE(""https://docs.google.com/spreadsheets/d/1rQ2O3to3MCxQ4eTnJ5b4WStW3zTBTYg21JZurI75aCM/edit?gid=1410613181#gid=1410613181"",""DATA_ABSEN_DES24""),40,0)"),20)</f>
        <v>20</v>
      </c>
      <c r="P429" s="16">
        <f t="shared" ca="1" si="381"/>
        <v>1235500</v>
      </c>
      <c r="Q429" s="16">
        <v>21</v>
      </c>
      <c r="R429" s="16">
        <f t="shared" si="382"/>
        <v>4725097.7920000004</v>
      </c>
      <c r="S429" s="16">
        <f t="shared" ca="1" si="383"/>
        <v>4616097.7920000004</v>
      </c>
      <c r="T429" s="16">
        <f t="shared" ca="1" si="384"/>
        <v>0</v>
      </c>
      <c r="U429" s="16">
        <v>100810</v>
      </c>
      <c r="V429" s="21">
        <f ca="1">IFERROR(__xludf.DUMMYFUNCTION("VLOOKUP(C429,IMPORTRANGE(""https://docs.google.com/spreadsheets/d/1rQ2O3to3MCxQ4eTnJ5b4WStW3zTBTYg21JZurI75aCM/edit?gid=1410613181#gid=1410613181"",""DATA_ABSEN_DES24""),41,0)"),0)</f>
        <v>0</v>
      </c>
      <c r="W429" s="16">
        <f t="shared" ca="1" si="385"/>
        <v>0</v>
      </c>
      <c r="X429" s="16">
        <v>0</v>
      </c>
      <c r="Y429" s="16">
        <f t="shared" ca="1" si="386"/>
        <v>4616097.7920000004</v>
      </c>
      <c r="Z429" s="21"/>
      <c r="AA429" s="21"/>
      <c r="AB429" s="21"/>
      <c r="AC429" s="21"/>
      <c r="AD429" s="21"/>
      <c r="AE429" s="16"/>
      <c r="AF429" s="16"/>
      <c r="AG429" s="16"/>
      <c r="AH429" s="16"/>
      <c r="AI429" s="16"/>
      <c r="AJ429" s="16"/>
      <c r="AK429" s="16"/>
      <c r="AL429" s="16"/>
      <c r="AM429" s="16"/>
      <c r="AN429" s="335">
        <f t="shared" ca="1" si="387"/>
        <v>4616097.7920000004</v>
      </c>
      <c r="AO429" s="20">
        <f t="shared" ca="1" si="388"/>
        <v>0</v>
      </c>
      <c r="AP429" s="20">
        <f t="shared" ca="1" si="389"/>
        <v>4616097.7920000004</v>
      </c>
      <c r="AQ429" s="20">
        <f t="shared" ca="1" si="390"/>
        <v>4616097.7920000004</v>
      </c>
      <c r="AR429" s="20">
        <f t="shared" ca="1" si="391"/>
        <v>4616100</v>
      </c>
      <c r="AS429" s="216"/>
      <c r="AT429" s="30" t="s">
        <v>18</v>
      </c>
      <c r="AU429" s="30" t="str">
        <f>VLOOKUP(AT429,TER!$R$2:$S$10,2,0)</f>
        <v>B</v>
      </c>
      <c r="AV429" s="20">
        <f t="shared" si="392"/>
        <v>3066580</v>
      </c>
      <c r="AW429" s="20">
        <f t="shared" ca="1" si="393"/>
        <v>1235500</v>
      </c>
      <c r="AX429" s="20">
        <f t="shared" ref="AX429:AY429" ca="1" si="497">W429</f>
        <v>0</v>
      </c>
      <c r="AY429" s="20">
        <f t="shared" si="497"/>
        <v>0</v>
      </c>
      <c r="AZ429" s="20">
        <f t="shared" si="395"/>
        <v>7359.7919999999995</v>
      </c>
      <c r="BA429" s="20">
        <f t="shared" si="396"/>
        <v>9199.74</v>
      </c>
      <c r="BB429" s="20">
        <f t="shared" si="397"/>
        <v>122663.2</v>
      </c>
      <c r="BC429" s="20">
        <f t="shared" ca="1" si="398"/>
        <v>4441302.7320000008</v>
      </c>
      <c r="BD429" s="37">
        <f ca="1">IF(AU429="C",VLOOKUP(BC429,TER!$J$4:$L$50,3,TRUE),IF(AU429="B",VLOOKUP(BC429,TER!$F$4:$H$50,3,TRUE),IF(AU429="A",VLOOKUP(BC429,TER!$B$4:$D$50,3,TRUE),"ERROR")))</f>
        <v>0</v>
      </c>
      <c r="BE429" s="20">
        <f t="shared" ca="1" si="399"/>
        <v>0</v>
      </c>
      <c r="BF429" s="216"/>
      <c r="BG429" s="216"/>
    </row>
    <row r="430" spans="1:59" ht="15.75" hidden="1" customHeight="1">
      <c r="A430" s="216"/>
      <c r="B430" s="27">
        <v>92</v>
      </c>
      <c r="C430" s="28" t="s">
        <v>861</v>
      </c>
      <c r="D430" s="29" t="s">
        <v>862</v>
      </c>
      <c r="E430" s="27" t="s">
        <v>57</v>
      </c>
      <c r="F430" s="28" t="s">
        <v>863</v>
      </c>
      <c r="G430" s="27" t="s">
        <v>31</v>
      </c>
      <c r="H430" s="332" t="s">
        <v>32</v>
      </c>
      <c r="I430" s="16">
        <f t="shared" si="380"/>
        <v>3066580</v>
      </c>
      <c r="J430" s="16">
        <v>191354.592</v>
      </c>
      <c r="K430" s="16">
        <v>122663.2</v>
      </c>
      <c r="L430" s="16">
        <v>200000</v>
      </c>
      <c r="M430" s="16">
        <f t="shared" si="496"/>
        <v>54500</v>
      </c>
      <c r="N430" s="21">
        <f ca="1">IFERROR(__xludf.DUMMYFUNCTION("VLOOKUP(C430,IMPORTRANGE(""https://docs.google.com/spreadsheets/d/1rQ2O3to3MCxQ4eTnJ5b4WStW3zTBTYg21JZurI75aCM/edit?gid=1410613181#gid=1410613181"",""DATA_ABSEN_DES24""),39,0)"),21)</f>
        <v>21</v>
      </c>
      <c r="O430" s="334">
        <f ca="1">IFERROR(__xludf.DUMMYFUNCTION("VLOOKUP(C430,IMPORTRANGE(""https://docs.google.com/spreadsheets/d/1rQ2O3to3MCxQ4eTnJ5b4WStW3zTBTYg21JZurI75aCM/edit?gid=1410613181#gid=1410613181"",""DATA_ABSEN_DES24""),40,0)"),20)</f>
        <v>20</v>
      </c>
      <c r="P430" s="16">
        <f t="shared" ca="1" si="381"/>
        <v>1344500</v>
      </c>
      <c r="Q430" s="16">
        <v>21</v>
      </c>
      <c r="R430" s="16">
        <f t="shared" si="382"/>
        <v>4725097.7920000004</v>
      </c>
      <c r="S430" s="16">
        <f t="shared" ca="1" si="383"/>
        <v>4725097.7920000004</v>
      </c>
      <c r="T430" s="16">
        <f t="shared" ca="1" si="384"/>
        <v>0</v>
      </c>
      <c r="U430" s="16">
        <v>100810</v>
      </c>
      <c r="V430" s="21">
        <f ca="1">IFERROR(__xludf.DUMMYFUNCTION("VLOOKUP(C430,IMPORTRANGE(""https://docs.google.com/spreadsheets/d/1rQ2O3to3MCxQ4eTnJ5b4WStW3zTBTYg21JZurI75aCM/edit?gid=1410613181#gid=1410613181"",""DATA_ABSEN_DES24""),41,0)"),0)</f>
        <v>0</v>
      </c>
      <c r="W430" s="16">
        <f t="shared" ca="1" si="385"/>
        <v>0</v>
      </c>
      <c r="X430" s="16">
        <v>0</v>
      </c>
      <c r="Y430" s="16">
        <f t="shared" ca="1" si="386"/>
        <v>4725097.7920000004</v>
      </c>
      <c r="Z430" s="21"/>
      <c r="AA430" s="21"/>
      <c r="AB430" s="21"/>
      <c r="AC430" s="21"/>
      <c r="AD430" s="21"/>
      <c r="AE430" s="16"/>
      <c r="AF430" s="16"/>
      <c r="AG430" s="16"/>
      <c r="AH430" s="16"/>
      <c r="AI430" s="16"/>
      <c r="AJ430" s="16"/>
      <c r="AK430" s="16"/>
      <c r="AL430" s="16"/>
      <c r="AM430" s="16"/>
      <c r="AN430" s="335">
        <f t="shared" ca="1" si="387"/>
        <v>4725097.7920000004</v>
      </c>
      <c r="AO430" s="20">
        <f t="shared" ca="1" si="388"/>
        <v>0</v>
      </c>
      <c r="AP430" s="20">
        <f t="shared" ca="1" si="389"/>
        <v>4725097.7920000004</v>
      </c>
      <c r="AQ430" s="20">
        <f t="shared" ca="1" si="390"/>
        <v>4725097.7920000004</v>
      </c>
      <c r="AR430" s="20">
        <f t="shared" ca="1" si="391"/>
        <v>4725100</v>
      </c>
      <c r="AS430" s="216"/>
      <c r="AT430" s="30" t="s">
        <v>13</v>
      </c>
      <c r="AU430" s="30" t="str">
        <f>VLOOKUP(AT430,TER!$R$2:$S$10,2,0)</f>
        <v>A</v>
      </c>
      <c r="AV430" s="20">
        <f t="shared" si="392"/>
        <v>3066580</v>
      </c>
      <c r="AW430" s="20">
        <f t="shared" ca="1" si="393"/>
        <v>1344500</v>
      </c>
      <c r="AX430" s="20">
        <f t="shared" ref="AX430:AY430" ca="1" si="498">W430</f>
        <v>0</v>
      </c>
      <c r="AY430" s="20">
        <f t="shared" si="498"/>
        <v>0</v>
      </c>
      <c r="AZ430" s="20">
        <f t="shared" si="395"/>
        <v>7359.7919999999995</v>
      </c>
      <c r="BA430" s="20">
        <f t="shared" si="396"/>
        <v>9199.74</v>
      </c>
      <c r="BB430" s="20">
        <f t="shared" si="397"/>
        <v>122663.2</v>
      </c>
      <c r="BC430" s="20">
        <f t="shared" ca="1" si="398"/>
        <v>4550302.7320000008</v>
      </c>
      <c r="BD430" s="37">
        <f ca="1">IF(AU430="C",VLOOKUP(BC430,TER!$J$4:$L$50,3,TRUE),IF(AU430="B",VLOOKUP(BC430,TER!$F$4:$H$50,3,TRUE),IF(AU430="A",VLOOKUP(BC430,TER!$B$4:$D$50,3,TRUE),"ERROR")))</f>
        <v>0</v>
      </c>
      <c r="BE430" s="20">
        <f t="shared" ca="1" si="399"/>
        <v>0</v>
      </c>
      <c r="BF430" s="216"/>
      <c r="BG430" s="216"/>
    </row>
    <row r="431" spans="1:59" ht="15.75" hidden="1" customHeight="1">
      <c r="A431" s="216"/>
      <c r="B431" s="27">
        <v>93</v>
      </c>
      <c r="C431" s="28" t="s">
        <v>864</v>
      </c>
      <c r="D431" s="29" t="s">
        <v>865</v>
      </c>
      <c r="E431" s="27" t="s">
        <v>57</v>
      </c>
      <c r="F431" s="28" t="s">
        <v>866</v>
      </c>
      <c r="G431" s="27" t="s">
        <v>31</v>
      </c>
      <c r="H431" s="332" t="s">
        <v>32</v>
      </c>
      <c r="I431" s="16">
        <f t="shared" si="380"/>
        <v>3066580</v>
      </c>
      <c r="J431" s="16">
        <v>191354.592</v>
      </c>
      <c r="K431" s="16">
        <v>122663.2</v>
      </c>
      <c r="L431" s="16">
        <v>200000</v>
      </c>
      <c r="M431" s="16">
        <f t="shared" si="496"/>
        <v>54500</v>
      </c>
      <c r="N431" s="21">
        <f ca="1">IFERROR(__xludf.DUMMYFUNCTION("VLOOKUP(C431,IMPORTRANGE(""https://docs.google.com/spreadsheets/d/1rQ2O3to3MCxQ4eTnJ5b4WStW3zTBTYg21JZurI75aCM/edit?gid=1410613181#gid=1410613181"",""DATA_ABSEN_DES24""),39,0)"),20)</f>
        <v>20</v>
      </c>
      <c r="O431" s="334">
        <f ca="1">IFERROR(__xludf.DUMMYFUNCTION("VLOOKUP(C431,IMPORTRANGE(""https://docs.google.com/spreadsheets/d/1rQ2O3to3MCxQ4eTnJ5b4WStW3zTBTYg21JZurI75aCM/edit?gid=1410613181#gid=1410613181"",""DATA_ABSEN_DES24""),40,0)"),20)</f>
        <v>20</v>
      </c>
      <c r="P431" s="16">
        <f t="shared" ca="1" si="381"/>
        <v>1290000</v>
      </c>
      <c r="Q431" s="16">
        <v>21</v>
      </c>
      <c r="R431" s="16">
        <f t="shared" si="382"/>
        <v>4725097.7920000004</v>
      </c>
      <c r="S431" s="16">
        <f t="shared" ca="1" si="383"/>
        <v>4670597.7920000004</v>
      </c>
      <c r="T431" s="16">
        <f t="shared" ca="1" si="384"/>
        <v>0</v>
      </c>
      <c r="U431" s="16">
        <v>100810</v>
      </c>
      <c r="V431" s="21">
        <f ca="1">IFERROR(__xludf.DUMMYFUNCTION("VLOOKUP(C431,IMPORTRANGE(""https://docs.google.com/spreadsheets/d/1rQ2O3to3MCxQ4eTnJ5b4WStW3zTBTYg21JZurI75aCM/edit?gid=1410613181#gid=1410613181"",""DATA_ABSEN_DES24""),41,0)"),0)</f>
        <v>0</v>
      </c>
      <c r="W431" s="16">
        <f t="shared" ca="1" si="385"/>
        <v>0</v>
      </c>
      <c r="X431" s="16">
        <v>0</v>
      </c>
      <c r="Y431" s="16">
        <f t="shared" ca="1" si="386"/>
        <v>4670597.7920000004</v>
      </c>
      <c r="Z431" s="21"/>
      <c r="AA431" s="21"/>
      <c r="AB431" s="21"/>
      <c r="AC431" s="21"/>
      <c r="AD431" s="21"/>
      <c r="AE431" s="16"/>
      <c r="AF431" s="16"/>
      <c r="AG431" s="16"/>
      <c r="AH431" s="16"/>
      <c r="AI431" s="16"/>
      <c r="AJ431" s="16"/>
      <c r="AK431" s="16"/>
      <c r="AL431" s="16"/>
      <c r="AM431" s="16"/>
      <c r="AN431" s="335">
        <f t="shared" ca="1" si="387"/>
        <v>4670597.7920000004</v>
      </c>
      <c r="AO431" s="20">
        <f t="shared" ca="1" si="388"/>
        <v>0</v>
      </c>
      <c r="AP431" s="20">
        <f t="shared" ca="1" si="389"/>
        <v>4670597.7920000004</v>
      </c>
      <c r="AQ431" s="20">
        <f t="shared" ca="1" si="390"/>
        <v>4670597.7920000004</v>
      </c>
      <c r="AR431" s="20">
        <f t="shared" ca="1" si="391"/>
        <v>4670600</v>
      </c>
      <c r="AS431" s="216"/>
      <c r="AT431" s="30" t="s">
        <v>9</v>
      </c>
      <c r="AU431" s="30" t="str">
        <f>VLOOKUP(AT431,TER!$R$2:$S$10,2,0)</f>
        <v>A</v>
      </c>
      <c r="AV431" s="20">
        <f t="shared" si="392"/>
        <v>3066580</v>
      </c>
      <c r="AW431" s="20">
        <f t="shared" ca="1" si="393"/>
        <v>1290000</v>
      </c>
      <c r="AX431" s="20">
        <f t="shared" ref="AX431:AY431" ca="1" si="499">W431</f>
        <v>0</v>
      </c>
      <c r="AY431" s="20">
        <f t="shared" si="499"/>
        <v>0</v>
      </c>
      <c r="AZ431" s="20">
        <f t="shared" si="395"/>
        <v>7359.7919999999995</v>
      </c>
      <c r="BA431" s="20">
        <f t="shared" si="396"/>
        <v>9199.74</v>
      </c>
      <c r="BB431" s="20">
        <f t="shared" si="397"/>
        <v>122663.2</v>
      </c>
      <c r="BC431" s="20">
        <f t="shared" ca="1" si="398"/>
        <v>4495802.7320000008</v>
      </c>
      <c r="BD431" s="37">
        <f ca="1">IF(AU431="C",VLOOKUP(BC431,TER!$J$4:$L$50,3,TRUE),IF(AU431="B",VLOOKUP(BC431,TER!$F$4:$H$50,3,TRUE),IF(AU431="A",VLOOKUP(BC431,TER!$B$4:$D$50,3,TRUE),"ERROR")))</f>
        <v>0</v>
      </c>
      <c r="BE431" s="20">
        <f t="shared" ca="1" si="399"/>
        <v>0</v>
      </c>
      <c r="BF431" s="216"/>
      <c r="BG431" s="216"/>
    </row>
    <row r="432" spans="1:59" ht="15.75" hidden="1" customHeight="1">
      <c r="A432" s="216"/>
      <c r="B432" s="27">
        <v>94</v>
      </c>
      <c r="C432" s="28" t="s">
        <v>867</v>
      </c>
      <c r="D432" s="29" t="s">
        <v>868</v>
      </c>
      <c r="E432" s="27" t="s">
        <v>57</v>
      </c>
      <c r="F432" s="28" t="s">
        <v>869</v>
      </c>
      <c r="G432" s="27" t="s">
        <v>31</v>
      </c>
      <c r="H432" s="332" t="s">
        <v>32</v>
      </c>
      <c r="I432" s="16">
        <f t="shared" si="380"/>
        <v>3066580</v>
      </c>
      <c r="J432" s="16">
        <v>191354.592</v>
      </c>
      <c r="K432" s="16">
        <v>122663.2</v>
      </c>
      <c r="L432" s="16">
        <v>200000</v>
      </c>
      <c r="M432" s="16">
        <f t="shared" si="496"/>
        <v>54500</v>
      </c>
      <c r="N432" s="21">
        <f ca="1">IFERROR(__xludf.DUMMYFUNCTION("VLOOKUP(C432,IMPORTRANGE(""https://docs.google.com/spreadsheets/d/1rQ2O3to3MCxQ4eTnJ5b4WStW3zTBTYg21JZurI75aCM/edit?gid=1410613181#gid=1410613181"",""DATA_ABSEN_DES24""),39,0)"),21)</f>
        <v>21</v>
      </c>
      <c r="O432" s="334">
        <f ca="1">IFERROR(__xludf.DUMMYFUNCTION("VLOOKUP(C432,IMPORTRANGE(""https://docs.google.com/spreadsheets/d/1rQ2O3to3MCxQ4eTnJ5b4WStW3zTBTYg21JZurI75aCM/edit?gid=1410613181#gid=1410613181"",""DATA_ABSEN_DES24""),40,0)"),20)</f>
        <v>20</v>
      </c>
      <c r="P432" s="16">
        <f t="shared" ca="1" si="381"/>
        <v>1344500</v>
      </c>
      <c r="Q432" s="16">
        <v>21</v>
      </c>
      <c r="R432" s="16">
        <f t="shared" si="382"/>
        <v>4725097.7920000004</v>
      </c>
      <c r="S432" s="16">
        <f t="shared" ca="1" si="383"/>
        <v>4725097.7920000004</v>
      </c>
      <c r="T432" s="16">
        <f t="shared" ca="1" si="384"/>
        <v>0</v>
      </c>
      <c r="U432" s="16">
        <v>100810</v>
      </c>
      <c r="V432" s="21">
        <f ca="1">IFERROR(__xludf.DUMMYFUNCTION("VLOOKUP(C432,IMPORTRANGE(""https://docs.google.com/spreadsheets/d/1rQ2O3to3MCxQ4eTnJ5b4WStW3zTBTYg21JZurI75aCM/edit?gid=1410613181#gid=1410613181"",""DATA_ABSEN_DES24""),41,0)"),0)</f>
        <v>0</v>
      </c>
      <c r="W432" s="16">
        <f t="shared" ca="1" si="385"/>
        <v>0</v>
      </c>
      <c r="X432" s="16">
        <v>0</v>
      </c>
      <c r="Y432" s="16">
        <f t="shared" ca="1" si="386"/>
        <v>4725097.7920000004</v>
      </c>
      <c r="Z432" s="21"/>
      <c r="AA432" s="21"/>
      <c r="AB432" s="21"/>
      <c r="AC432" s="21"/>
      <c r="AD432" s="21"/>
      <c r="AE432" s="16"/>
      <c r="AF432" s="16"/>
      <c r="AG432" s="16"/>
      <c r="AH432" s="16"/>
      <c r="AI432" s="16"/>
      <c r="AJ432" s="16"/>
      <c r="AK432" s="16"/>
      <c r="AL432" s="16"/>
      <c r="AM432" s="16"/>
      <c r="AN432" s="335">
        <f t="shared" ca="1" si="387"/>
        <v>4725097.7920000004</v>
      </c>
      <c r="AO432" s="20">
        <f t="shared" ca="1" si="388"/>
        <v>0</v>
      </c>
      <c r="AP432" s="20">
        <f t="shared" ca="1" si="389"/>
        <v>4725097.7920000004</v>
      </c>
      <c r="AQ432" s="20">
        <f t="shared" ca="1" si="390"/>
        <v>4725097.7920000004</v>
      </c>
      <c r="AR432" s="20">
        <f t="shared" ca="1" si="391"/>
        <v>4725100</v>
      </c>
      <c r="AS432" s="216"/>
      <c r="AT432" s="30" t="s">
        <v>13</v>
      </c>
      <c r="AU432" s="30" t="str">
        <f>VLOOKUP(AT432,TER!$R$2:$S$10,2,0)</f>
        <v>A</v>
      </c>
      <c r="AV432" s="20">
        <f t="shared" si="392"/>
        <v>3066580</v>
      </c>
      <c r="AW432" s="20">
        <f t="shared" ca="1" si="393"/>
        <v>1344500</v>
      </c>
      <c r="AX432" s="20">
        <f t="shared" ref="AX432:AY432" ca="1" si="500">W432</f>
        <v>0</v>
      </c>
      <c r="AY432" s="20">
        <f t="shared" si="500"/>
        <v>0</v>
      </c>
      <c r="AZ432" s="20">
        <f t="shared" si="395"/>
        <v>7359.7919999999995</v>
      </c>
      <c r="BA432" s="20">
        <f t="shared" si="396"/>
        <v>9199.74</v>
      </c>
      <c r="BB432" s="20">
        <f t="shared" si="397"/>
        <v>122663.2</v>
      </c>
      <c r="BC432" s="20">
        <f t="shared" ca="1" si="398"/>
        <v>4550302.7320000008</v>
      </c>
      <c r="BD432" s="37">
        <f ca="1">IF(AU432="C",VLOOKUP(BC432,TER!$J$4:$L$50,3,TRUE),IF(AU432="B",VLOOKUP(BC432,TER!$F$4:$H$50,3,TRUE),IF(AU432="A",VLOOKUP(BC432,TER!$B$4:$D$50,3,TRUE),"ERROR")))</f>
        <v>0</v>
      </c>
      <c r="BE432" s="20">
        <f t="shared" ca="1" si="399"/>
        <v>0</v>
      </c>
      <c r="BF432" s="216"/>
      <c r="BG432" s="216"/>
    </row>
    <row r="433" spans="1:59" ht="15.75" hidden="1" customHeight="1">
      <c r="A433" s="216"/>
      <c r="B433" s="27">
        <v>95</v>
      </c>
      <c r="C433" s="28" t="s">
        <v>870</v>
      </c>
      <c r="D433" s="29" t="s">
        <v>871</v>
      </c>
      <c r="E433" s="27" t="s">
        <v>57</v>
      </c>
      <c r="F433" s="28" t="s">
        <v>872</v>
      </c>
      <c r="G433" s="27" t="s">
        <v>94</v>
      </c>
      <c r="H433" s="332" t="s">
        <v>32</v>
      </c>
      <c r="I433" s="16">
        <f t="shared" si="380"/>
        <v>3066580</v>
      </c>
      <c r="J433" s="16">
        <v>191354.592</v>
      </c>
      <c r="K433" s="16">
        <v>122663.2</v>
      </c>
      <c r="L433" s="16">
        <f>200000+250000</f>
        <v>450000</v>
      </c>
      <c r="M433" s="16">
        <f>(724500+472500)/21</f>
        <v>57000</v>
      </c>
      <c r="N433" s="21">
        <f ca="1">IFERROR(__xludf.DUMMYFUNCTION("VLOOKUP(C433,IMPORTRANGE(""https://docs.google.com/spreadsheets/d/1rQ2O3to3MCxQ4eTnJ5b4WStW3zTBTYg21JZurI75aCM/edit?gid=1410613181#gid=1410613181"",""DATA_ABSEN_DES24""),39,0)"),21)</f>
        <v>21</v>
      </c>
      <c r="O433" s="334">
        <f ca="1">IFERROR(__xludf.DUMMYFUNCTION("VLOOKUP(C433,IMPORTRANGE(""https://docs.google.com/spreadsheets/d/1rQ2O3to3MCxQ4eTnJ5b4WStW3zTBTYg21JZurI75aCM/edit?gid=1410613181#gid=1410613181"",""DATA_ABSEN_DES24""),40,0)"),20)</f>
        <v>20</v>
      </c>
      <c r="P433" s="16">
        <f t="shared" ca="1" si="381"/>
        <v>1647000</v>
      </c>
      <c r="Q433" s="16">
        <v>21</v>
      </c>
      <c r="R433" s="16">
        <f t="shared" si="382"/>
        <v>5027597.7920000004</v>
      </c>
      <c r="S433" s="16">
        <f t="shared" ca="1" si="383"/>
        <v>5027597.7920000004</v>
      </c>
      <c r="T433" s="16">
        <f t="shared" ca="1" si="384"/>
        <v>0</v>
      </c>
      <c r="U433" s="16">
        <v>100810</v>
      </c>
      <c r="V433" s="21">
        <f ca="1">IFERROR(__xludf.DUMMYFUNCTION("VLOOKUP(C433,IMPORTRANGE(""https://docs.google.com/spreadsheets/d/1rQ2O3to3MCxQ4eTnJ5b4WStW3zTBTYg21JZurI75aCM/edit?gid=1410613181#gid=1410613181"",""DATA_ABSEN_DES24""),41,0)"),0)</f>
        <v>0</v>
      </c>
      <c r="W433" s="16">
        <f t="shared" ca="1" si="385"/>
        <v>0</v>
      </c>
      <c r="X433" s="16">
        <v>0</v>
      </c>
      <c r="Y433" s="16">
        <f t="shared" ca="1" si="386"/>
        <v>5027597.7920000004</v>
      </c>
      <c r="Z433" s="21"/>
      <c r="AA433" s="21"/>
      <c r="AB433" s="21"/>
      <c r="AC433" s="21"/>
      <c r="AD433" s="21"/>
      <c r="AE433" s="16"/>
      <c r="AF433" s="16"/>
      <c r="AG433" s="16"/>
      <c r="AH433" s="16"/>
      <c r="AI433" s="16"/>
      <c r="AJ433" s="16"/>
      <c r="AK433" s="16"/>
      <c r="AL433" s="16"/>
      <c r="AM433" s="16"/>
      <c r="AN433" s="335">
        <f t="shared" ca="1" si="387"/>
        <v>5027597.7920000004</v>
      </c>
      <c r="AO433" s="20">
        <f t="shared" ca="1" si="388"/>
        <v>0</v>
      </c>
      <c r="AP433" s="20">
        <f t="shared" ca="1" si="389"/>
        <v>5027597.7920000004</v>
      </c>
      <c r="AQ433" s="20">
        <f t="shared" ca="1" si="390"/>
        <v>5027597.7920000004</v>
      </c>
      <c r="AR433" s="20">
        <f t="shared" ca="1" si="391"/>
        <v>5027600</v>
      </c>
      <c r="AS433" s="216"/>
      <c r="AT433" s="30" t="s">
        <v>8</v>
      </c>
      <c r="AU433" s="30" t="str">
        <f>VLOOKUP(AT433,TER!$R$2:$S$10,2,0)</f>
        <v>C</v>
      </c>
      <c r="AV433" s="20">
        <f t="shared" si="392"/>
        <v>3066580</v>
      </c>
      <c r="AW433" s="20">
        <f t="shared" ca="1" si="393"/>
        <v>1647000</v>
      </c>
      <c r="AX433" s="20">
        <f t="shared" ref="AX433:AY433" ca="1" si="501">W433</f>
        <v>0</v>
      </c>
      <c r="AY433" s="20">
        <f t="shared" si="501"/>
        <v>0</v>
      </c>
      <c r="AZ433" s="20">
        <f t="shared" si="395"/>
        <v>7359.7919999999995</v>
      </c>
      <c r="BA433" s="20">
        <f t="shared" si="396"/>
        <v>9199.74</v>
      </c>
      <c r="BB433" s="20">
        <f t="shared" si="397"/>
        <v>122663.2</v>
      </c>
      <c r="BC433" s="20">
        <f t="shared" ca="1" si="398"/>
        <v>4852802.7320000008</v>
      </c>
      <c r="BD433" s="37">
        <f ca="1">IF(AU433="C",VLOOKUP(BC433,TER!$J$4:$L$50,3,TRUE),IF(AU433="B",VLOOKUP(BC433,TER!$F$4:$H$50,3,TRUE),IF(AU433="A",VLOOKUP(BC433,TER!$B$4:$D$50,3,TRUE),"ERROR")))</f>
        <v>0</v>
      </c>
      <c r="BE433" s="20">
        <f t="shared" ca="1" si="399"/>
        <v>0</v>
      </c>
      <c r="BF433" s="216"/>
      <c r="BG433" s="216"/>
    </row>
    <row r="434" spans="1:59" ht="15.75" hidden="1" customHeight="1">
      <c r="A434" s="216"/>
      <c r="B434" s="27">
        <v>96</v>
      </c>
      <c r="C434" s="28" t="s">
        <v>873</v>
      </c>
      <c r="D434" s="29" t="s">
        <v>874</v>
      </c>
      <c r="E434" s="27" t="s">
        <v>57</v>
      </c>
      <c r="F434" s="28" t="s">
        <v>875</v>
      </c>
      <c r="G434" s="27" t="s">
        <v>31</v>
      </c>
      <c r="H434" s="332" t="s">
        <v>32</v>
      </c>
      <c r="I434" s="16">
        <f t="shared" si="380"/>
        <v>3066580</v>
      </c>
      <c r="J434" s="16">
        <v>191354.592</v>
      </c>
      <c r="K434" s="16">
        <v>122663.2</v>
      </c>
      <c r="L434" s="16">
        <v>200000</v>
      </c>
      <c r="M434" s="16">
        <f t="shared" ref="M434:M437" si="502">(724500+420000)/21</f>
        <v>54500</v>
      </c>
      <c r="N434" s="21">
        <f ca="1">IFERROR(__xludf.DUMMYFUNCTION("VLOOKUP(C434,IMPORTRANGE(""https://docs.google.com/spreadsheets/d/1rQ2O3to3MCxQ4eTnJ5b4WStW3zTBTYg21JZurI75aCM/edit?gid=1410613181#gid=1410613181"",""DATA_ABSEN_DES24""),39,0)"),20)</f>
        <v>20</v>
      </c>
      <c r="O434" s="334">
        <f ca="1">IFERROR(__xludf.DUMMYFUNCTION("VLOOKUP(C434,IMPORTRANGE(""https://docs.google.com/spreadsheets/d/1rQ2O3to3MCxQ4eTnJ5b4WStW3zTBTYg21JZurI75aCM/edit?gid=1410613181#gid=1410613181"",""DATA_ABSEN_DES24""),40,0)"),20)</f>
        <v>20</v>
      </c>
      <c r="P434" s="16">
        <f t="shared" ca="1" si="381"/>
        <v>1290000</v>
      </c>
      <c r="Q434" s="16">
        <v>21</v>
      </c>
      <c r="R434" s="16">
        <f t="shared" si="382"/>
        <v>4725097.7920000004</v>
      </c>
      <c r="S434" s="16">
        <f t="shared" ca="1" si="383"/>
        <v>4670597.7920000004</v>
      </c>
      <c r="T434" s="16">
        <f t="shared" ca="1" si="384"/>
        <v>0</v>
      </c>
      <c r="U434" s="16">
        <v>100810</v>
      </c>
      <c r="V434" s="21">
        <f ca="1">IFERROR(__xludf.DUMMYFUNCTION("VLOOKUP(C434,IMPORTRANGE(""https://docs.google.com/spreadsheets/d/1rQ2O3to3MCxQ4eTnJ5b4WStW3zTBTYg21JZurI75aCM/edit?gid=1410613181#gid=1410613181"",""DATA_ABSEN_DES24""),41,0)"),0)</f>
        <v>0</v>
      </c>
      <c r="W434" s="16">
        <f t="shared" ca="1" si="385"/>
        <v>0</v>
      </c>
      <c r="X434" s="16">
        <v>0</v>
      </c>
      <c r="Y434" s="16">
        <f t="shared" ca="1" si="386"/>
        <v>4670597.7920000004</v>
      </c>
      <c r="Z434" s="21"/>
      <c r="AA434" s="21"/>
      <c r="AB434" s="21"/>
      <c r="AC434" s="21"/>
      <c r="AD434" s="21"/>
      <c r="AE434" s="16"/>
      <c r="AF434" s="16"/>
      <c r="AG434" s="16"/>
      <c r="AH434" s="16"/>
      <c r="AI434" s="16"/>
      <c r="AJ434" s="16"/>
      <c r="AK434" s="16"/>
      <c r="AL434" s="16"/>
      <c r="AM434" s="16"/>
      <c r="AN434" s="335">
        <f t="shared" ca="1" si="387"/>
        <v>4670597.7920000004</v>
      </c>
      <c r="AO434" s="20">
        <f t="shared" ca="1" si="388"/>
        <v>0</v>
      </c>
      <c r="AP434" s="20">
        <f t="shared" ca="1" si="389"/>
        <v>4670597.7920000004</v>
      </c>
      <c r="AQ434" s="20">
        <f t="shared" ca="1" si="390"/>
        <v>4670597.7920000004</v>
      </c>
      <c r="AR434" s="20">
        <f t="shared" ca="1" si="391"/>
        <v>4670600</v>
      </c>
      <c r="AS434" s="216"/>
      <c r="AT434" s="30" t="s">
        <v>18</v>
      </c>
      <c r="AU434" s="30" t="str">
        <f>VLOOKUP(AT434,TER!$R$2:$S$10,2,0)</f>
        <v>B</v>
      </c>
      <c r="AV434" s="20">
        <f t="shared" si="392"/>
        <v>3066580</v>
      </c>
      <c r="AW434" s="20">
        <f t="shared" ca="1" si="393"/>
        <v>1290000</v>
      </c>
      <c r="AX434" s="20">
        <f t="shared" ref="AX434:AY434" ca="1" si="503">W434</f>
        <v>0</v>
      </c>
      <c r="AY434" s="20">
        <f t="shared" si="503"/>
        <v>0</v>
      </c>
      <c r="AZ434" s="20">
        <f t="shared" si="395"/>
        <v>7359.7919999999995</v>
      </c>
      <c r="BA434" s="20">
        <f t="shared" si="396"/>
        <v>9199.74</v>
      </c>
      <c r="BB434" s="20">
        <f t="shared" si="397"/>
        <v>122663.2</v>
      </c>
      <c r="BC434" s="20">
        <f t="shared" ca="1" si="398"/>
        <v>4495802.7320000008</v>
      </c>
      <c r="BD434" s="37">
        <f ca="1">IF(AU434="C",VLOOKUP(BC434,TER!$J$4:$L$50,3,TRUE),IF(AU434="B",VLOOKUP(BC434,TER!$F$4:$H$50,3,TRUE),IF(AU434="A",VLOOKUP(BC434,TER!$B$4:$D$50,3,TRUE),"ERROR")))</f>
        <v>0</v>
      </c>
      <c r="BE434" s="20">
        <f t="shared" ca="1" si="399"/>
        <v>0</v>
      </c>
      <c r="BF434" s="216"/>
      <c r="BG434" s="216"/>
    </row>
    <row r="435" spans="1:59" ht="15.75" hidden="1" customHeight="1">
      <c r="A435" s="216"/>
      <c r="B435" s="27">
        <v>97</v>
      </c>
      <c r="C435" s="28" t="s">
        <v>876</v>
      </c>
      <c r="D435" s="29" t="s">
        <v>877</v>
      </c>
      <c r="E435" s="27" t="s">
        <v>57</v>
      </c>
      <c r="F435" s="28" t="s">
        <v>878</v>
      </c>
      <c r="G435" s="27" t="s">
        <v>31</v>
      </c>
      <c r="H435" s="332" t="s">
        <v>32</v>
      </c>
      <c r="I435" s="16">
        <f t="shared" si="380"/>
        <v>3066580</v>
      </c>
      <c r="J435" s="16">
        <v>191354.592</v>
      </c>
      <c r="K435" s="16">
        <v>122663.2</v>
      </c>
      <c r="L435" s="16">
        <v>200000</v>
      </c>
      <c r="M435" s="16">
        <f t="shared" si="502"/>
        <v>54500</v>
      </c>
      <c r="N435" s="21">
        <f ca="1">IFERROR(__xludf.DUMMYFUNCTION("VLOOKUP(C435,IMPORTRANGE(""https://docs.google.com/spreadsheets/d/1rQ2O3to3MCxQ4eTnJ5b4WStW3zTBTYg21JZurI75aCM/edit?gid=1410613181#gid=1410613181"",""DATA_ABSEN_DES24""),39,0)"),21)</f>
        <v>21</v>
      </c>
      <c r="O435" s="334">
        <f ca="1">IFERROR(__xludf.DUMMYFUNCTION("VLOOKUP(C435,IMPORTRANGE(""https://docs.google.com/spreadsheets/d/1rQ2O3to3MCxQ4eTnJ5b4WStW3zTBTYg21JZurI75aCM/edit?gid=1410613181#gid=1410613181"",""DATA_ABSEN_DES24""),40,0)"),20)</f>
        <v>20</v>
      </c>
      <c r="P435" s="16">
        <f t="shared" ca="1" si="381"/>
        <v>1344500</v>
      </c>
      <c r="Q435" s="16">
        <v>21</v>
      </c>
      <c r="R435" s="16">
        <f t="shared" si="382"/>
        <v>4725097.7920000004</v>
      </c>
      <c r="S435" s="16">
        <f t="shared" ca="1" si="383"/>
        <v>4725097.7920000004</v>
      </c>
      <c r="T435" s="16">
        <f t="shared" ca="1" si="384"/>
        <v>0</v>
      </c>
      <c r="U435" s="16">
        <v>100810</v>
      </c>
      <c r="V435" s="21">
        <f ca="1">IFERROR(__xludf.DUMMYFUNCTION("VLOOKUP(C435,IMPORTRANGE(""https://docs.google.com/spreadsheets/d/1rQ2O3to3MCxQ4eTnJ5b4WStW3zTBTYg21JZurI75aCM/edit?gid=1410613181#gid=1410613181"",""DATA_ABSEN_DES24""),41,0)"),0)</f>
        <v>0</v>
      </c>
      <c r="W435" s="16">
        <f t="shared" ca="1" si="385"/>
        <v>0</v>
      </c>
      <c r="X435" s="16">
        <v>0</v>
      </c>
      <c r="Y435" s="16">
        <f t="shared" ca="1" si="386"/>
        <v>4725097.7920000004</v>
      </c>
      <c r="Z435" s="21"/>
      <c r="AA435" s="21"/>
      <c r="AB435" s="21"/>
      <c r="AC435" s="21"/>
      <c r="AD435" s="21"/>
      <c r="AE435" s="16"/>
      <c r="AF435" s="16"/>
      <c r="AG435" s="16"/>
      <c r="AH435" s="16"/>
      <c r="AI435" s="16"/>
      <c r="AJ435" s="16"/>
      <c r="AK435" s="16"/>
      <c r="AL435" s="16"/>
      <c r="AM435" s="16"/>
      <c r="AN435" s="335">
        <f t="shared" ca="1" si="387"/>
        <v>4725097.7920000004</v>
      </c>
      <c r="AO435" s="20">
        <f t="shared" ca="1" si="388"/>
        <v>0</v>
      </c>
      <c r="AP435" s="20">
        <f t="shared" ca="1" si="389"/>
        <v>4725097.7920000004</v>
      </c>
      <c r="AQ435" s="20">
        <f t="shared" ca="1" si="390"/>
        <v>4725097.7920000004</v>
      </c>
      <c r="AR435" s="20">
        <f t="shared" ca="1" si="391"/>
        <v>4725100</v>
      </c>
      <c r="AS435" s="216"/>
      <c r="AT435" s="30" t="s">
        <v>13</v>
      </c>
      <c r="AU435" s="30" t="str">
        <f>VLOOKUP(AT435,TER!$R$2:$S$10,2,0)</f>
        <v>A</v>
      </c>
      <c r="AV435" s="20">
        <f t="shared" si="392"/>
        <v>3066580</v>
      </c>
      <c r="AW435" s="20">
        <f t="shared" ca="1" si="393"/>
        <v>1344500</v>
      </c>
      <c r="AX435" s="20">
        <f t="shared" ref="AX435:AY435" ca="1" si="504">W435</f>
        <v>0</v>
      </c>
      <c r="AY435" s="20">
        <f t="shared" si="504"/>
        <v>0</v>
      </c>
      <c r="AZ435" s="20">
        <f t="shared" si="395"/>
        <v>7359.7919999999995</v>
      </c>
      <c r="BA435" s="20">
        <f t="shared" si="396"/>
        <v>9199.74</v>
      </c>
      <c r="BB435" s="20">
        <f t="shared" si="397"/>
        <v>122663.2</v>
      </c>
      <c r="BC435" s="20">
        <f t="shared" ca="1" si="398"/>
        <v>4550302.7320000008</v>
      </c>
      <c r="BD435" s="37">
        <f ca="1">IF(AU435="C",VLOOKUP(BC435,TER!$J$4:$L$50,3,TRUE),IF(AU435="B",VLOOKUP(BC435,TER!$F$4:$H$50,3,TRUE),IF(AU435="A",VLOOKUP(BC435,TER!$B$4:$D$50,3,TRUE),"ERROR")))</f>
        <v>0</v>
      </c>
      <c r="BE435" s="20">
        <f t="shared" ca="1" si="399"/>
        <v>0</v>
      </c>
      <c r="BF435" s="216"/>
      <c r="BG435" s="216"/>
    </row>
    <row r="436" spans="1:59" ht="15.75" hidden="1" customHeight="1">
      <c r="A436" s="216"/>
      <c r="B436" s="27">
        <v>98</v>
      </c>
      <c r="C436" s="28" t="s">
        <v>879</v>
      </c>
      <c r="D436" s="29" t="s">
        <v>880</v>
      </c>
      <c r="E436" s="27" t="s">
        <v>57</v>
      </c>
      <c r="F436" s="28" t="s">
        <v>881</v>
      </c>
      <c r="G436" s="27" t="s">
        <v>31</v>
      </c>
      <c r="H436" s="332" t="s">
        <v>32</v>
      </c>
      <c r="I436" s="16">
        <f t="shared" si="380"/>
        <v>3066580</v>
      </c>
      <c r="J436" s="16">
        <v>191354.592</v>
      </c>
      <c r="K436" s="16">
        <v>122663.2</v>
      </c>
      <c r="L436" s="16">
        <v>200000</v>
      </c>
      <c r="M436" s="16">
        <f t="shared" si="502"/>
        <v>54500</v>
      </c>
      <c r="N436" s="21">
        <f ca="1">IFERROR(__xludf.DUMMYFUNCTION("VLOOKUP(C436,IMPORTRANGE(""https://docs.google.com/spreadsheets/d/1rQ2O3to3MCxQ4eTnJ5b4WStW3zTBTYg21JZurI75aCM/edit?gid=1410613181#gid=1410613181"",""DATA_ABSEN_DES24""),39,0)"),21)</f>
        <v>21</v>
      </c>
      <c r="O436" s="334">
        <f ca="1">IFERROR(__xludf.DUMMYFUNCTION("VLOOKUP(C436,IMPORTRANGE(""https://docs.google.com/spreadsheets/d/1rQ2O3to3MCxQ4eTnJ5b4WStW3zTBTYg21JZurI75aCM/edit?gid=1410613181#gid=1410613181"",""DATA_ABSEN_DES24""),40,0)"),20)</f>
        <v>20</v>
      </c>
      <c r="P436" s="16">
        <f t="shared" ca="1" si="381"/>
        <v>1344500</v>
      </c>
      <c r="Q436" s="16">
        <v>21</v>
      </c>
      <c r="R436" s="16">
        <f t="shared" si="382"/>
        <v>4725097.7920000004</v>
      </c>
      <c r="S436" s="16">
        <f t="shared" ca="1" si="383"/>
        <v>4725097.7920000004</v>
      </c>
      <c r="T436" s="16">
        <f t="shared" ca="1" si="384"/>
        <v>0</v>
      </c>
      <c r="U436" s="16">
        <v>100810</v>
      </c>
      <c r="V436" s="21">
        <f ca="1">IFERROR(__xludf.DUMMYFUNCTION("VLOOKUP(C436,IMPORTRANGE(""https://docs.google.com/spreadsheets/d/1rQ2O3to3MCxQ4eTnJ5b4WStW3zTBTYg21JZurI75aCM/edit?gid=1410613181#gid=1410613181"",""DATA_ABSEN_DES24""),41,0)"),0)</f>
        <v>0</v>
      </c>
      <c r="W436" s="16">
        <f t="shared" ca="1" si="385"/>
        <v>0</v>
      </c>
      <c r="X436" s="16">
        <v>0</v>
      </c>
      <c r="Y436" s="16">
        <f t="shared" ca="1" si="386"/>
        <v>4725097.7920000004</v>
      </c>
      <c r="Z436" s="21"/>
      <c r="AA436" s="21"/>
      <c r="AB436" s="21"/>
      <c r="AC436" s="21"/>
      <c r="AD436" s="21"/>
      <c r="AE436" s="16"/>
      <c r="AF436" s="16"/>
      <c r="AG436" s="16"/>
      <c r="AH436" s="16"/>
      <c r="AI436" s="16"/>
      <c r="AJ436" s="16"/>
      <c r="AK436" s="16"/>
      <c r="AL436" s="16"/>
      <c r="AM436" s="16"/>
      <c r="AN436" s="335">
        <f t="shared" ca="1" si="387"/>
        <v>4725097.7920000004</v>
      </c>
      <c r="AO436" s="20">
        <f t="shared" ca="1" si="388"/>
        <v>0</v>
      </c>
      <c r="AP436" s="20">
        <f t="shared" ca="1" si="389"/>
        <v>4725097.7920000004</v>
      </c>
      <c r="AQ436" s="20">
        <f t="shared" ca="1" si="390"/>
        <v>4725097.7920000004</v>
      </c>
      <c r="AR436" s="20">
        <f t="shared" ca="1" si="391"/>
        <v>4725100</v>
      </c>
      <c r="AS436" s="216"/>
      <c r="AT436" s="30" t="s">
        <v>17</v>
      </c>
      <c r="AU436" s="30" t="str">
        <f>VLOOKUP(AT436,TER!$R$2:$S$10,2,0)</f>
        <v>B</v>
      </c>
      <c r="AV436" s="20">
        <f t="shared" si="392"/>
        <v>3066580</v>
      </c>
      <c r="AW436" s="20">
        <f t="shared" ca="1" si="393"/>
        <v>1344500</v>
      </c>
      <c r="AX436" s="20">
        <f t="shared" ref="AX436:AY436" ca="1" si="505">W436</f>
        <v>0</v>
      </c>
      <c r="AY436" s="20">
        <f t="shared" si="505"/>
        <v>0</v>
      </c>
      <c r="AZ436" s="20">
        <f t="shared" si="395"/>
        <v>7359.7919999999995</v>
      </c>
      <c r="BA436" s="20">
        <f t="shared" si="396"/>
        <v>9199.74</v>
      </c>
      <c r="BB436" s="20">
        <f t="shared" si="397"/>
        <v>122663.2</v>
      </c>
      <c r="BC436" s="20">
        <f t="shared" ca="1" si="398"/>
        <v>4550302.7320000008</v>
      </c>
      <c r="BD436" s="37">
        <f ca="1">IF(AU436="C",VLOOKUP(BC436,TER!$J$4:$L$50,3,TRUE),IF(AU436="B",VLOOKUP(BC436,TER!$F$4:$H$50,3,TRUE),IF(AU436="A",VLOOKUP(BC436,TER!$B$4:$D$50,3,TRUE),"ERROR")))</f>
        <v>0</v>
      </c>
      <c r="BE436" s="20">
        <f t="shared" ca="1" si="399"/>
        <v>0</v>
      </c>
      <c r="BF436" s="216"/>
      <c r="BG436" s="216"/>
    </row>
    <row r="437" spans="1:59" ht="15.75" hidden="1" customHeight="1">
      <c r="A437" s="216"/>
      <c r="B437" s="27">
        <v>99</v>
      </c>
      <c r="C437" s="28" t="s">
        <v>882</v>
      </c>
      <c r="D437" s="29" t="s">
        <v>883</v>
      </c>
      <c r="E437" s="27" t="s">
        <v>57</v>
      </c>
      <c r="F437" s="28" t="s">
        <v>884</v>
      </c>
      <c r="G437" s="27" t="s">
        <v>31</v>
      </c>
      <c r="H437" s="332" t="s">
        <v>32</v>
      </c>
      <c r="I437" s="16">
        <f t="shared" si="380"/>
        <v>3066580</v>
      </c>
      <c r="J437" s="16">
        <v>191354.592</v>
      </c>
      <c r="K437" s="16">
        <v>122663.2</v>
      </c>
      <c r="L437" s="16">
        <v>200000</v>
      </c>
      <c r="M437" s="16">
        <f t="shared" si="502"/>
        <v>54500</v>
      </c>
      <c r="N437" s="21">
        <f ca="1">IFERROR(__xludf.DUMMYFUNCTION("VLOOKUP(C437,IMPORTRANGE(""https://docs.google.com/spreadsheets/d/1rQ2O3to3MCxQ4eTnJ5b4WStW3zTBTYg21JZurI75aCM/edit?gid=1410613181#gid=1410613181"",""DATA_ABSEN_DES24""),39,0)"),18)</f>
        <v>18</v>
      </c>
      <c r="O437" s="334">
        <f ca="1">IFERROR(__xludf.DUMMYFUNCTION("VLOOKUP(C437,IMPORTRANGE(""https://docs.google.com/spreadsheets/d/1rQ2O3to3MCxQ4eTnJ5b4WStW3zTBTYg21JZurI75aCM/edit?gid=1410613181#gid=1410613181"",""DATA_ABSEN_DES24""),40,0)"),20)</f>
        <v>20</v>
      </c>
      <c r="P437" s="16">
        <f t="shared" ca="1" si="381"/>
        <v>1181000</v>
      </c>
      <c r="Q437" s="16">
        <v>21</v>
      </c>
      <c r="R437" s="16">
        <f t="shared" si="382"/>
        <v>4725097.7920000004</v>
      </c>
      <c r="S437" s="16">
        <f t="shared" ca="1" si="383"/>
        <v>4561597.7920000004</v>
      </c>
      <c r="T437" s="16">
        <f t="shared" ca="1" si="384"/>
        <v>0</v>
      </c>
      <c r="U437" s="16">
        <v>100810</v>
      </c>
      <c r="V437" s="21">
        <f ca="1">IFERROR(__xludf.DUMMYFUNCTION("VLOOKUP(C437,IMPORTRANGE(""https://docs.google.com/spreadsheets/d/1rQ2O3to3MCxQ4eTnJ5b4WStW3zTBTYg21JZurI75aCM/edit?gid=1410613181#gid=1410613181"",""DATA_ABSEN_DES24""),41,0)"),0)</f>
        <v>0</v>
      </c>
      <c r="W437" s="16">
        <f t="shared" ca="1" si="385"/>
        <v>0</v>
      </c>
      <c r="X437" s="16">
        <v>0</v>
      </c>
      <c r="Y437" s="16">
        <f t="shared" ca="1" si="386"/>
        <v>4561597.7920000004</v>
      </c>
      <c r="Z437" s="21"/>
      <c r="AA437" s="21"/>
      <c r="AB437" s="21"/>
      <c r="AC437" s="21"/>
      <c r="AD437" s="21"/>
      <c r="AE437" s="16"/>
      <c r="AF437" s="16"/>
      <c r="AG437" s="16"/>
      <c r="AH437" s="16"/>
      <c r="AI437" s="16"/>
      <c r="AJ437" s="16"/>
      <c r="AK437" s="16"/>
      <c r="AL437" s="16"/>
      <c r="AM437" s="16"/>
      <c r="AN437" s="335">
        <f t="shared" ca="1" si="387"/>
        <v>4561597.7920000004</v>
      </c>
      <c r="AO437" s="20">
        <f t="shared" ca="1" si="388"/>
        <v>0</v>
      </c>
      <c r="AP437" s="20">
        <f t="shared" ca="1" si="389"/>
        <v>4561597.7920000004</v>
      </c>
      <c r="AQ437" s="20">
        <f t="shared" ca="1" si="390"/>
        <v>4561597.7920000004</v>
      </c>
      <c r="AR437" s="20">
        <f t="shared" ca="1" si="391"/>
        <v>4561600</v>
      </c>
      <c r="AS437" s="216"/>
      <c r="AT437" s="30" t="s">
        <v>13</v>
      </c>
      <c r="AU437" s="30" t="str">
        <f>VLOOKUP(AT437,TER!$R$2:$S$10,2,0)</f>
        <v>A</v>
      </c>
      <c r="AV437" s="20">
        <f t="shared" si="392"/>
        <v>3066580</v>
      </c>
      <c r="AW437" s="20">
        <f t="shared" ca="1" si="393"/>
        <v>1181000</v>
      </c>
      <c r="AX437" s="20">
        <f t="shared" ref="AX437:AY437" ca="1" si="506">W437</f>
        <v>0</v>
      </c>
      <c r="AY437" s="20">
        <f t="shared" si="506"/>
        <v>0</v>
      </c>
      <c r="AZ437" s="20">
        <f t="shared" si="395"/>
        <v>7359.7919999999995</v>
      </c>
      <c r="BA437" s="20">
        <f t="shared" si="396"/>
        <v>9199.74</v>
      </c>
      <c r="BB437" s="20">
        <f t="shared" si="397"/>
        <v>122663.2</v>
      </c>
      <c r="BC437" s="20">
        <f t="shared" ca="1" si="398"/>
        <v>4386802.7320000008</v>
      </c>
      <c r="BD437" s="37">
        <f ca="1">IF(AU437="C",VLOOKUP(BC437,TER!$J$4:$L$50,3,TRUE),IF(AU437="B",VLOOKUP(BC437,TER!$F$4:$H$50,3,TRUE),IF(AU437="A",VLOOKUP(BC437,TER!$B$4:$D$50,3,TRUE),"ERROR")))</f>
        <v>0</v>
      </c>
      <c r="BE437" s="20">
        <f t="shared" ca="1" si="399"/>
        <v>0</v>
      </c>
      <c r="BF437" s="216"/>
      <c r="BG437" s="216"/>
    </row>
    <row r="438" spans="1:59" ht="15.75" hidden="1" customHeight="1">
      <c r="A438" s="216"/>
      <c r="B438" s="27">
        <v>100</v>
      </c>
      <c r="C438" s="28" t="s">
        <v>885</v>
      </c>
      <c r="D438" s="29" t="s">
        <v>886</v>
      </c>
      <c r="E438" s="27" t="s">
        <v>57</v>
      </c>
      <c r="F438" s="28" t="s">
        <v>887</v>
      </c>
      <c r="G438" s="27" t="s">
        <v>222</v>
      </c>
      <c r="H438" s="332" t="s">
        <v>32</v>
      </c>
      <c r="I438" s="16">
        <f t="shared" si="380"/>
        <v>3066580</v>
      </c>
      <c r="J438" s="16">
        <v>213194.592</v>
      </c>
      <c r="K438" s="16">
        <v>136663.20000000001</v>
      </c>
      <c r="L438" s="16">
        <f>500000+550000+550000+500000+781000</f>
        <v>2881000</v>
      </c>
      <c r="M438" s="16"/>
      <c r="N438" s="21">
        <f ca="1">IFERROR(__xludf.DUMMYFUNCTION("VLOOKUP(C438,IMPORTRANGE(""https://docs.google.com/spreadsheets/d/1rQ2O3to3MCxQ4eTnJ5b4WStW3zTBTYg21JZurI75aCM/edit?gid=1410613181#gid=1410613181"",""DATA_ABSEN_DES24""),39,0)"),21)</f>
        <v>21</v>
      </c>
      <c r="O438" s="334">
        <f ca="1">IFERROR(__xludf.DUMMYFUNCTION("VLOOKUP(C438,IMPORTRANGE(""https://docs.google.com/spreadsheets/d/1rQ2O3to3MCxQ4eTnJ5b4WStW3zTBTYg21JZurI75aCM/edit?gid=1410613181#gid=1410613181"",""DATA_ABSEN_DES24""),40,0)"),20)</f>
        <v>20</v>
      </c>
      <c r="P438" s="16">
        <f t="shared" ca="1" si="381"/>
        <v>2881000</v>
      </c>
      <c r="Q438" s="16"/>
      <c r="R438" s="16">
        <f t="shared" si="382"/>
        <v>6297437.7920000004</v>
      </c>
      <c r="S438" s="16">
        <f t="shared" ca="1" si="383"/>
        <v>6297437.7920000004</v>
      </c>
      <c r="T438" s="16">
        <f t="shared" ca="1" si="384"/>
        <v>0</v>
      </c>
      <c r="U438" s="16">
        <v>100810</v>
      </c>
      <c r="V438" s="21">
        <f ca="1">IFERROR(__xludf.DUMMYFUNCTION("VLOOKUP(C438,IMPORTRANGE(""https://docs.google.com/spreadsheets/d/1rQ2O3to3MCxQ4eTnJ5b4WStW3zTBTYg21JZurI75aCM/edit?gid=1410613181#gid=1410613181"",""DATA_ABSEN_DES24""),41,0)"),0)</f>
        <v>0</v>
      </c>
      <c r="W438" s="16">
        <f t="shared" ca="1" si="385"/>
        <v>0</v>
      </c>
      <c r="X438" s="16">
        <v>0</v>
      </c>
      <c r="Y438" s="16">
        <f t="shared" ca="1" si="386"/>
        <v>6297437.7920000004</v>
      </c>
      <c r="Z438" s="21"/>
      <c r="AA438" s="21"/>
      <c r="AB438" s="21"/>
      <c r="AC438" s="21"/>
      <c r="AD438" s="21"/>
      <c r="AE438" s="16"/>
      <c r="AF438" s="16"/>
      <c r="AG438" s="16"/>
      <c r="AH438" s="16"/>
      <c r="AI438" s="16"/>
      <c r="AJ438" s="16"/>
      <c r="AK438" s="16"/>
      <c r="AL438" s="16"/>
      <c r="AM438" s="16"/>
      <c r="AN438" s="335">
        <f t="shared" ca="1" si="387"/>
        <v>6297437.7920000004</v>
      </c>
      <c r="AO438" s="20">
        <f t="shared" ca="1" si="388"/>
        <v>0</v>
      </c>
      <c r="AP438" s="20">
        <f t="shared" ca="1" si="389"/>
        <v>6297437.7920000004</v>
      </c>
      <c r="AQ438" s="20">
        <f t="shared" ca="1" si="390"/>
        <v>6297437.7920000004</v>
      </c>
      <c r="AR438" s="20">
        <f t="shared" ca="1" si="391"/>
        <v>6297400</v>
      </c>
      <c r="AS438" s="216"/>
      <c r="AT438" s="30" t="s">
        <v>8</v>
      </c>
      <c r="AU438" s="30" t="str">
        <f>VLOOKUP(AT438,TER!$R$2:$S$10,2,0)</f>
        <v>C</v>
      </c>
      <c r="AV438" s="20">
        <f t="shared" si="392"/>
        <v>3066580</v>
      </c>
      <c r="AW438" s="20">
        <f t="shared" ca="1" si="393"/>
        <v>2881000</v>
      </c>
      <c r="AX438" s="20">
        <f t="shared" ref="AX438:AY438" ca="1" si="507">W438</f>
        <v>0</v>
      </c>
      <c r="AY438" s="20">
        <f t="shared" si="507"/>
        <v>0</v>
      </c>
      <c r="AZ438" s="20">
        <f t="shared" si="395"/>
        <v>7359.7919999999995</v>
      </c>
      <c r="BA438" s="20">
        <f t="shared" si="396"/>
        <v>9199.74</v>
      </c>
      <c r="BB438" s="20">
        <f t="shared" si="397"/>
        <v>122663.2</v>
      </c>
      <c r="BC438" s="20">
        <f t="shared" ca="1" si="398"/>
        <v>6086802.7320000008</v>
      </c>
      <c r="BD438" s="37">
        <f ca="1">IF(AU438="C",VLOOKUP(BC438,TER!$J$4:$L$50,3,TRUE),IF(AU438="B",VLOOKUP(BC438,TER!$F$4:$H$50,3,TRUE),IF(AU438="A",VLOOKUP(BC438,TER!$B$4:$D$50,3,TRUE),"ERROR")))</f>
        <v>0</v>
      </c>
      <c r="BE438" s="20">
        <f t="shared" ca="1" si="399"/>
        <v>0</v>
      </c>
      <c r="BF438" s="216"/>
      <c r="BG438" s="216"/>
    </row>
    <row r="439" spans="1:59" ht="15.75" hidden="1" customHeight="1">
      <c r="A439" s="216"/>
      <c r="B439" s="27">
        <v>101</v>
      </c>
      <c r="C439" s="28" t="s">
        <v>888</v>
      </c>
      <c r="D439" s="29" t="s">
        <v>889</v>
      </c>
      <c r="E439" s="27" t="s">
        <v>57</v>
      </c>
      <c r="F439" s="28" t="s">
        <v>890</v>
      </c>
      <c r="G439" s="27" t="s">
        <v>31</v>
      </c>
      <c r="H439" s="332" t="s">
        <v>32</v>
      </c>
      <c r="I439" s="16">
        <f t="shared" si="380"/>
        <v>3066580</v>
      </c>
      <c r="J439" s="16">
        <v>191354.592</v>
      </c>
      <c r="K439" s="16">
        <v>122663.2</v>
      </c>
      <c r="L439" s="16">
        <v>200000</v>
      </c>
      <c r="M439" s="16">
        <f t="shared" ref="M439:M455" si="508">(724500+420000)/21</f>
        <v>54500</v>
      </c>
      <c r="N439" s="21">
        <f ca="1">IFERROR(__xludf.DUMMYFUNCTION("VLOOKUP(C439,IMPORTRANGE(""https://docs.google.com/spreadsheets/d/1rQ2O3to3MCxQ4eTnJ5b4WStW3zTBTYg21JZurI75aCM/edit?gid=1410613181#gid=1410613181"",""DATA_ABSEN_DES24""),39,0)"),21)</f>
        <v>21</v>
      </c>
      <c r="O439" s="334">
        <f ca="1">IFERROR(__xludf.DUMMYFUNCTION("VLOOKUP(C439,IMPORTRANGE(""https://docs.google.com/spreadsheets/d/1rQ2O3to3MCxQ4eTnJ5b4WStW3zTBTYg21JZurI75aCM/edit?gid=1410613181#gid=1410613181"",""DATA_ABSEN_DES24""),40,0)"),20)</f>
        <v>20</v>
      </c>
      <c r="P439" s="16">
        <f t="shared" ca="1" si="381"/>
        <v>1344500</v>
      </c>
      <c r="Q439" s="16">
        <v>21</v>
      </c>
      <c r="R439" s="16">
        <f t="shared" si="382"/>
        <v>4725097.7920000004</v>
      </c>
      <c r="S439" s="16">
        <f t="shared" ca="1" si="383"/>
        <v>4725097.7920000004</v>
      </c>
      <c r="T439" s="16">
        <f t="shared" ca="1" si="384"/>
        <v>0</v>
      </c>
      <c r="U439" s="16">
        <v>100810</v>
      </c>
      <c r="V439" s="21">
        <f ca="1">IFERROR(__xludf.DUMMYFUNCTION("VLOOKUP(C439,IMPORTRANGE(""https://docs.google.com/spreadsheets/d/1rQ2O3to3MCxQ4eTnJ5b4WStW3zTBTYg21JZurI75aCM/edit?gid=1410613181#gid=1410613181"",""DATA_ABSEN_DES24""),41,0)"),0)</f>
        <v>0</v>
      </c>
      <c r="W439" s="16">
        <f t="shared" ca="1" si="385"/>
        <v>0</v>
      </c>
      <c r="X439" s="16">
        <v>0</v>
      </c>
      <c r="Y439" s="16">
        <f t="shared" ca="1" si="386"/>
        <v>4725097.7920000004</v>
      </c>
      <c r="Z439" s="21"/>
      <c r="AA439" s="21"/>
      <c r="AB439" s="21"/>
      <c r="AC439" s="21"/>
      <c r="AD439" s="21"/>
      <c r="AE439" s="16"/>
      <c r="AF439" s="16"/>
      <c r="AG439" s="16"/>
      <c r="AH439" s="16"/>
      <c r="AI439" s="16"/>
      <c r="AJ439" s="16"/>
      <c r="AK439" s="16"/>
      <c r="AL439" s="16"/>
      <c r="AM439" s="16"/>
      <c r="AN439" s="335">
        <f t="shared" ca="1" si="387"/>
        <v>4725097.7920000004</v>
      </c>
      <c r="AO439" s="20">
        <f t="shared" ca="1" si="388"/>
        <v>0</v>
      </c>
      <c r="AP439" s="20">
        <f t="shared" ca="1" si="389"/>
        <v>4725097.7920000004</v>
      </c>
      <c r="AQ439" s="20">
        <f t="shared" ca="1" si="390"/>
        <v>4725097.7920000004</v>
      </c>
      <c r="AR439" s="20">
        <f t="shared" ca="1" si="391"/>
        <v>4725100</v>
      </c>
      <c r="AS439" s="216"/>
      <c r="AT439" s="30" t="s">
        <v>8</v>
      </c>
      <c r="AU439" s="30" t="str">
        <f>VLOOKUP(AT439,TER!$R$2:$S$10,2,0)</f>
        <v>C</v>
      </c>
      <c r="AV439" s="20">
        <f t="shared" si="392"/>
        <v>3066580</v>
      </c>
      <c r="AW439" s="20">
        <f t="shared" ca="1" si="393"/>
        <v>1344500</v>
      </c>
      <c r="AX439" s="20">
        <f t="shared" ref="AX439:AY439" ca="1" si="509">W439</f>
        <v>0</v>
      </c>
      <c r="AY439" s="20">
        <f t="shared" si="509"/>
        <v>0</v>
      </c>
      <c r="AZ439" s="20">
        <f t="shared" si="395"/>
        <v>7359.7919999999995</v>
      </c>
      <c r="BA439" s="20">
        <f t="shared" si="396"/>
        <v>9199.74</v>
      </c>
      <c r="BB439" s="20">
        <f t="shared" si="397"/>
        <v>122663.2</v>
      </c>
      <c r="BC439" s="20">
        <f t="shared" ca="1" si="398"/>
        <v>4550302.7320000008</v>
      </c>
      <c r="BD439" s="37">
        <f ca="1">IF(AU439="C",VLOOKUP(BC439,TER!$J$4:$L$50,3,TRUE),IF(AU439="B",VLOOKUP(BC439,TER!$F$4:$H$50,3,TRUE),IF(AU439="A",VLOOKUP(BC439,TER!$B$4:$D$50,3,TRUE),"ERROR")))</f>
        <v>0</v>
      </c>
      <c r="BE439" s="20">
        <f t="shared" ca="1" si="399"/>
        <v>0</v>
      </c>
      <c r="BF439" s="216"/>
      <c r="BG439" s="216"/>
    </row>
    <row r="440" spans="1:59" ht="15.75" hidden="1" customHeight="1">
      <c r="A440" s="216"/>
      <c r="B440" s="27">
        <v>102</v>
      </c>
      <c r="C440" s="28" t="s">
        <v>891</v>
      </c>
      <c r="D440" s="29" t="s">
        <v>892</v>
      </c>
      <c r="E440" s="27" t="s">
        <v>57</v>
      </c>
      <c r="F440" s="28" t="s">
        <v>893</v>
      </c>
      <c r="G440" s="27" t="s">
        <v>31</v>
      </c>
      <c r="H440" s="332" t="s">
        <v>32</v>
      </c>
      <c r="I440" s="16">
        <f t="shared" si="380"/>
        <v>3066580</v>
      </c>
      <c r="J440" s="16">
        <v>191354.592</v>
      </c>
      <c r="K440" s="16">
        <v>122663.2</v>
      </c>
      <c r="L440" s="16">
        <v>200000</v>
      </c>
      <c r="M440" s="16">
        <f t="shared" si="508"/>
        <v>54500</v>
      </c>
      <c r="N440" s="21">
        <f ca="1">IFERROR(__xludf.DUMMYFUNCTION("VLOOKUP(C440,IMPORTRANGE(""https://docs.google.com/spreadsheets/d/1rQ2O3to3MCxQ4eTnJ5b4WStW3zTBTYg21JZurI75aCM/edit?gid=1410613181#gid=1410613181"",""DATA_ABSEN_DES24""),39,0)"),21)</f>
        <v>21</v>
      </c>
      <c r="O440" s="334">
        <f ca="1">IFERROR(__xludf.DUMMYFUNCTION("VLOOKUP(C440,IMPORTRANGE(""https://docs.google.com/spreadsheets/d/1rQ2O3to3MCxQ4eTnJ5b4WStW3zTBTYg21JZurI75aCM/edit?gid=1410613181#gid=1410613181"",""DATA_ABSEN_DES24""),40,0)"),20)</f>
        <v>20</v>
      </c>
      <c r="P440" s="16">
        <f t="shared" ca="1" si="381"/>
        <v>1344500</v>
      </c>
      <c r="Q440" s="16">
        <v>21</v>
      </c>
      <c r="R440" s="16">
        <f t="shared" si="382"/>
        <v>4725097.7920000004</v>
      </c>
      <c r="S440" s="16">
        <f t="shared" ca="1" si="383"/>
        <v>4725097.7920000004</v>
      </c>
      <c r="T440" s="16">
        <f t="shared" ca="1" si="384"/>
        <v>0</v>
      </c>
      <c r="U440" s="16">
        <v>100810</v>
      </c>
      <c r="V440" s="21">
        <f ca="1">IFERROR(__xludf.DUMMYFUNCTION("VLOOKUP(C440,IMPORTRANGE(""https://docs.google.com/spreadsheets/d/1rQ2O3to3MCxQ4eTnJ5b4WStW3zTBTYg21JZurI75aCM/edit?gid=1410613181#gid=1410613181"",""DATA_ABSEN_DES24""),41,0)"),0)</f>
        <v>0</v>
      </c>
      <c r="W440" s="16">
        <f t="shared" ca="1" si="385"/>
        <v>0</v>
      </c>
      <c r="X440" s="16">
        <v>0</v>
      </c>
      <c r="Y440" s="16">
        <f t="shared" ca="1" si="386"/>
        <v>4725097.7920000004</v>
      </c>
      <c r="Z440" s="21"/>
      <c r="AA440" s="21"/>
      <c r="AB440" s="21"/>
      <c r="AC440" s="21"/>
      <c r="AD440" s="21"/>
      <c r="AE440" s="16"/>
      <c r="AF440" s="16"/>
      <c r="AG440" s="16"/>
      <c r="AH440" s="16"/>
      <c r="AI440" s="16"/>
      <c r="AJ440" s="16"/>
      <c r="AK440" s="16"/>
      <c r="AL440" s="16"/>
      <c r="AM440" s="16"/>
      <c r="AN440" s="335">
        <f t="shared" ca="1" si="387"/>
        <v>4725097.7920000004</v>
      </c>
      <c r="AO440" s="20">
        <f t="shared" ca="1" si="388"/>
        <v>0</v>
      </c>
      <c r="AP440" s="20">
        <f t="shared" ca="1" si="389"/>
        <v>4725097.7920000004</v>
      </c>
      <c r="AQ440" s="20">
        <f t="shared" ca="1" si="390"/>
        <v>4725097.7920000004</v>
      </c>
      <c r="AR440" s="20">
        <f t="shared" ca="1" si="391"/>
        <v>4725100</v>
      </c>
      <c r="AS440" s="216"/>
      <c r="AT440" s="30" t="s">
        <v>18</v>
      </c>
      <c r="AU440" s="30" t="str">
        <f>VLOOKUP(AT440,TER!$R$2:$S$10,2,0)</f>
        <v>B</v>
      </c>
      <c r="AV440" s="20">
        <f t="shared" si="392"/>
        <v>3066580</v>
      </c>
      <c r="AW440" s="20">
        <f t="shared" ca="1" si="393"/>
        <v>1344500</v>
      </c>
      <c r="AX440" s="20">
        <f t="shared" ref="AX440:AY440" ca="1" si="510">W440</f>
        <v>0</v>
      </c>
      <c r="AY440" s="20">
        <f t="shared" si="510"/>
        <v>0</v>
      </c>
      <c r="AZ440" s="20">
        <f t="shared" si="395"/>
        <v>7359.7919999999995</v>
      </c>
      <c r="BA440" s="20">
        <f t="shared" si="396"/>
        <v>9199.74</v>
      </c>
      <c r="BB440" s="20">
        <f t="shared" si="397"/>
        <v>122663.2</v>
      </c>
      <c r="BC440" s="20">
        <f t="shared" ca="1" si="398"/>
        <v>4550302.7320000008</v>
      </c>
      <c r="BD440" s="37">
        <f ca="1">IF(AU440="C",VLOOKUP(BC440,TER!$J$4:$L$50,3,TRUE),IF(AU440="B",VLOOKUP(BC440,TER!$F$4:$H$50,3,TRUE),IF(AU440="A",VLOOKUP(BC440,TER!$B$4:$D$50,3,TRUE),"ERROR")))</f>
        <v>0</v>
      </c>
      <c r="BE440" s="20">
        <f t="shared" ca="1" si="399"/>
        <v>0</v>
      </c>
      <c r="BF440" s="216"/>
      <c r="BG440" s="216"/>
    </row>
    <row r="441" spans="1:59" ht="15.75" hidden="1" customHeight="1">
      <c r="A441" s="216"/>
      <c r="B441" s="27">
        <v>103</v>
      </c>
      <c r="C441" s="28" t="s">
        <v>894</v>
      </c>
      <c r="D441" s="29" t="s">
        <v>895</v>
      </c>
      <c r="E441" s="27" t="s">
        <v>57</v>
      </c>
      <c r="F441" s="28" t="s">
        <v>896</v>
      </c>
      <c r="G441" s="27" t="s">
        <v>31</v>
      </c>
      <c r="H441" s="332" t="s">
        <v>32</v>
      </c>
      <c r="I441" s="16">
        <f t="shared" si="380"/>
        <v>3066580</v>
      </c>
      <c r="J441" s="16">
        <v>191354.592</v>
      </c>
      <c r="K441" s="16">
        <v>122663.2</v>
      </c>
      <c r="L441" s="16">
        <v>200000</v>
      </c>
      <c r="M441" s="16">
        <f t="shared" si="508"/>
        <v>54500</v>
      </c>
      <c r="N441" s="21" t="str">
        <f ca="1">IFERROR(__xludf.DUMMYFUNCTION("VLOOKUP(C441,IMPORTRANGE(""https://docs.google.com/spreadsheets/d/1rQ2O3to3MCxQ4eTnJ5b4WStW3zTBTYg21JZurI75aCM/edit?gid=1410613181#gid=1410613181"",""DATA_ABSEN_DES24""),39,0)"),"#N/A")</f>
        <v>#N/A</v>
      </c>
      <c r="O441" s="334" t="str">
        <f ca="1">IFERROR(__xludf.DUMMYFUNCTION("VLOOKUP(C441,IMPORTRANGE(""https://docs.google.com/spreadsheets/d/1rQ2O3to3MCxQ4eTnJ5b4WStW3zTBTYg21JZurI75aCM/edit?gid=1410613181#gid=1410613181"",""DATA_ABSEN_DES24""),40,0)"),"#N/A")</f>
        <v>#N/A</v>
      </c>
      <c r="P441" s="16" t="e">
        <f t="shared" ca="1" si="381"/>
        <v>#VALUE!</v>
      </c>
      <c r="Q441" s="16">
        <v>21</v>
      </c>
      <c r="R441" s="16">
        <f t="shared" si="382"/>
        <v>4725097.7920000004</v>
      </c>
      <c r="S441" s="16" t="e">
        <f t="shared" ca="1" si="383"/>
        <v>#VALUE!</v>
      </c>
      <c r="T441" s="16" t="e">
        <f t="shared" ca="1" si="384"/>
        <v>#VALUE!</v>
      </c>
      <c r="U441" s="16">
        <v>100810</v>
      </c>
      <c r="V441" s="21" t="str">
        <f ca="1">IFERROR(__xludf.DUMMYFUNCTION("VLOOKUP(C441,IMPORTRANGE(""https://docs.google.com/spreadsheets/d/1rQ2O3to3MCxQ4eTnJ5b4WStW3zTBTYg21JZurI75aCM/edit?gid=1410613181#gid=1410613181"",""DATA_ABSEN_DES24""),41,0)"),"#N/A")</f>
        <v>#N/A</v>
      </c>
      <c r="W441" s="16" t="e">
        <f t="shared" ca="1" si="385"/>
        <v>#VALUE!</v>
      </c>
      <c r="X441" s="16">
        <v>0</v>
      </c>
      <c r="Y441" s="16" t="e">
        <f t="shared" ca="1" si="386"/>
        <v>#VALUE!</v>
      </c>
      <c r="Z441" s="21"/>
      <c r="AA441" s="21"/>
      <c r="AB441" s="21"/>
      <c r="AC441" s="21"/>
      <c r="AD441" s="21"/>
      <c r="AE441" s="16"/>
      <c r="AF441" s="16"/>
      <c r="AG441" s="16"/>
      <c r="AH441" s="16"/>
      <c r="AI441" s="16"/>
      <c r="AJ441" s="16"/>
      <c r="AK441" s="16"/>
      <c r="AL441" s="16"/>
      <c r="AM441" s="16"/>
      <c r="AN441" s="335" t="e">
        <f t="shared" ca="1" si="387"/>
        <v>#VALUE!</v>
      </c>
      <c r="AO441" s="20" t="e">
        <f t="shared" ca="1" si="388"/>
        <v>#VALUE!</v>
      </c>
      <c r="AP441" s="20" t="e">
        <f t="shared" ca="1" si="389"/>
        <v>#VALUE!</v>
      </c>
      <c r="AQ441" s="20" t="e">
        <f t="shared" ca="1" si="390"/>
        <v>#VALUE!</v>
      </c>
      <c r="AR441" s="20" t="e">
        <f t="shared" ca="1" si="391"/>
        <v>#VALUE!</v>
      </c>
      <c r="AS441" s="216"/>
      <c r="AT441" s="30" t="s">
        <v>18</v>
      </c>
      <c r="AU441" s="30" t="str">
        <f>VLOOKUP(AT441,TER!$R$2:$S$10,2,0)</f>
        <v>B</v>
      </c>
      <c r="AV441" s="20">
        <f t="shared" si="392"/>
        <v>3066580</v>
      </c>
      <c r="AW441" s="20" t="e">
        <f t="shared" ca="1" si="393"/>
        <v>#VALUE!</v>
      </c>
      <c r="AX441" s="20" t="e">
        <f t="shared" ref="AX441:AY441" ca="1" si="511">W441</f>
        <v>#VALUE!</v>
      </c>
      <c r="AY441" s="20">
        <f t="shared" si="511"/>
        <v>0</v>
      </c>
      <c r="AZ441" s="20">
        <f t="shared" si="395"/>
        <v>7359.7919999999995</v>
      </c>
      <c r="BA441" s="20">
        <f t="shared" si="396"/>
        <v>9199.74</v>
      </c>
      <c r="BB441" s="20">
        <f t="shared" si="397"/>
        <v>122663.2</v>
      </c>
      <c r="BC441" s="20" t="e">
        <f t="shared" ca="1" si="398"/>
        <v>#VALUE!</v>
      </c>
      <c r="BD441" s="37" t="e">
        <f ca="1">IF(AU441="C",VLOOKUP(BC441,TER!$J$4:$L$50,3,TRUE),IF(AU441="B",VLOOKUP(BC441,TER!$F$4:$H$50,3,TRUE),IF(AU441="A",VLOOKUP(BC441,TER!$B$4:$D$50,3,TRUE),"ERROR")))</f>
        <v>#VALUE!</v>
      </c>
      <c r="BE441" s="20" t="e">
        <f t="shared" ca="1" si="399"/>
        <v>#VALUE!</v>
      </c>
      <c r="BF441" s="216"/>
      <c r="BG441" s="216"/>
    </row>
    <row r="442" spans="1:59" ht="15.75" hidden="1" customHeight="1">
      <c r="A442" s="216"/>
      <c r="B442" s="27">
        <v>104</v>
      </c>
      <c r="C442" s="28" t="s">
        <v>897</v>
      </c>
      <c r="D442" s="29" t="s">
        <v>898</v>
      </c>
      <c r="E442" s="27" t="s">
        <v>57</v>
      </c>
      <c r="F442" s="28" t="s">
        <v>899</v>
      </c>
      <c r="G442" s="27" t="s">
        <v>31</v>
      </c>
      <c r="H442" s="332" t="s">
        <v>32</v>
      </c>
      <c r="I442" s="16">
        <f t="shared" si="380"/>
        <v>3066580</v>
      </c>
      <c r="J442" s="16">
        <v>191354.592</v>
      </c>
      <c r="K442" s="16">
        <v>122663.2</v>
      </c>
      <c r="L442" s="16">
        <v>200000</v>
      </c>
      <c r="M442" s="16">
        <f t="shared" si="508"/>
        <v>54500</v>
      </c>
      <c r="N442" s="21">
        <f ca="1">IFERROR(__xludf.DUMMYFUNCTION("VLOOKUP(C442,IMPORTRANGE(""https://docs.google.com/spreadsheets/d/1rQ2O3to3MCxQ4eTnJ5b4WStW3zTBTYg21JZurI75aCM/edit?gid=1410613181#gid=1410613181"",""DATA_ABSEN_DES24""),39,0)"),21)</f>
        <v>21</v>
      </c>
      <c r="O442" s="334">
        <f ca="1">IFERROR(__xludf.DUMMYFUNCTION("VLOOKUP(C442,IMPORTRANGE(""https://docs.google.com/spreadsheets/d/1rQ2O3to3MCxQ4eTnJ5b4WStW3zTBTYg21JZurI75aCM/edit?gid=1410613181#gid=1410613181"",""DATA_ABSEN_DES24""),40,0)"),20)</f>
        <v>20</v>
      </c>
      <c r="P442" s="16">
        <f t="shared" ca="1" si="381"/>
        <v>1344500</v>
      </c>
      <c r="Q442" s="16">
        <v>21</v>
      </c>
      <c r="R442" s="16">
        <f t="shared" si="382"/>
        <v>4725097.7920000004</v>
      </c>
      <c r="S442" s="16">
        <f t="shared" ca="1" si="383"/>
        <v>4725097.7920000004</v>
      </c>
      <c r="T442" s="16">
        <f t="shared" ca="1" si="384"/>
        <v>0</v>
      </c>
      <c r="U442" s="16">
        <v>100810</v>
      </c>
      <c r="V442" s="21">
        <f ca="1">IFERROR(__xludf.DUMMYFUNCTION("VLOOKUP(C442,IMPORTRANGE(""https://docs.google.com/spreadsheets/d/1rQ2O3to3MCxQ4eTnJ5b4WStW3zTBTYg21JZurI75aCM/edit?gid=1410613181#gid=1410613181"",""DATA_ABSEN_DES24""),41,0)"),0)</f>
        <v>0</v>
      </c>
      <c r="W442" s="16">
        <f t="shared" ca="1" si="385"/>
        <v>0</v>
      </c>
      <c r="X442" s="16">
        <v>0</v>
      </c>
      <c r="Y442" s="16">
        <f t="shared" ca="1" si="386"/>
        <v>4725097.7920000004</v>
      </c>
      <c r="Z442" s="21"/>
      <c r="AA442" s="21"/>
      <c r="AB442" s="21"/>
      <c r="AC442" s="21"/>
      <c r="AD442" s="21"/>
      <c r="AE442" s="16"/>
      <c r="AF442" s="16"/>
      <c r="AG442" s="16"/>
      <c r="AH442" s="16"/>
      <c r="AI442" s="16"/>
      <c r="AJ442" s="16"/>
      <c r="AK442" s="16"/>
      <c r="AL442" s="16"/>
      <c r="AM442" s="16"/>
      <c r="AN442" s="335">
        <f t="shared" ca="1" si="387"/>
        <v>4725097.7920000004</v>
      </c>
      <c r="AO442" s="20">
        <f t="shared" ca="1" si="388"/>
        <v>0</v>
      </c>
      <c r="AP442" s="20">
        <f t="shared" ca="1" si="389"/>
        <v>4725097.7920000004</v>
      </c>
      <c r="AQ442" s="20">
        <f t="shared" ca="1" si="390"/>
        <v>4725097.7920000004</v>
      </c>
      <c r="AR442" s="20">
        <f t="shared" ca="1" si="391"/>
        <v>4725100</v>
      </c>
      <c r="AS442" s="216"/>
      <c r="AT442" s="30" t="s">
        <v>13</v>
      </c>
      <c r="AU442" s="30" t="str">
        <f>VLOOKUP(AT442,TER!$R$2:$S$10,2,0)</f>
        <v>A</v>
      </c>
      <c r="AV442" s="20">
        <f t="shared" si="392"/>
        <v>3066580</v>
      </c>
      <c r="AW442" s="20">
        <f t="shared" ca="1" si="393"/>
        <v>1344500</v>
      </c>
      <c r="AX442" s="20">
        <f t="shared" ref="AX442:AY442" ca="1" si="512">W442</f>
        <v>0</v>
      </c>
      <c r="AY442" s="20">
        <f t="shared" si="512"/>
        <v>0</v>
      </c>
      <c r="AZ442" s="20">
        <f t="shared" si="395"/>
        <v>7359.7919999999995</v>
      </c>
      <c r="BA442" s="20">
        <f t="shared" si="396"/>
        <v>9199.74</v>
      </c>
      <c r="BB442" s="20">
        <f t="shared" si="397"/>
        <v>122663.2</v>
      </c>
      <c r="BC442" s="20">
        <f t="shared" ca="1" si="398"/>
        <v>4550302.7320000008</v>
      </c>
      <c r="BD442" s="37">
        <f ca="1">IF(AU442="C",VLOOKUP(BC442,TER!$J$4:$L$50,3,TRUE),IF(AU442="B",VLOOKUP(BC442,TER!$F$4:$H$50,3,TRUE),IF(AU442="A",VLOOKUP(BC442,TER!$B$4:$D$50,3,TRUE),"ERROR")))</f>
        <v>0</v>
      </c>
      <c r="BE442" s="20">
        <f t="shared" ca="1" si="399"/>
        <v>0</v>
      </c>
      <c r="BF442" s="216"/>
      <c r="BG442" s="216"/>
    </row>
    <row r="443" spans="1:59" ht="15.75" hidden="1" customHeight="1">
      <c r="A443" s="216"/>
      <c r="B443" s="27">
        <v>105</v>
      </c>
      <c r="C443" s="28" t="s">
        <v>900</v>
      </c>
      <c r="D443" s="29" t="s">
        <v>901</v>
      </c>
      <c r="E443" s="27" t="s">
        <v>57</v>
      </c>
      <c r="F443" s="28" t="s">
        <v>902</v>
      </c>
      <c r="G443" s="27" t="s">
        <v>31</v>
      </c>
      <c r="H443" s="332" t="s">
        <v>32</v>
      </c>
      <c r="I443" s="16">
        <f t="shared" si="380"/>
        <v>3066580</v>
      </c>
      <c r="J443" s="16">
        <v>191354.592</v>
      </c>
      <c r="K443" s="16">
        <v>122663.2</v>
      </c>
      <c r="L443" s="16">
        <v>200000</v>
      </c>
      <c r="M443" s="16">
        <f t="shared" si="508"/>
        <v>54500</v>
      </c>
      <c r="N443" s="21">
        <f ca="1">IFERROR(__xludf.DUMMYFUNCTION("VLOOKUP(C443,IMPORTRANGE(""https://docs.google.com/spreadsheets/d/1rQ2O3to3MCxQ4eTnJ5b4WStW3zTBTYg21JZurI75aCM/edit?gid=1410613181#gid=1410613181"",""DATA_ABSEN_DES24""),39,0)"),20)</f>
        <v>20</v>
      </c>
      <c r="O443" s="334">
        <f ca="1">IFERROR(__xludf.DUMMYFUNCTION("VLOOKUP(C443,IMPORTRANGE(""https://docs.google.com/spreadsheets/d/1rQ2O3to3MCxQ4eTnJ5b4WStW3zTBTYg21JZurI75aCM/edit?gid=1410613181#gid=1410613181"",""DATA_ABSEN_DES24""),40,0)"),20)</f>
        <v>20</v>
      </c>
      <c r="P443" s="16">
        <f t="shared" ca="1" si="381"/>
        <v>1290000</v>
      </c>
      <c r="Q443" s="16">
        <v>21</v>
      </c>
      <c r="R443" s="16">
        <f t="shared" si="382"/>
        <v>4725097.7920000004</v>
      </c>
      <c r="S443" s="16">
        <f t="shared" ca="1" si="383"/>
        <v>4670597.7920000004</v>
      </c>
      <c r="T443" s="16">
        <f t="shared" ca="1" si="384"/>
        <v>0</v>
      </c>
      <c r="U443" s="16">
        <v>100810</v>
      </c>
      <c r="V443" s="21">
        <f ca="1">IFERROR(__xludf.DUMMYFUNCTION("VLOOKUP(C443,IMPORTRANGE(""https://docs.google.com/spreadsheets/d/1rQ2O3to3MCxQ4eTnJ5b4WStW3zTBTYg21JZurI75aCM/edit?gid=1410613181#gid=1410613181"",""DATA_ABSEN_DES24""),41,0)"),0)</f>
        <v>0</v>
      </c>
      <c r="W443" s="16">
        <f t="shared" ca="1" si="385"/>
        <v>0</v>
      </c>
      <c r="X443" s="16">
        <v>0</v>
      </c>
      <c r="Y443" s="16">
        <f t="shared" ca="1" si="386"/>
        <v>4670597.7920000004</v>
      </c>
      <c r="Z443" s="21"/>
      <c r="AA443" s="21"/>
      <c r="AB443" s="21"/>
      <c r="AC443" s="21"/>
      <c r="AD443" s="21"/>
      <c r="AE443" s="16"/>
      <c r="AF443" s="16"/>
      <c r="AG443" s="16"/>
      <c r="AH443" s="16"/>
      <c r="AI443" s="16"/>
      <c r="AJ443" s="16"/>
      <c r="AK443" s="16"/>
      <c r="AL443" s="16"/>
      <c r="AM443" s="16"/>
      <c r="AN443" s="335">
        <f t="shared" ca="1" si="387"/>
        <v>4670597.7920000004</v>
      </c>
      <c r="AO443" s="20">
        <f t="shared" ca="1" si="388"/>
        <v>0</v>
      </c>
      <c r="AP443" s="20">
        <f t="shared" ca="1" si="389"/>
        <v>4670597.7920000004</v>
      </c>
      <c r="AQ443" s="20">
        <f t="shared" ca="1" si="390"/>
        <v>4670597.7920000004</v>
      </c>
      <c r="AR443" s="20">
        <f t="shared" ca="1" si="391"/>
        <v>4670600</v>
      </c>
      <c r="AS443" s="216"/>
      <c r="AT443" s="30" t="s">
        <v>17</v>
      </c>
      <c r="AU443" s="30" t="str">
        <f>VLOOKUP(AT443,TER!$R$2:$S$10,2,0)</f>
        <v>B</v>
      </c>
      <c r="AV443" s="20">
        <f t="shared" si="392"/>
        <v>3066580</v>
      </c>
      <c r="AW443" s="20">
        <f t="shared" ca="1" si="393"/>
        <v>1290000</v>
      </c>
      <c r="AX443" s="20">
        <f t="shared" ref="AX443:AY443" ca="1" si="513">W443</f>
        <v>0</v>
      </c>
      <c r="AY443" s="20">
        <f t="shared" si="513"/>
        <v>0</v>
      </c>
      <c r="AZ443" s="20">
        <f t="shared" si="395"/>
        <v>7359.7919999999995</v>
      </c>
      <c r="BA443" s="20">
        <f t="shared" si="396"/>
        <v>9199.74</v>
      </c>
      <c r="BB443" s="20">
        <f t="shared" si="397"/>
        <v>122663.2</v>
      </c>
      <c r="BC443" s="20">
        <f t="shared" ca="1" si="398"/>
        <v>4495802.7320000008</v>
      </c>
      <c r="BD443" s="37">
        <f ca="1">IF(AU443="C",VLOOKUP(BC443,TER!$J$4:$L$50,3,TRUE),IF(AU443="B",VLOOKUP(BC443,TER!$F$4:$H$50,3,TRUE),IF(AU443="A",VLOOKUP(BC443,TER!$B$4:$D$50,3,TRUE),"ERROR")))</f>
        <v>0</v>
      </c>
      <c r="BE443" s="20">
        <f t="shared" ca="1" si="399"/>
        <v>0</v>
      </c>
      <c r="BF443" s="216"/>
      <c r="BG443" s="216"/>
    </row>
    <row r="444" spans="1:59" ht="15.75" hidden="1" customHeight="1">
      <c r="A444" s="216"/>
      <c r="B444" s="27">
        <v>106</v>
      </c>
      <c r="C444" s="28" t="s">
        <v>903</v>
      </c>
      <c r="D444" s="29" t="s">
        <v>904</v>
      </c>
      <c r="E444" s="27" t="s">
        <v>57</v>
      </c>
      <c r="F444" s="28" t="s">
        <v>905</v>
      </c>
      <c r="G444" s="27" t="s">
        <v>31</v>
      </c>
      <c r="H444" s="332" t="s">
        <v>32</v>
      </c>
      <c r="I444" s="16">
        <f t="shared" si="380"/>
        <v>3066580</v>
      </c>
      <c r="J444" s="16">
        <v>191354.592</v>
      </c>
      <c r="K444" s="16">
        <v>122663.2</v>
      </c>
      <c r="L444" s="16">
        <v>200000</v>
      </c>
      <c r="M444" s="16">
        <f t="shared" si="508"/>
        <v>54500</v>
      </c>
      <c r="N444" s="21">
        <f ca="1">IFERROR(__xludf.DUMMYFUNCTION("VLOOKUP(C444,IMPORTRANGE(""https://docs.google.com/spreadsheets/d/1rQ2O3to3MCxQ4eTnJ5b4WStW3zTBTYg21JZurI75aCM/edit?gid=1410613181#gid=1410613181"",""DATA_ABSEN_DES24""),39,0)"),20)</f>
        <v>20</v>
      </c>
      <c r="O444" s="334">
        <f ca="1">IFERROR(__xludf.DUMMYFUNCTION("VLOOKUP(C444,IMPORTRANGE(""https://docs.google.com/spreadsheets/d/1rQ2O3to3MCxQ4eTnJ5b4WStW3zTBTYg21JZurI75aCM/edit?gid=1410613181#gid=1410613181"",""DATA_ABSEN_DES24""),40,0)"),20)</f>
        <v>20</v>
      </c>
      <c r="P444" s="16">
        <f t="shared" ca="1" si="381"/>
        <v>1290000</v>
      </c>
      <c r="Q444" s="16">
        <v>21</v>
      </c>
      <c r="R444" s="16">
        <f t="shared" si="382"/>
        <v>4725097.7920000004</v>
      </c>
      <c r="S444" s="16">
        <f t="shared" ca="1" si="383"/>
        <v>4670597.7920000004</v>
      </c>
      <c r="T444" s="16">
        <f t="shared" ca="1" si="384"/>
        <v>0</v>
      </c>
      <c r="U444" s="16">
        <v>100810</v>
      </c>
      <c r="V444" s="21">
        <f ca="1">IFERROR(__xludf.DUMMYFUNCTION("VLOOKUP(C444,IMPORTRANGE(""https://docs.google.com/spreadsheets/d/1rQ2O3to3MCxQ4eTnJ5b4WStW3zTBTYg21JZurI75aCM/edit?gid=1410613181#gid=1410613181"",""DATA_ABSEN_DES24""),41,0)"),0)</f>
        <v>0</v>
      </c>
      <c r="W444" s="16">
        <f t="shared" ca="1" si="385"/>
        <v>0</v>
      </c>
      <c r="X444" s="16">
        <v>0</v>
      </c>
      <c r="Y444" s="16">
        <f t="shared" ca="1" si="386"/>
        <v>4670597.7920000004</v>
      </c>
      <c r="Z444" s="21"/>
      <c r="AA444" s="21"/>
      <c r="AB444" s="21"/>
      <c r="AC444" s="21"/>
      <c r="AD444" s="21"/>
      <c r="AE444" s="16"/>
      <c r="AF444" s="16"/>
      <c r="AG444" s="16"/>
      <c r="AH444" s="16"/>
      <c r="AI444" s="16"/>
      <c r="AJ444" s="16"/>
      <c r="AK444" s="16"/>
      <c r="AL444" s="16"/>
      <c r="AM444" s="16"/>
      <c r="AN444" s="335">
        <f t="shared" ca="1" si="387"/>
        <v>4670597.7920000004</v>
      </c>
      <c r="AO444" s="20">
        <f t="shared" ca="1" si="388"/>
        <v>0</v>
      </c>
      <c r="AP444" s="20">
        <f t="shared" ca="1" si="389"/>
        <v>4670597.7920000004</v>
      </c>
      <c r="AQ444" s="20">
        <f t="shared" ca="1" si="390"/>
        <v>4670597.7920000004</v>
      </c>
      <c r="AR444" s="20">
        <f t="shared" ca="1" si="391"/>
        <v>4670600</v>
      </c>
      <c r="AS444" s="216"/>
      <c r="AT444" s="30" t="s">
        <v>13</v>
      </c>
      <c r="AU444" s="30" t="str">
        <f>VLOOKUP(AT444,TER!$R$2:$S$10,2,0)</f>
        <v>A</v>
      </c>
      <c r="AV444" s="20">
        <f t="shared" si="392"/>
        <v>3066580</v>
      </c>
      <c r="AW444" s="20">
        <f t="shared" ca="1" si="393"/>
        <v>1290000</v>
      </c>
      <c r="AX444" s="20">
        <f t="shared" ref="AX444:AY444" ca="1" si="514">W444</f>
        <v>0</v>
      </c>
      <c r="AY444" s="20">
        <f t="shared" si="514"/>
        <v>0</v>
      </c>
      <c r="AZ444" s="20">
        <f t="shared" si="395"/>
        <v>7359.7919999999995</v>
      </c>
      <c r="BA444" s="20">
        <f t="shared" si="396"/>
        <v>9199.74</v>
      </c>
      <c r="BB444" s="20">
        <f t="shared" si="397"/>
        <v>122663.2</v>
      </c>
      <c r="BC444" s="20">
        <f t="shared" ca="1" si="398"/>
        <v>4495802.7320000008</v>
      </c>
      <c r="BD444" s="37">
        <f ca="1">IF(AU444="C",VLOOKUP(BC444,TER!$J$4:$L$50,3,TRUE),IF(AU444="B",VLOOKUP(BC444,TER!$F$4:$H$50,3,TRUE),IF(AU444="A",VLOOKUP(BC444,TER!$B$4:$D$50,3,TRUE),"ERROR")))</f>
        <v>0</v>
      </c>
      <c r="BE444" s="20">
        <f t="shared" ca="1" si="399"/>
        <v>0</v>
      </c>
      <c r="BF444" s="216"/>
      <c r="BG444" s="216"/>
    </row>
    <row r="445" spans="1:59" ht="15.75" hidden="1" customHeight="1">
      <c r="A445" s="216"/>
      <c r="B445" s="27">
        <v>107</v>
      </c>
      <c r="C445" s="28" t="s">
        <v>906</v>
      </c>
      <c r="D445" s="29" t="s">
        <v>907</v>
      </c>
      <c r="E445" s="27" t="s">
        <v>57</v>
      </c>
      <c r="F445" s="28" t="s">
        <v>908</v>
      </c>
      <c r="G445" s="27" t="s">
        <v>31</v>
      </c>
      <c r="H445" s="332" t="s">
        <v>32</v>
      </c>
      <c r="I445" s="16">
        <f t="shared" si="380"/>
        <v>3066580</v>
      </c>
      <c r="J445" s="16">
        <v>191354.592</v>
      </c>
      <c r="K445" s="16">
        <v>122663.2</v>
      </c>
      <c r="L445" s="16">
        <v>200000</v>
      </c>
      <c r="M445" s="16">
        <f t="shared" si="508"/>
        <v>54500</v>
      </c>
      <c r="N445" s="21">
        <f ca="1">IFERROR(__xludf.DUMMYFUNCTION("VLOOKUP(C445,IMPORTRANGE(""https://docs.google.com/spreadsheets/d/1rQ2O3to3MCxQ4eTnJ5b4WStW3zTBTYg21JZurI75aCM/edit?gid=1410613181#gid=1410613181"",""DATA_ABSEN_DES24""),39,0)"),20)</f>
        <v>20</v>
      </c>
      <c r="O445" s="334">
        <f ca="1">IFERROR(__xludf.DUMMYFUNCTION("VLOOKUP(C445,IMPORTRANGE(""https://docs.google.com/spreadsheets/d/1rQ2O3to3MCxQ4eTnJ5b4WStW3zTBTYg21JZurI75aCM/edit?gid=1410613181#gid=1410613181"",""DATA_ABSEN_DES24""),40,0)"),20)</f>
        <v>20</v>
      </c>
      <c r="P445" s="16">
        <f t="shared" ca="1" si="381"/>
        <v>1290000</v>
      </c>
      <c r="Q445" s="16">
        <v>21</v>
      </c>
      <c r="R445" s="16">
        <f t="shared" si="382"/>
        <v>4725097.7920000004</v>
      </c>
      <c r="S445" s="16">
        <f t="shared" ca="1" si="383"/>
        <v>4670597.7920000004</v>
      </c>
      <c r="T445" s="16">
        <f t="shared" ca="1" si="384"/>
        <v>0</v>
      </c>
      <c r="U445" s="16">
        <v>100810</v>
      </c>
      <c r="V445" s="21">
        <f ca="1">IFERROR(__xludf.DUMMYFUNCTION("VLOOKUP(C445,IMPORTRANGE(""https://docs.google.com/spreadsheets/d/1rQ2O3to3MCxQ4eTnJ5b4WStW3zTBTYg21JZurI75aCM/edit?gid=1410613181#gid=1410613181"",""DATA_ABSEN_DES24""),41,0)"),0)</f>
        <v>0</v>
      </c>
      <c r="W445" s="16">
        <f t="shared" ca="1" si="385"/>
        <v>0</v>
      </c>
      <c r="X445" s="16">
        <v>0</v>
      </c>
      <c r="Y445" s="16">
        <f t="shared" ca="1" si="386"/>
        <v>4670597.7920000004</v>
      </c>
      <c r="Z445" s="21"/>
      <c r="AA445" s="21"/>
      <c r="AB445" s="21"/>
      <c r="AC445" s="21"/>
      <c r="AD445" s="21"/>
      <c r="AE445" s="16"/>
      <c r="AF445" s="16"/>
      <c r="AG445" s="16"/>
      <c r="AH445" s="16"/>
      <c r="AI445" s="16"/>
      <c r="AJ445" s="16"/>
      <c r="AK445" s="16"/>
      <c r="AL445" s="16"/>
      <c r="AM445" s="16"/>
      <c r="AN445" s="335">
        <f t="shared" ca="1" si="387"/>
        <v>4670597.7920000004</v>
      </c>
      <c r="AO445" s="20">
        <f t="shared" ca="1" si="388"/>
        <v>0</v>
      </c>
      <c r="AP445" s="20">
        <f t="shared" ca="1" si="389"/>
        <v>4670597.7920000004</v>
      </c>
      <c r="AQ445" s="20">
        <f t="shared" ca="1" si="390"/>
        <v>4670597.7920000004</v>
      </c>
      <c r="AR445" s="20">
        <f t="shared" ca="1" si="391"/>
        <v>4670600</v>
      </c>
      <c r="AS445" s="216"/>
      <c r="AT445" s="30" t="s">
        <v>17</v>
      </c>
      <c r="AU445" s="30" t="str">
        <f>VLOOKUP(AT445,TER!$R$2:$S$10,2,0)</f>
        <v>B</v>
      </c>
      <c r="AV445" s="20">
        <f t="shared" si="392"/>
        <v>3066580</v>
      </c>
      <c r="AW445" s="20">
        <f t="shared" ca="1" si="393"/>
        <v>1290000</v>
      </c>
      <c r="AX445" s="20">
        <f t="shared" ref="AX445:AY445" ca="1" si="515">W445</f>
        <v>0</v>
      </c>
      <c r="AY445" s="20">
        <f t="shared" si="515"/>
        <v>0</v>
      </c>
      <c r="AZ445" s="20">
        <f t="shared" si="395"/>
        <v>7359.7919999999995</v>
      </c>
      <c r="BA445" s="20">
        <f t="shared" si="396"/>
        <v>9199.74</v>
      </c>
      <c r="BB445" s="20">
        <f t="shared" si="397"/>
        <v>122663.2</v>
      </c>
      <c r="BC445" s="20">
        <f t="shared" ca="1" si="398"/>
        <v>4495802.7320000008</v>
      </c>
      <c r="BD445" s="37">
        <f ca="1">IF(AU445="C",VLOOKUP(BC445,TER!$J$4:$L$50,3,TRUE),IF(AU445="B",VLOOKUP(BC445,TER!$F$4:$H$50,3,TRUE),IF(AU445="A",VLOOKUP(BC445,TER!$B$4:$D$50,3,TRUE),"ERROR")))</f>
        <v>0</v>
      </c>
      <c r="BE445" s="20">
        <f t="shared" ca="1" si="399"/>
        <v>0</v>
      </c>
      <c r="BF445" s="216"/>
      <c r="BG445" s="216"/>
    </row>
    <row r="446" spans="1:59" ht="15.75" hidden="1" customHeight="1">
      <c r="A446" s="216"/>
      <c r="B446" s="27">
        <v>108</v>
      </c>
      <c r="C446" s="28" t="s">
        <v>909</v>
      </c>
      <c r="D446" s="244" t="s">
        <v>910</v>
      </c>
      <c r="E446" s="242" t="s">
        <v>57</v>
      </c>
      <c r="F446" s="28" t="s">
        <v>911</v>
      </c>
      <c r="G446" s="27" t="s">
        <v>31</v>
      </c>
      <c r="H446" s="332" t="s">
        <v>32</v>
      </c>
      <c r="I446" s="16">
        <f t="shared" si="380"/>
        <v>3066580</v>
      </c>
      <c r="J446" s="16">
        <v>191354.592</v>
      </c>
      <c r="K446" s="16">
        <v>122663.2</v>
      </c>
      <c r="L446" s="16">
        <v>200000</v>
      </c>
      <c r="M446" s="16">
        <f t="shared" si="508"/>
        <v>54500</v>
      </c>
      <c r="N446" s="21">
        <f ca="1">IFERROR(__xludf.DUMMYFUNCTION("VLOOKUP(C446,IMPORTRANGE(""https://docs.google.com/spreadsheets/d/1rQ2O3to3MCxQ4eTnJ5b4WStW3zTBTYg21JZurI75aCM/edit?gid=1410613181#gid=1410613181"",""DATA_ABSEN_DES24""),39,0)"),20)</f>
        <v>20</v>
      </c>
      <c r="O446" s="334">
        <f ca="1">IFERROR(__xludf.DUMMYFUNCTION("VLOOKUP(C446,IMPORTRANGE(""https://docs.google.com/spreadsheets/d/1rQ2O3to3MCxQ4eTnJ5b4WStW3zTBTYg21JZurI75aCM/edit?gid=1410613181#gid=1410613181"",""DATA_ABSEN_DES24""),40,0)"),20)</f>
        <v>20</v>
      </c>
      <c r="P446" s="16">
        <f t="shared" ca="1" si="381"/>
        <v>1290000</v>
      </c>
      <c r="Q446" s="16">
        <v>21</v>
      </c>
      <c r="R446" s="16">
        <f t="shared" si="382"/>
        <v>4725097.7920000004</v>
      </c>
      <c r="S446" s="16">
        <f t="shared" ca="1" si="383"/>
        <v>4670597.7920000004</v>
      </c>
      <c r="T446" s="16">
        <f t="shared" ca="1" si="384"/>
        <v>0</v>
      </c>
      <c r="U446" s="16">
        <v>100810</v>
      </c>
      <c r="V446" s="21">
        <f ca="1">IFERROR(__xludf.DUMMYFUNCTION("VLOOKUP(C446,IMPORTRANGE(""https://docs.google.com/spreadsheets/d/1rQ2O3to3MCxQ4eTnJ5b4WStW3zTBTYg21JZurI75aCM/edit?gid=1410613181#gid=1410613181"",""DATA_ABSEN_DES24""),41,0)"),0)</f>
        <v>0</v>
      </c>
      <c r="W446" s="16">
        <f t="shared" ca="1" si="385"/>
        <v>0</v>
      </c>
      <c r="X446" s="16">
        <v>0</v>
      </c>
      <c r="Y446" s="16">
        <f t="shared" ca="1" si="386"/>
        <v>4670597.7920000004</v>
      </c>
      <c r="Z446" s="21"/>
      <c r="AA446" s="21"/>
      <c r="AB446" s="21"/>
      <c r="AC446" s="21"/>
      <c r="AD446" s="21"/>
      <c r="AE446" s="16"/>
      <c r="AF446" s="16"/>
      <c r="AG446" s="16"/>
      <c r="AH446" s="16"/>
      <c r="AI446" s="16"/>
      <c r="AJ446" s="16"/>
      <c r="AK446" s="16"/>
      <c r="AL446" s="16"/>
      <c r="AM446" s="16"/>
      <c r="AN446" s="335">
        <f t="shared" ca="1" si="387"/>
        <v>4670597.7920000004</v>
      </c>
      <c r="AO446" s="20">
        <f t="shared" ca="1" si="388"/>
        <v>0</v>
      </c>
      <c r="AP446" s="20">
        <f t="shared" ca="1" si="389"/>
        <v>4670597.7920000004</v>
      </c>
      <c r="AQ446" s="20">
        <f t="shared" ca="1" si="390"/>
        <v>4670597.7920000004</v>
      </c>
      <c r="AR446" s="20">
        <f t="shared" ca="1" si="391"/>
        <v>4670600</v>
      </c>
      <c r="AS446" s="216"/>
      <c r="AT446" s="30" t="s">
        <v>9</v>
      </c>
      <c r="AU446" s="30" t="str">
        <f>VLOOKUP(AT446,TER!$R$2:$S$10,2,0)</f>
        <v>A</v>
      </c>
      <c r="AV446" s="20">
        <f t="shared" si="392"/>
        <v>3066580</v>
      </c>
      <c r="AW446" s="20">
        <f t="shared" ca="1" si="393"/>
        <v>1290000</v>
      </c>
      <c r="AX446" s="20">
        <f t="shared" ref="AX446:AY446" ca="1" si="516">W446</f>
        <v>0</v>
      </c>
      <c r="AY446" s="20">
        <f t="shared" si="516"/>
        <v>0</v>
      </c>
      <c r="AZ446" s="20">
        <f t="shared" si="395"/>
        <v>7359.7919999999995</v>
      </c>
      <c r="BA446" s="20">
        <f t="shared" si="396"/>
        <v>9199.74</v>
      </c>
      <c r="BB446" s="20">
        <f t="shared" si="397"/>
        <v>122663.2</v>
      </c>
      <c r="BC446" s="20">
        <f t="shared" ca="1" si="398"/>
        <v>4495802.7320000008</v>
      </c>
      <c r="BD446" s="37">
        <f ca="1">IF(AU446="C",VLOOKUP(BC446,TER!$J$4:$L$50,3,TRUE),IF(AU446="B",VLOOKUP(BC446,TER!$F$4:$H$50,3,TRUE),IF(AU446="A",VLOOKUP(BC446,TER!$B$4:$D$50,3,TRUE),"ERROR")))</f>
        <v>0</v>
      </c>
      <c r="BE446" s="20">
        <f t="shared" ca="1" si="399"/>
        <v>0</v>
      </c>
      <c r="BF446" s="216"/>
      <c r="BG446" s="216"/>
    </row>
    <row r="447" spans="1:59" ht="15.75" hidden="1" customHeight="1">
      <c r="A447" s="216"/>
      <c r="B447" s="27">
        <v>109</v>
      </c>
      <c r="C447" s="28" t="s">
        <v>912</v>
      </c>
      <c r="D447" s="29" t="s">
        <v>913</v>
      </c>
      <c r="E447" s="27" t="s">
        <v>57</v>
      </c>
      <c r="F447" s="28" t="s">
        <v>914</v>
      </c>
      <c r="G447" s="27" t="s">
        <v>31</v>
      </c>
      <c r="H447" s="332" t="s">
        <v>32</v>
      </c>
      <c r="I447" s="16">
        <f t="shared" si="380"/>
        <v>3066580</v>
      </c>
      <c r="J447" s="16">
        <v>191354.592</v>
      </c>
      <c r="K447" s="16">
        <v>122663.2</v>
      </c>
      <c r="L447" s="16">
        <v>200000</v>
      </c>
      <c r="M447" s="16">
        <f t="shared" si="508"/>
        <v>54500</v>
      </c>
      <c r="N447" s="21">
        <f ca="1">IFERROR(__xludf.DUMMYFUNCTION("VLOOKUP(C447,IMPORTRANGE(""https://docs.google.com/spreadsheets/d/1rQ2O3to3MCxQ4eTnJ5b4WStW3zTBTYg21JZurI75aCM/edit?gid=1410613181#gid=1410613181"",""DATA_ABSEN_DES24""),39,0)"),21)</f>
        <v>21</v>
      </c>
      <c r="O447" s="334">
        <f ca="1">IFERROR(__xludf.DUMMYFUNCTION("VLOOKUP(C447,IMPORTRANGE(""https://docs.google.com/spreadsheets/d/1rQ2O3to3MCxQ4eTnJ5b4WStW3zTBTYg21JZurI75aCM/edit?gid=1410613181#gid=1410613181"",""DATA_ABSEN_DES24""),40,0)"),20)</f>
        <v>20</v>
      </c>
      <c r="P447" s="16">
        <f t="shared" ca="1" si="381"/>
        <v>1344500</v>
      </c>
      <c r="Q447" s="16">
        <v>21</v>
      </c>
      <c r="R447" s="16">
        <f t="shared" si="382"/>
        <v>4725097.7920000004</v>
      </c>
      <c r="S447" s="16">
        <f t="shared" ca="1" si="383"/>
        <v>4725097.7920000004</v>
      </c>
      <c r="T447" s="16">
        <f t="shared" ca="1" si="384"/>
        <v>0</v>
      </c>
      <c r="U447" s="16">
        <v>100810</v>
      </c>
      <c r="V447" s="21">
        <f ca="1">IFERROR(__xludf.DUMMYFUNCTION("VLOOKUP(C447,IMPORTRANGE(""https://docs.google.com/spreadsheets/d/1rQ2O3to3MCxQ4eTnJ5b4WStW3zTBTYg21JZurI75aCM/edit?gid=1410613181#gid=1410613181"",""DATA_ABSEN_DES24""),41,0)"),0)</f>
        <v>0</v>
      </c>
      <c r="W447" s="16">
        <f t="shared" ca="1" si="385"/>
        <v>0</v>
      </c>
      <c r="X447" s="16">
        <v>0</v>
      </c>
      <c r="Y447" s="16">
        <f t="shared" ca="1" si="386"/>
        <v>4725097.7920000004</v>
      </c>
      <c r="Z447" s="21"/>
      <c r="AA447" s="21"/>
      <c r="AB447" s="21"/>
      <c r="AC447" s="21"/>
      <c r="AD447" s="21"/>
      <c r="AE447" s="16"/>
      <c r="AF447" s="16"/>
      <c r="AG447" s="16"/>
      <c r="AH447" s="16"/>
      <c r="AI447" s="16"/>
      <c r="AJ447" s="16"/>
      <c r="AK447" s="16"/>
      <c r="AL447" s="16"/>
      <c r="AM447" s="16"/>
      <c r="AN447" s="335">
        <f t="shared" ca="1" si="387"/>
        <v>4725097.7920000004</v>
      </c>
      <c r="AO447" s="20">
        <f t="shared" ca="1" si="388"/>
        <v>0</v>
      </c>
      <c r="AP447" s="20">
        <f t="shared" ca="1" si="389"/>
        <v>4725097.7920000004</v>
      </c>
      <c r="AQ447" s="20">
        <f t="shared" ca="1" si="390"/>
        <v>4725097.7920000004</v>
      </c>
      <c r="AR447" s="20">
        <f t="shared" ca="1" si="391"/>
        <v>4725100</v>
      </c>
      <c r="AS447" s="216"/>
      <c r="AT447" s="30" t="s">
        <v>17</v>
      </c>
      <c r="AU447" s="30" t="str">
        <f>VLOOKUP(AT447,TER!$R$2:$S$10,2,0)</f>
        <v>B</v>
      </c>
      <c r="AV447" s="20">
        <f t="shared" si="392"/>
        <v>3066580</v>
      </c>
      <c r="AW447" s="20">
        <f t="shared" ca="1" si="393"/>
        <v>1344500</v>
      </c>
      <c r="AX447" s="20">
        <f t="shared" ref="AX447:AY447" ca="1" si="517">W447</f>
        <v>0</v>
      </c>
      <c r="AY447" s="20">
        <f t="shared" si="517"/>
        <v>0</v>
      </c>
      <c r="AZ447" s="20">
        <f t="shared" si="395"/>
        <v>7359.7919999999995</v>
      </c>
      <c r="BA447" s="20">
        <f t="shared" si="396"/>
        <v>9199.74</v>
      </c>
      <c r="BB447" s="20">
        <f t="shared" si="397"/>
        <v>122663.2</v>
      </c>
      <c r="BC447" s="20">
        <f t="shared" ca="1" si="398"/>
        <v>4550302.7320000008</v>
      </c>
      <c r="BD447" s="37">
        <f ca="1">IF(AU447="C",VLOOKUP(BC447,TER!$J$4:$L$50,3,TRUE),IF(AU447="B",VLOOKUP(BC447,TER!$F$4:$H$50,3,TRUE),IF(AU447="A",VLOOKUP(BC447,TER!$B$4:$D$50,3,TRUE),"ERROR")))</f>
        <v>0</v>
      </c>
      <c r="BE447" s="20">
        <f t="shared" ca="1" si="399"/>
        <v>0</v>
      </c>
      <c r="BF447" s="216"/>
      <c r="BG447" s="216"/>
    </row>
    <row r="448" spans="1:59" ht="15.75" hidden="1" customHeight="1">
      <c r="A448" s="216"/>
      <c r="B448" s="27">
        <v>110</v>
      </c>
      <c r="C448" s="28" t="s">
        <v>915</v>
      </c>
      <c r="D448" s="29" t="s">
        <v>916</v>
      </c>
      <c r="E448" s="27" t="s">
        <v>57</v>
      </c>
      <c r="F448" s="28" t="s">
        <v>917</v>
      </c>
      <c r="G448" s="27" t="s">
        <v>31</v>
      </c>
      <c r="H448" s="332" t="s">
        <v>32</v>
      </c>
      <c r="I448" s="16">
        <f t="shared" si="380"/>
        <v>3066580</v>
      </c>
      <c r="J448" s="16">
        <v>191354.592</v>
      </c>
      <c r="K448" s="16">
        <v>122663.2</v>
      </c>
      <c r="L448" s="16">
        <v>200000</v>
      </c>
      <c r="M448" s="16">
        <f t="shared" si="508"/>
        <v>54500</v>
      </c>
      <c r="N448" s="21">
        <f ca="1">IFERROR(__xludf.DUMMYFUNCTION("VLOOKUP(C448,IMPORTRANGE(""https://docs.google.com/spreadsheets/d/1rQ2O3to3MCxQ4eTnJ5b4WStW3zTBTYg21JZurI75aCM/edit?gid=1410613181#gid=1410613181"",""DATA_ABSEN_DES24""),39,0)"),20)</f>
        <v>20</v>
      </c>
      <c r="O448" s="334">
        <f ca="1">IFERROR(__xludf.DUMMYFUNCTION("VLOOKUP(C448,IMPORTRANGE(""https://docs.google.com/spreadsheets/d/1rQ2O3to3MCxQ4eTnJ5b4WStW3zTBTYg21JZurI75aCM/edit?gid=1410613181#gid=1410613181"",""DATA_ABSEN_DES24""),40,0)"),20)</f>
        <v>20</v>
      </c>
      <c r="P448" s="16">
        <f t="shared" ca="1" si="381"/>
        <v>1290000</v>
      </c>
      <c r="Q448" s="16">
        <v>21</v>
      </c>
      <c r="R448" s="16">
        <f t="shared" si="382"/>
        <v>4725097.7920000004</v>
      </c>
      <c r="S448" s="16">
        <f t="shared" ca="1" si="383"/>
        <v>4670597.7920000004</v>
      </c>
      <c r="T448" s="16">
        <f t="shared" ca="1" si="384"/>
        <v>0</v>
      </c>
      <c r="U448" s="16">
        <v>100810</v>
      </c>
      <c r="V448" s="21">
        <f ca="1">IFERROR(__xludf.DUMMYFUNCTION("VLOOKUP(C448,IMPORTRANGE(""https://docs.google.com/spreadsheets/d/1rQ2O3to3MCxQ4eTnJ5b4WStW3zTBTYg21JZurI75aCM/edit?gid=1410613181#gid=1410613181"",""DATA_ABSEN_DES24""),41,0)"),0)</f>
        <v>0</v>
      </c>
      <c r="W448" s="16">
        <f t="shared" ca="1" si="385"/>
        <v>0</v>
      </c>
      <c r="X448" s="16">
        <v>0</v>
      </c>
      <c r="Y448" s="16">
        <f t="shared" ca="1" si="386"/>
        <v>4670597.7920000004</v>
      </c>
      <c r="Z448" s="21"/>
      <c r="AA448" s="21"/>
      <c r="AB448" s="21"/>
      <c r="AC448" s="21"/>
      <c r="AD448" s="21"/>
      <c r="AE448" s="16"/>
      <c r="AF448" s="16"/>
      <c r="AG448" s="16"/>
      <c r="AH448" s="16"/>
      <c r="AI448" s="16"/>
      <c r="AJ448" s="16"/>
      <c r="AK448" s="16"/>
      <c r="AL448" s="16"/>
      <c r="AM448" s="16"/>
      <c r="AN448" s="335">
        <f t="shared" ca="1" si="387"/>
        <v>4670597.7920000004</v>
      </c>
      <c r="AO448" s="20">
        <f t="shared" ca="1" si="388"/>
        <v>0</v>
      </c>
      <c r="AP448" s="20">
        <f t="shared" ca="1" si="389"/>
        <v>4670597.7920000004</v>
      </c>
      <c r="AQ448" s="20">
        <f t="shared" ca="1" si="390"/>
        <v>4670597.7920000004</v>
      </c>
      <c r="AR448" s="20">
        <f t="shared" ca="1" si="391"/>
        <v>4670600</v>
      </c>
      <c r="AS448" s="216"/>
      <c r="AT448" s="30" t="s">
        <v>9</v>
      </c>
      <c r="AU448" s="30" t="str">
        <f>VLOOKUP(AT448,TER!$R$2:$S$10,2,0)</f>
        <v>A</v>
      </c>
      <c r="AV448" s="20">
        <f t="shared" si="392"/>
        <v>3066580</v>
      </c>
      <c r="AW448" s="20">
        <f t="shared" ca="1" si="393"/>
        <v>1290000</v>
      </c>
      <c r="AX448" s="20">
        <f t="shared" ref="AX448:AY448" ca="1" si="518">W448</f>
        <v>0</v>
      </c>
      <c r="AY448" s="20">
        <f t="shared" si="518"/>
        <v>0</v>
      </c>
      <c r="AZ448" s="20">
        <f t="shared" si="395"/>
        <v>7359.7919999999995</v>
      </c>
      <c r="BA448" s="20">
        <f t="shared" si="396"/>
        <v>9199.74</v>
      </c>
      <c r="BB448" s="20">
        <f t="shared" si="397"/>
        <v>122663.2</v>
      </c>
      <c r="BC448" s="20">
        <f t="shared" ca="1" si="398"/>
        <v>4495802.7320000008</v>
      </c>
      <c r="BD448" s="37">
        <f ca="1">IF(AU448="C",VLOOKUP(BC448,TER!$J$4:$L$50,3,TRUE),IF(AU448="B",VLOOKUP(BC448,TER!$F$4:$H$50,3,TRUE),IF(AU448="A",VLOOKUP(BC448,TER!$B$4:$D$50,3,TRUE),"ERROR")))</f>
        <v>0</v>
      </c>
      <c r="BE448" s="20">
        <f t="shared" ca="1" si="399"/>
        <v>0</v>
      </c>
      <c r="BF448" s="216"/>
      <c r="BG448" s="216"/>
    </row>
    <row r="449" spans="1:59" ht="15.75" hidden="1" customHeight="1">
      <c r="A449" s="216"/>
      <c r="B449" s="27">
        <v>111</v>
      </c>
      <c r="C449" s="28" t="s">
        <v>918</v>
      </c>
      <c r="D449" s="29" t="s">
        <v>919</v>
      </c>
      <c r="E449" s="27" t="s">
        <v>57</v>
      </c>
      <c r="F449" s="28" t="s">
        <v>920</v>
      </c>
      <c r="G449" s="27" t="s">
        <v>31</v>
      </c>
      <c r="H449" s="332" t="s">
        <v>32</v>
      </c>
      <c r="I449" s="16">
        <f t="shared" si="380"/>
        <v>3066580</v>
      </c>
      <c r="J449" s="16">
        <v>191354.592</v>
      </c>
      <c r="K449" s="16">
        <v>122663.2</v>
      </c>
      <c r="L449" s="16">
        <v>200000</v>
      </c>
      <c r="M449" s="16">
        <f t="shared" si="508"/>
        <v>54500</v>
      </c>
      <c r="N449" s="21">
        <f ca="1">IFERROR(__xludf.DUMMYFUNCTION("VLOOKUP(C449,IMPORTRANGE(""https://docs.google.com/spreadsheets/d/1rQ2O3to3MCxQ4eTnJ5b4WStW3zTBTYg21JZurI75aCM/edit?gid=1410613181#gid=1410613181"",""DATA_ABSEN_DES24""),39,0)"),21)</f>
        <v>21</v>
      </c>
      <c r="O449" s="334">
        <f ca="1">IFERROR(__xludf.DUMMYFUNCTION("VLOOKUP(C449,IMPORTRANGE(""https://docs.google.com/spreadsheets/d/1rQ2O3to3MCxQ4eTnJ5b4WStW3zTBTYg21JZurI75aCM/edit?gid=1410613181#gid=1410613181"",""DATA_ABSEN_DES24""),40,0)"),20)</f>
        <v>20</v>
      </c>
      <c r="P449" s="16">
        <f t="shared" ca="1" si="381"/>
        <v>1344500</v>
      </c>
      <c r="Q449" s="16">
        <v>21</v>
      </c>
      <c r="R449" s="16">
        <f t="shared" si="382"/>
        <v>4725097.7920000004</v>
      </c>
      <c r="S449" s="16">
        <f t="shared" ca="1" si="383"/>
        <v>4725097.7920000004</v>
      </c>
      <c r="T449" s="16">
        <f t="shared" ca="1" si="384"/>
        <v>0</v>
      </c>
      <c r="U449" s="16">
        <v>100810</v>
      </c>
      <c r="V449" s="21">
        <f ca="1">IFERROR(__xludf.DUMMYFUNCTION("VLOOKUP(C449,IMPORTRANGE(""https://docs.google.com/spreadsheets/d/1rQ2O3to3MCxQ4eTnJ5b4WStW3zTBTYg21JZurI75aCM/edit?gid=1410613181#gid=1410613181"",""DATA_ABSEN_DES24""),41,0)"),0)</f>
        <v>0</v>
      </c>
      <c r="W449" s="16">
        <f t="shared" ca="1" si="385"/>
        <v>0</v>
      </c>
      <c r="X449" s="16">
        <v>0</v>
      </c>
      <c r="Y449" s="16">
        <f t="shared" ca="1" si="386"/>
        <v>4725097.7920000004</v>
      </c>
      <c r="Z449" s="21"/>
      <c r="AA449" s="21"/>
      <c r="AB449" s="21"/>
      <c r="AC449" s="21"/>
      <c r="AD449" s="21"/>
      <c r="AE449" s="16"/>
      <c r="AF449" s="16"/>
      <c r="AG449" s="16"/>
      <c r="AH449" s="16"/>
      <c r="AI449" s="16"/>
      <c r="AJ449" s="16"/>
      <c r="AK449" s="16"/>
      <c r="AL449" s="16"/>
      <c r="AM449" s="16"/>
      <c r="AN449" s="335">
        <f t="shared" ca="1" si="387"/>
        <v>4725097.7920000004</v>
      </c>
      <c r="AO449" s="20">
        <f t="shared" ca="1" si="388"/>
        <v>0</v>
      </c>
      <c r="AP449" s="20">
        <f t="shared" ca="1" si="389"/>
        <v>4725097.7920000004</v>
      </c>
      <c r="AQ449" s="20">
        <f t="shared" ca="1" si="390"/>
        <v>4725097.7920000004</v>
      </c>
      <c r="AR449" s="20">
        <f t="shared" ca="1" si="391"/>
        <v>4725100</v>
      </c>
      <c r="AS449" s="216"/>
      <c r="AT449" s="30" t="s">
        <v>18</v>
      </c>
      <c r="AU449" s="30" t="str">
        <f>VLOOKUP(AT449,TER!$R$2:$S$10,2,0)</f>
        <v>B</v>
      </c>
      <c r="AV449" s="20">
        <f t="shared" si="392"/>
        <v>3066580</v>
      </c>
      <c r="AW449" s="20">
        <f t="shared" ca="1" si="393"/>
        <v>1344500</v>
      </c>
      <c r="AX449" s="20">
        <f t="shared" ref="AX449:AY449" ca="1" si="519">W449</f>
        <v>0</v>
      </c>
      <c r="AY449" s="20">
        <f t="shared" si="519"/>
        <v>0</v>
      </c>
      <c r="AZ449" s="20">
        <f t="shared" si="395"/>
        <v>7359.7919999999995</v>
      </c>
      <c r="BA449" s="20">
        <f t="shared" si="396"/>
        <v>9199.74</v>
      </c>
      <c r="BB449" s="20">
        <f t="shared" si="397"/>
        <v>122663.2</v>
      </c>
      <c r="BC449" s="20">
        <f t="shared" ca="1" si="398"/>
        <v>4550302.7320000008</v>
      </c>
      <c r="BD449" s="37">
        <f ca="1">IF(AU449="C",VLOOKUP(BC449,TER!$J$4:$L$50,3,TRUE),IF(AU449="B",VLOOKUP(BC449,TER!$F$4:$H$50,3,TRUE),IF(AU449="A",VLOOKUP(BC449,TER!$B$4:$D$50,3,TRUE),"ERROR")))</f>
        <v>0</v>
      </c>
      <c r="BE449" s="20">
        <f t="shared" ca="1" si="399"/>
        <v>0</v>
      </c>
      <c r="BF449" s="216"/>
      <c r="BG449" s="216"/>
    </row>
    <row r="450" spans="1:59" ht="15.75" hidden="1" customHeight="1">
      <c r="A450" s="216"/>
      <c r="B450" s="27">
        <v>112</v>
      </c>
      <c r="C450" s="28" t="s">
        <v>921</v>
      </c>
      <c r="D450" s="29" t="s">
        <v>922</v>
      </c>
      <c r="E450" s="27" t="s">
        <v>57</v>
      </c>
      <c r="F450" s="28" t="s">
        <v>923</v>
      </c>
      <c r="G450" s="27" t="s">
        <v>31</v>
      </c>
      <c r="H450" s="332" t="s">
        <v>32</v>
      </c>
      <c r="I450" s="16">
        <f t="shared" si="380"/>
        <v>3066580</v>
      </c>
      <c r="J450" s="16">
        <v>191354.592</v>
      </c>
      <c r="K450" s="16">
        <v>122663.2</v>
      </c>
      <c r="L450" s="16">
        <v>200000</v>
      </c>
      <c r="M450" s="16">
        <f t="shared" si="508"/>
        <v>54500</v>
      </c>
      <c r="N450" s="21">
        <f ca="1">IFERROR(__xludf.DUMMYFUNCTION("VLOOKUP(C450,IMPORTRANGE(""https://docs.google.com/spreadsheets/d/1rQ2O3to3MCxQ4eTnJ5b4WStW3zTBTYg21JZurI75aCM/edit?gid=1410613181#gid=1410613181"",""DATA_ABSEN_DES24""),39,0)"),21)</f>
        <v>21</v>
      </c>
      <c r="O450" s="334">
        <f ca="1">IFERROR(__xludf.DUMMYFUNCTION("VLOOKUP(C450,IMPORTRANGE(""https://docs.google.com/spreadsheets/d/1rQ2O3to3MCxQ4eTnJ5b4WStW3zTBTYg21JZurI75aCM/edit?gid=1410613181#gid=1410613181"",""DATA_ABSEN_DES24""),40,0)"),20)</f>
        <v>20</v>
      </c>
      <c r="P450" s="16">
        <f t="shared" ca="1" si="381"/>
        <v>1344500</v>
      </c>
      <c r="Q450" s="16">
        <v>21</v>
      </c>
      <c r="R450" s="16">
        <f t="shared" si="382"/>
        <v>4725097.7920000004</v>
      </c>
      <c r="S450" s="16">
        <f t="shared" ca="1" si="383"/>
        <v>4725097.7920000004</v>
      </c>
      <c r="T450" s="16">
        <f t="shared" ca="1" si="384"/>
        <v>0</v>
      </c>
      <c r="U450" s="16">
        <v>100810</v>
      </c>
      <c r="V450" s="21">
        <f ca="1">IFERROR(__xludf.DUMMYFUNCTION("VLOOKUP(C450,IMPORTRANGE(""https://docs.google.com/spreadsheets/d/1rQ2O3to3MCxQ4eTnJ5b4WStW3zTBTYg21JZurI75aCM/edit?gid=1410613181#gid=1410613181"",""DATA_ABSEN_DES24""),41,0)"),0)</f>
        <v>0</v>
      </c>
      <c r="W450" s="16">
        <f t="shared" ca="1" si="385"/>
        <v>0</v>
      </c>
      <c r="X450" s="16">
        <v>0</v>
      </c>
      <c r="Y450" s="16">
        <f t="shared" ca="1" si="386"/>
        <v>4725097.7920000004</v>
      </c>
      <c r="Z450" s="21"/>
      <c r="AA450" s="21"/>
      <c r="AB450" s="21"/>
      <c r="AC450" s="21"/>
      <c r="AD450" s="21"/>
      <c r="AE450" s="16"/>
      <c r="AF450" s="16"/>
      <c r="AG450" s="16"/>
      <c r="AH450" s="16"/>
      <c r="AI450" s="16"/>
      <c r="AJ450" s="16"/>
      <c r="AK450" s="16"/>
      <c r="AL450" s="16"/>
      <c r="AM450" s="16"/>
      <c r="AN450" s="335">
        <f t="shared" ca="1" si="387"/>
        <v>4725097.7920000004</v>
      </c>
      <c r="AO450" s="20">
        <f t="shared" ca="1" si="388"/>
        <v>0</v>
      </c>
      <c r="AP450" s="20">
        <f t="shared" ca="1" si="389"/>
        <v>4725097.7920000004</v>
      </c>
      <c r="AQ450" s="20">
        <f t="shared" ca="1" si="390"/>
        <v>4725097.7920000004</v>
      </c>
      <c r="AR450" s="20">
        <f t="shared" ca="1" si="391"/>
        <v>4725100</v>
      </c>
      <c r="AS450" s="216"/>
      <c r="AT450" s="30" t="s">
        <v>9</v>
      </c>
      <c r="AU450" s="30" t="str">
        <f>VLOOKUP(AT450,TER!$R$2:$S$10,2,0)</f>
        <v>A</v>
      </c>
      <c r="AV450" s="20">
        <f t="shared" si="392"/>
        <v>3066580</v>
      </c>
      <c r="AW450" s="20">
        <f t="shared" ca="1" si="393"/>
        <v>1344500</v>
      </c>
      <c r="AX450" s="20">
        <f t="shared" ref="AX450:AY450" ca="1" si="520">W450</f>
        <v>0</v>
      </c>
      <c r="AY450" s="20">
        <f t="shared" si="520"/>
        <v>0</v>
      </c>
      <c r="AZ450" s="20">
        <f t="shared" si="395"/>
        <v>7359.7919999999995</v>
      </c>
      <c r="BA450" s="20">
        <f t="shared" si="396"/>
        <v>9199.74</v>
      </c>
      <c r="BB450" s="20">
        <f t="shared" si="397"/>
        <v>122663.2</v>
      </c>
      <c r="BC450" s="20">
        <f t="shared" ca="1" si="398"/>
        <v>4550302.7320000008</v>
      </c>
      <c r="BD450" s="37">
        <f ca="1">IF(AU450="C",VLOOKUP(BC450,TER!$J$4:$L$50,3,TRUE),IF(AU450="B",VLOOKUP(BC450,TER!$F$4:$H$50,3,TRUE),IF(AU450="A",VLOOKUP(BC450,TER!$B$4:$D$50,3,TRUE),"ERROR")))</f>
        <v>0</v>
      </c>
      <c r="BE450" s="20">
        <f t="shared" ca="1" si="399"/>
        <v>0</v>
      </c>
      <c r="BF450" s="216"/>
      <c r="BG450" s="216"/>
    </row>
    <row r="451" spans="1:59" ht="15.75" hidden="1" customHeight="1">
      <c r="A451" s="216"/>
      <c r="B451" s="27">
        <v>113</v>
      </c>
      <c r="C451" s="28" t="s">
        <v>924</v>
      </c>
      <c r="D451" s="29" t="s">
        <v>925</v>
      </c>
      <c r="E451" s="27" t="s">
        <v>57</v>
      </c>
      <c r="F451" s="28" t="s">
        <v>926</v>
      </c>
      <c r="G451" s="27" t="s">
        <v>31</v>
      </c>
      <c r="H451" s="332" t="s">
        <v>32</v>
      </c>
      <c r="I451" s="16">
        <f t="shared" si="380"/>
        <v>3066580</v>
      </c>
      <c r="J451" s="16">
        <v>191354.592</v>
      </c>
      <c r="K451" s="16">
        <v>122663.2</v>
      </c>
      <c r="L451" s="16">
        <v>200000</v>
      </c>
      <c r="M451" s="16">
        <f t="shared" si="508"/>
        <v>54500</v>
      </c>
      <c r="N451" s="21">
        <f ca="1">IFERROR(__xludf.DUMMYFUNCTION("VLOOKUP(C451,IMPORTRANGE(""https://docs.google.com/spreadsheets/d/1rQ2O3to3MCxQ4eTnJ5b4WStW3zTBTYg21JZurI75aCM/edit?gid=1410613181#gid=1410613181"",""DATA_ABSEN_DES24""),39,0)"),21)</f>
        <v>21</v>
      </c>
      <c r="O451" s="334">
        <f ca="1">IFERROR(__xludf.DUMMYFUNCTION("VLOOKUP(C451,IMPORTRANGE(""https://docs.google.com/spreadsheets/d/1rQ2O3to3MCxQ4eTnJ5b4WStW3zTBTYg21JZurI75aCM/edit?gid=1410613181#gid=1410613181"",""DATA_ABSEN_DES24""),40,0)"),20)</f>
        <v>20</v>
      </c>
      <c r="P451" s="16">
        <f t="shared" ca="1" si="381"/>
        <v>1344500</v>
      </c>
      <c r="Q451" s="16">
        <v>21</v>
      </c>
      <c r="R451" s="16">
        <f t="shared" si="382"/>
        <v>4725097.7920000004</v>
      </c>
      <c r="S451" s="16">
        <f t="shared" ca="1" si="383"/>
        <v>4725097.7920000004</v>
      </c>
      <c r="T451" s="16">
        <f t="shared" ca="1" si="384"/>
        <v>0</v>
      </c>
      <c r="U451" s="16">
        <v>100810</v>
      </c>
      <c r="V451" s="21">
        <f ca="1">IFERROR(__xludf.DUMMYFUNCTION("VLOOKUP(C451,IMPORTRANGE(""https://docs.google.com/spreadsheets/d/1rQ2O3to3MCxQ4eTnJ5b4WStW3zTBTYg21JZurI75aCM/edit?gid=1410613181#gid=1410613181"",""DATA_ABSEN_DES24""),41,0)"),0)</f>
        <v>0</v>
      </c>
      <c r="W451" s="16">
        <f t="shared" ca="1" si="385"/>
        <v>0</v>
      </c>
      <c r="X451" s="16">
        <v>0</v>
      </c>
      <c r="Y451" s="16">
        <f t="shared" ca="1" si="386"/>
        <v>4725097.7920000004</v>
      </c>
      <c r="Z451" s="21"/>
      <c r="AA451" s="21"/>
      <c r="AB451" s="21"/>
      <c r="AC451" s="21"/>
      <c r="AD451" s="21"/>
      <c r="AE451" s="16"/>
      <c r="AF451" s="16"/>
      <c r="AG451" s="16"/>
      <c r="AH451" s="16"/>
      <c r="AI451" s="16"/>
      <c r="AJ451" s="16"/>
      <c r="AK451" s="16"/>
      <c r="AL451" s="16"/>
      <c r="AM451" s="16"/>
      <c r="AN451" s="335">
        <f t="shared" ca="1" si="387"/>
        <v>4725097.7920000004</v>
      </c>
      <c r="AO451" s="20">
        <f t="shared" ca="1" si="388"/>
        <v>0</v>
      </c>
      <c r="AP451" s="20">
        <f t="shared" ca="1" si="389"/>
        <v>4725097.7920000004</v>
      </c>
      <c r="AQ451" s="20">
        <f t="shared" ca="1" si="390"/>
        <v>4725097.7920000004</v>
      </c>
      <c r="AR451" s="20">
        <f t="shared" ca="1" si="391"/>
        <v>4725100</v>
      </c>
      <c r="AS451" s="216"/>
      <c r="AT451" s="30" t="s">
        <v>13</v>
      </c>
      <c r="AU451" s="30" t="str">
        <f>VLOOKUP(AT451,TER!$R$2:$S$10,2,0)</f>
        <v>A</v>
      </c>
      <c r="AV451" s="20">
        <f t="shared" si="392"/>
        <v>3066580</v>
      </c>
      <c r="AW451" s="20">
        <f t="shared" ca="1" si="393"/>
        <v>1344500</v>
      </c>
      <c r="AX451" s="20">
        <f t="shared" ref="AX451:AY451" ca="1" si="521">W451</f>
        <v>0</v>
      </c>
      <c r="AY451" s="20">
        <f t="shared" si="521"/>
        <v>0</v>
      </c>
      <c r="AZ451" s="20">
        <f t="shared" si="395"/>
        <v>7359.7919999999995</v>
      </c>
      <c r="BA451" s="20">
        <f t="shared" si="396"/>
        <v>9199.74</v>
      </c>
      <c r="BB451" s="20">
        <f t="shared" si="397"/>
        <v>122663.2</v>
      </c>
      <c r="BC451" s="20">
        <f t="shared" ca="1" si="398"/>
        <v>4550302.7320000008</v>
      </c>
      <c r="BD451" s="37">
        <f ca="1">IF(AU451="C",VLOOKUP(BC451,TER!$J$4:$L$50,3,TRUE),IF(AU451="B",VLOOKUP(BC451,TER!$F$4:$H$50,3,TRUE),IF(AU451="A",VLOOKUP(BC451,TER!$B$4:$D$50,3,TRUE),"ERROR")))</f>
        <v>0</v>
      </c>
      <c r="BE451" s="20">
        <f t="shared" ca="1" si="399"/>
        <v>0</v>
      </c>
      <c r="BF451" s="216"/>
      <c r="BG451" s="216"/>
    </row>
    <row r="452" spans="1:59" ht="15.75" hidden="1" customHeight="1">
      <c r="A452" s="216"/>
      <c r="B452" s="27">
        <v>114</v>
      </c>
      <c r="C452" s="28" t="s">
        <v>927</v>
      </c>
      <c r="D452" s="29" t="s">
        <v>928</v>
      </c>
      <c r="E452" s="27" t="s">
        <v>57</v>
      </c>
      <c r="F452" s="28" t="s">
        <v>929</v>
      </c>
      <c r="G452" s="27" t="s">
        <v>31</v>
      </c>
      <c r="H452" s="332" t="s">
        <v>32</v>
      </c>
      <c r="I452" s="16">
        <f t="shared" si="380"/>
        <v>3066580</v>
      </c>
      <c r="J452" s="16">
        <v>191354.592</v>
      </c>
      <c r="K452" s="16">
        <v>122663.2</v>
      </c>
      <c r="L452" s="16">
        <v>200000</v>
      </c>
      <c r="M452" s="16">
        <f t="shared" si="508"/>
        <v>54500</v>
      </c>
      <c r="N452" s="21">
        <f ca="1">IFERROR(__xludf.DUMMYFUNCTION("VLOOKUP(C452,IMPORTRANGE(""https://docs.google.com/spreadsheets/d/1rQ2O3to3MCxQ4eTnJ5b4WStW3zTBTYg21JZurI75aCM/edit?gid=1410613181#gid=1410613181"",""DATA_ABSEN_DES24""),39,0)"),21)</f>
        <v>21</v>
      </c>
      <c r="O452" s="334">
        <f ca="1">IFERROR(__xludf.DUMMYFUNCTION("VLOOKUP(C452,IMPORTRANGE(""https://docs.google.com/spreadsheets/d/1rQ2O3to3MCxQ4eTnJ5b4WStW3zTBTYg21JZurI75aCM/edit?gid=1410613181#gid=1410613181"",""DATA_ABSEN_DES24""),40,0)"),20)</f>
        <v>20</v>
      </c>
      <c r="P452" s="16">
        <f t="shared" ca="1" si="381"/>
        <v>1344500</v>
      </c>
      <c r="Q452" s="16">
        <v>21</v>
      </c>
      <c r="R452" s="16">
        <f t="shared" si="382"/>
        <v>4725097.7920000004</v>
      </c>
      <c r="S452" s="16">
        <f t="shared" ca="1" si="383"/>
        <v>4725097.7920000004</v>
      </c>
      <c r="T452" s="16">
        <f t="shared" ca="1" si="384"/>
        <v>0</v>
      </c>
      <c r="U452" s="16">
        <v>100810</v>
      </c>
      <c r="V452" s="21">
        <f ca="1">IFERROR(__xludf.DUMMYFUNCTION("VLOOKUP(C452,IMPORTRANGE(""https://docs.google.com/spreadsheets/d/1rQ2O3to3MCxQ4eTnJ5b4WStW3zTBTYg21JZurI75aCM/edit?gid=1410613181#gid=1410613181"",""DATA_ABSEN_DES24""),41,0)"),0)</f>
        <v>0</v>
      </c>
      <c r="W452" s="16">
        <f t="shared" ca="1" si="385"/>
        <v>0</v>
      </c>
      <c r="X452" s="16">
        <v>0</v>
      </c>
      <c r="Y452" s="16">
        <f t="shared" ca="1" si="386"/>
        <v>4725097.7920000004</v>
      </c>
      <c r="Z452" s="21"/>
      <c r="AA452" s="21"/>
      <c r="AB452" s="21"/>
      <c r="AC452" s="21"/>
      <c r="AD452" s="21"/>
      <c r="AE452" s="16"/>
      <c r="AF452" s="16"/>
      <c r="AG452" s="16"/>
      <c r="AH452" s="16"/>
      <c r="AI452" s="16"/>
      <c r="AJ452" s="16"/>
      <c r="AK452" s="16"/>
      <c r="AL452" s="16"/>
      <c r="AM452" s="16"/>
      <c r="AN452" s="335">
        <f t="shared" ca="1" si="387"/>
        <v>4725097.7920000004</v>
      </c>
      <c r="AO452" s="20">
        <f t="shared" ca="1" si="388"/>
        <v>0</v>
      </c>
      <c r="AP452" s="20">
        <f t="shared" ca="1" si="389"/>
        <v>4725097.7920000004</v>
      </c>
      <c r="AQ452" s="20">
        <f t="shared" ca="1" si="390"/>
        <v>4725097.7920000004</v>
      </c>
      <c r="AR452" s="20">
        <f t="shared" ca="1" si="391"/>
        <v>4725100</v>
      </c>
      <c r="AS452" s="216"/>
      <c r="AT452" s="30" t="s">
        <v>9</v>
      </c>
      <c r="AU452" s="30" t="str">
        <f>VLOOKUP(AT452,TER!$R$2:$S$10,2,0)</f>
        <v>A</v>
      </c>
      <c r="AV452" s="20">
        <f t="shared" si="392"/>
        <v>3066580</v>
      </c>
      <c r="AW452" s="20">
        <f t="shared" ca="1" si="393"/>
        <v>1344500</v>
      </c>
      <c r="AX452" s="20">
        <f t="shared" ref="AX452:AY452" ca="1" si="522">W452</f>
        <v>0</v>
      </c>
      <c r="AY452" s="20">
        <f t="shared" si="522"/>
        <v>0</v>
      </c>
      <c r="AZ452" s="20">
        <f t="shared" si="395"/>
        <v>7359.7919999999995</v>
      </c>
      <c r="BA452" s="20">
        <f t="shared" si="396"/>
        <v>9199.74</v>
      </c>
      <c r="BB452" s="20">
        <f t="shared" si="397"/>
        <v>122663.2</v>
      </c>
      <c r="BC452" s="20">
        <f t="shared" ca="1" si="398"/>
        <v>4550302.7320000008</v>
      </c>
      <c r="BD452" s="37">
        <f ca="1">IF(AU452="C",VLOOKUP(BC452,TER!$J$4:$L$50,3,TRUE),IF(AU452="B",VLOOKUP(BC452,TER!$F$4:$H$50,3,TRUE),IF(AU452="A",VLOOKUP(BC452,TER!$B$4:$D$50,3,TRUE),"ERROR")))</f>
        <v>0</v>
      </c>
      <c r="BE452" s="20">
        <f t="shared" ca="1" si="399"/>
        <v>0</v>
      </c>
      <c r="BF452" s="216"/>
      <c r="BG452" s="216"/>
    </row>
    <row r="453" spans="1:59" ht="15.75" hidden="1" customHeight="1">
      <c r="A453" s="216"/>
      <c r="B453" s="27">
        <v>115</v>
      </c>
      <c r="C453" s="28" t="s">
        <v>930</v>
      </c>
      <c r="D453" s="29" t="s">
        <v>931</v>
      </c>
      <c r="E453" s="27" t="s">
        <v>57</v>
      </c>
      <c r="F453" s="28" t="s">
        <v>932</v>
      </c>
      <c r="G453" s="27" t="s">
        <v>31</v>
      </c>
      <c r="H453" s="332" t="s">
        <v>32</v>
      </c>
      <c r="I453" s="16">
        <f t="shared" si="380"/>
        <v>3066580</v>
      </c>
      <c r="J453" s="16">
        <v>191354.592</v>
      </c>
      <c r="K453" s="16">
        <v>122663.2</v>
      </c>
      <c r="L453" s="16">
        <v>200000</v>
      </c>
      <c r="M453" s="16">
        <f t="shared" si="508"/>
        <v>54500</v>
      </c>
      <c r="N453" s="21">
        <f ca="1">IFERROR(__xludf.DUMMYFUNCTION("VLOOKUP(C453,IMPORTRANGE(""https://docs.google.com/spreadsheets/d/1rQ2O3to3MCxQ4eTnJ5b4WStW3zTBTYg21JZurI75aCM/edit?gid=1410613181#gid=1410613181"",""DATA_ABSEN_DES24""),39,0)"),21)</f>
        <v>21</v>
      </c>
      <c r="O453" s="334">
        <f ca="1">IFERROR(__xludf.DUMMYFUNCTION("VLOOKUP(C453,IMPORTRANGE(""https://docs.google.com/spreadsheets/d/1rQ2O3to3MCxQ4eTnJ5b4WStW3zTBTYg21JZurI75aCM/edit?gid=1410613181#gid=1410613181"",""DATA_ABSEN_DES24""),40,0)"),20)</f>
        <v>20</v>
      </c>
      <c r="P453" s="16">
        <f t="shared" ca="1" si="381"/>
        <v>1344500</v>
      </c>
      <c r="Q453" s="16">
        <v>21</v>
      </c>
      <c r="R453" s="16">
        <f t="shared" si="382"/>
        <v>4725097.7920000004</v>
      </c>
      <c r="S453" s="16">
        <f t="shared" ca="1" si="383"/>
        <v>4725097.7920000004</v>
      </c>
      <c r="T453" s="16">
        <f t="shared" ca="1" si="384"/>
        <v>0</v>
      </c>
      <c r="U453" s="16">
        <v>100810</v>
      </c>
      <c r="V453" s="21">
        <f ca="1">IFERROR(__xludf.DUMMYFUNCTION("VLOOKUP(C453,IMPORTRANGE(""https://docs.google.com/spreadsheets/d/1rQ2O3to3MCxQ4eTnJ5b4WStW3zTBTYg21JZurI75aCM/edit?gid=1410613181#gid=1410613181"",""DATA_ABSEN_DES24""),41,0)"),0)</f>
        <v>0</v>
      </c>
      <c r="W453" s="16">
        <f t="shared" ca="1" si="385"/>
        <v>0</v>
      </c>
      <c r="X453" s="16">
        <v>0</v>
      </c>
      <c r="Y453" s="16">
        <f t="shared" ca="1" si="386"/>
        <v>4725097.7920000004</v>
      </c>
      <c r="Z453" s="21"/>
      <c r="AA453" s="21"/>
      <c r="AB453" s="21"/>
      <c r="AC453" s="21"/>
      <c r="AD453" s="21"/>
      <c r="AE453" s="16"/>
      <c r="AF453" s="16"/>
      <c r="AG453" s="16"/>
      <c r="AH453" s="16"/>
      <c r="AI453" s="16"/>
      <c r="AJ453" s="16"/>
      <c r="AK453" s="16"/>
      <c r="AL453" s="16"/>
      <c r="AM453" s="16"/>
      <c r="AN453" s="335">
        <f t="shared" ca="1" si="387"/>
        <v>4725097.7920000004</v>
      </c>
      <c r="AO453" s="20">
        <f t="shared" ca="1" si="388"/>
        <v>0</v>
      </c>
      <c r="AP453" s="20">
        <f t="shared" ca="1" si="389"/>
        <v>4725097.7920000004</v>
      </c>
      <c r="AQ453" s="20">
        <f t="shared" ca="1" si="390"/>
        <v>4725097.7920000004</v>
      </c>
      <c r="AR453" s="20">
        <f t="shared" ca="1" si="391"/>
        <v>4725100</v>
      </c>
      <c r="AS453" s="216"/>
      <c r="AT453" s="30" t="s">
        <v>9</v>
      </c>
      <c r="AU453" s="30" t="str">
        <f>VLOOKUP(AT453,TER!$R$2:$S$10,2,0)</f>
        <v>A</v>
      </c>
      <c r="AV453" s="20">
        <f t="shared" si="392"/>
        <v>3066580</v>
      </c>
      <c r="AW453" s="20">
        <f t="shared" ca="1" si="393"/>
        <v>1344500</v>
      </c>
      <c r="AX453" s="20">
        <f t="shared" ref="AX453:AY453" ca="1" si="523">W453</f>
        <v>0</v>
      </c>
      <c r="AY453" s="20">
        <f t="shared" si="523"/>
        <v>0</v>
      </c>
      <c r="AZ453" s="20">
        <f t="shared" si="395"/>
        <v>7359.7919999999995</v>
      </c>
      <c r="BA453" s="20">
        <f t="shared" si="396"/>
        <v>9199.74</v>
      </c>
      <c r="BB453" s="20">
        <f t="shared" si="397"/>
        <v>122663.2</v>
      </c>
      <c r="BC453" s="20">
        <f t="shared" ca="1" si="398"/>
        <v>4550302.7320000008</v>
      </c>
      <c r="BD453" s="37">
        <f ca="1">IF(AU453="C",VLOOKUP(BC453,TER!$J$4:$L$50,3,TRUE),IF(AU453="B",VLOOKUP(BC453,TER!$F$4:$H$50,3,TRUE),IF(AU453="A",VLOOKUP(BC453,TER!$B$4:$D$50,3,TRUE),"ERROR")))</f>
        <v>0</v>
      </c>
      <c r="BE453" s="20">
        <f t="shared" ca="1" si="399"/>
        <v>0</v>
      </c>
      <c r="BF453" s="216"/>
      <c r="BG453" s="216"/>
    </row>
    <row r="454" spans="1:59" ht="15.75" hidden="1" customHeight="1">
      <c r="A454" s="216"/>
      <c r="B454" s="27">
        <v>116</v>
      </c>
      <c r="C454" s="28" t="s">
        <v>933</v>
      </c>
      <c r="D454" s="29" t="s">
        <v>934</v>
      </c>
      <c r="E454" s="27" t="s">
        <v>57</v>
      </c>
      <c r="F454" s="28" t="s">
        <v>935</v>
      </c>
      <c r="G454" s="27" t="s">
        <v>31</v>
      </c>
      <c r="H454" s="332" t="s">
        <v>32</v>
      </c>
      <c r="I454" s="16">
        <f t="shared" si="380"/>
        <v>3066580</v>
      </c>
      <c r="J454" s="16">
        <v>191354.592</v>
      </c>
      <c r="K454" s="16">
        <v>122663.2</v>
      </c>
      <c r="L454" s="16">
        <v>200000</v>
      </c>
      <c r="M454" s="16">
        <f t="shared" si="508"/>
        <v>54500</v>
      </c>
      <c r="N454" s="21">
        <f ca="1">IFERROR(__xludf.DUMMYFUNCTION("VLOOKUP(C454,IMPORTRANGE(""https://docs.google.com/spreadsheets/d/1rQ2O3to3MCxQ4eTnJ5b4WStW3zTBTYg21JZurI75aCM/edit?gid=1410613181#gid=1410613181"",""DATA_ABSEN_DES24""),39,0)"),21)</f>
        <v>21</v>
      </c>
      <c r="O454" s="334">
        <f ca="1">IFERROR(__xludf.DUMMYFUNCTION("VLOOKUP(C454,IMPORTRANGE(""https://docs.google.com/spreadsheets/d/1rQ2O3to3MCxQ4eTnJ5b4WStW3zTBTYg21JZurI75aCM/edit?gid=1410613181#gid=1410613181"",""DATA_ABSEN_DES24""),40,0)"),20)</f>
        <v>20</v>
      </c>
      <c r="P454" s="16">
        <f t="shared" ca="1" si="381"/>
        <v>1344500</v>
      </c>
      <c r="Q454" s="16">
        <v>21</v>
      </c>
      <c r="R454" s="16">
        <f t="shared" si="382"/>
        <v>4725097.7920000004</v>
      </c>
      <c r="S454" s="16">
        <f t="shared" ca="1" si="383"/>
        <v>4725097.7920000004</v>
      </c>
      <c r="T454" s="16">
        <f t="shared" ca="1" si="384"/>
        <v>0</v>
      </c>
      <c r="U454" s="16">
        <v>100810</v>
      </c>
      <c r="V454" s="21">
        <f ca="1">IFERROR(__xludf.DUMMYFUNCTION("VLOOKUP(C454,IMPORTRANGE(""https://docs.google.com/spreadsheets/d/1rQ2O3to3MCxQ4eTnJ5b4WStW3zTBTYg21JZurI75aCM/edit?gid=1410613181#gid=1410613181"",""DATA_ABSEN_DES24""),41,0)"),0)</f>
        <v>0</v>
      </c>
      <c r="W454" s="16">
        <f t="shared" ca="1" si="385"/>
        <v>0</v>
      </c>
      <c r="X454" s="16">
        <v>0</v>
      </c>
      <c r="Y454" s="16">
        <f t="shared" ca="1" si="386"/>
        <v>4725097.7920000004</v>
      </c>
      <c r="Z454" s="21"/>
      <c r="AA454" s="21"/>
      <c r="AB454" s="21"/>
      <c r="AC454" s="21"/>
      <c r="AD454" s="21"/>
      <c r="AE454" s="16"/>
      <c r="AF454" s="16"/>
      <c r="AG454" s="16"/>
      <c r="AH454" s="16"/>
      <c r="AI454" s="16"/>
      <c r="AJ454" s="16"/>
      <c r="AK454" s="16"/>
      <c r="AL454" s="16"/>
      <c r="AM454" s="16"/>
      <c r="AN454" s="335">
        <f t="shared" ca="1" si="387"/>
        <v>4725097.7920000004</v>
      </c>
      <c r="AO454" s="20">
        <f t="shared" ca="1" si="388"/>
        <v>0</v>
      </c>
      <c r="AP454" s="20">
        <f t="shared" ca="1" si="389"/>
        <v>4725097.7920000004</v>
      </c>
      <c r="AQ454" s="20">
        <f t="shared" ca="1" si="390"/>
        <v>4725097.7920000004</v>
      </c>
      <c r="AR454" s="20">
        <f t="shared" ca="1" si="391"/>
        <v>4725100</v>
      </c>
      <c r="AS454" s="216"/>
      <c r="AT454" s="30" t="s">
        <v>8</v>
      </c>
      <c r="AU454" s="30" t="str">
        <f>VLOOKUP(AT454,TER!$R$2:$S$10,2,0)</f>
        <v>C</v>
      </c>
      <c r="AV454" s="20">
        <f t="shared" si="392"/>
        <v>3066580</v>
      </c>
      <c r="AW454" s="20">
        <f t="shared" ca="1" si="393"/>
        <v>1344500</v>
      </c>
      <c r="AX454" s="20">
        <f t="shared" ref="AX454:AY454" ca="1" si="524">W454</f>
        <v>0</v>
      </c>
      <c r="AY454" s="20">
        <f t="shared" si="524"/>
        <v>0</v>
      </c>
      <c r="AZ454" s="20">
        <f t="shared" si="395"/>
        <v>7359.7919999999995</v>
      </c>
      <c r="BA454" s="20">
        <f t="shared" si="396"/>
        <v>9199.74</v>
      </c>
      <c r="BB454" s="20">
        <f t="shared" si="397"/>
        <v>122663.2</v>
      </c>
      <c r="BC454" s="20">
        <f t="shared" ca="1" si="398"/>
        <v>4550302.7320000008</v>
      </c>
      <c r="BD454" s="37">
        <f ca="1">IF(AU454="C",VLOOKUP(BC454,TER!$J$4:$L$50,3,TRUE),IF(AU454="B",VLOOKUP(BC454,TER!$F$4:$H$50,3,TRUE),IF(AU454="A",VLOOKUP(BC454,TER!$B$4:$D$50,3,TRUE),"ERROR")))</f>
        <v>0</v>
      </c>
      <c r="BE454" s="20">
        <f t="shared" ca="1" si="399"/>
        <v>0</v>
      </c>
      <c r="BF454" s="216"/>
      <c r="BG454" s="216"/>
    </row>
    <row r="455" spans="1:59" ht="15.75" hidden="1" customHeight="1">
      <c r="A455" s="216"/>
      <c r="B455" s="27">
        <v>117</v>
      </c>
      <c r="C455" s="28" t="s">
        <v>936</v>
      </c>
      <c r="D455" s="29" t="s">
        <v>937</v>
      </c>
      <c r="E455" s="27" t="s">
        <v>57</v>
      </c>
      <c r="F455" s="28" t="s">
        <v>938</v>
      </c>
      <c r="G455" s="27" t="s">
        <v>31</v>
      </c>
      <c r="H455" s="332" t="s">
        <v>32</v>
      </c>
      <c r="I455" s="16">
        <f t="shared" si="380"/>
        <v>3066580</v>
      </c>
      <c r="J455" s="16">
        <v>191354.592</v>
      </c>
      <c r="K455" s="16">
        <v>122663.2</v>
      </c>
      <c r="L455" s="16">
        <v>200000</v>
      </c>
      <c r="M455" s="16">
        <f t="shared" si="508"/>
        <v>54500</v>
      </c>
      <c r="N455" s="21">
        <f ca="1">IFERROR(__xludf.DUMMYFUNCTION("VLOOKUP(C455,IMPORTRANGE(""https://docs.google.com/spreadsheets/d/1rQ2O3to3MCxQ4eTnJ5b4WStW3zTBTYg21JZurI75aCM/edit?gid=1410613181#gid=1410613181"",""DATA_ABSEN_DES24""),39,0)"),21)</f>
        <v>21</v>
      </c>
      <c r="O455" s="334">
        <f ca="1">IFERROR(__xludf.DUMMYFUNCTION("VLOOKUP(C455,IMPORTRANGE(""https://docs.google.com/spreadsheets/d/1rQ2O3to3MCxQ4eTnJ5b4WStW3zTBTYg21JZurI75aCM/edit?gid=1410613181#gid=1410613181"",""DATA_ABSEN_DES24""),40,0)"),20)</f>
        <v>20</v>
      </c>
      <c r="P455" s="16">
        <f t="shared" ca="1" si="381"/>
        <v>1344500</v>
      </c>
      <c r="Q455" s="16">
        <v>21</v>
      </c>
      <c r="R455" s="16">
        <f t="shared" si="382"/>
        <v>4725097.7920000004</v>
      </c>
      <c r="S455" s="16">
        <f t="shared" ca="1" si="383"/>
        <v>4725097.7920000004</v>
      </c>
      <c r="T455" s="16">
        <f t="shared" ca="1" si="384"/>
        <v>0</v>
      </c>
      <c r="U455" s="16">
        <v>100810</v>
      </c>
      <c r="V455" s="21">
        <f ca="1">IFERROR(__xludf.DUMMYFUNCTION("VLOOKUP(C455,IMPORTRANGE(""https://docs.google.com/spreadsheets/d/1rQ2O3to3MCxQ4eTnJ5b4WStW3zTBTYg21JZurI75aCM/edit?gid=1410613181#gid=1410613181"",""DATA_ABSEN_DES24""),41,0)"),0)</f>
        <v>0</v>
      </c>
      <c r="W455" s="16">
        <f t="shared" ca="1" si="385"/>
        <v>0</v>
      </c>
      <c r="X455" s="16">
        <v>0</v>
      </c>
      <c r="Y455" s="16">
        <f t="shared" ca="1" si="386"/>
        <v>4725097.7920000004</v>
      </c>
      <c r="Z455" s="21"/>
      <c r="AA455" s="21"/>
      <c r="AB455" s="21"/>
      <c r="AC455" s="21"/>
      <c r="AD455" s="21"/>
      <c r="AE455" s="16"/>
      <c r="AF455" s="16"/>
      <c r="AG455" s="16"/>
      <c r="AH455" s="16"/>
      <c r="AI455" s="16"/>
      <c r="AJ455" s="16"/>
      <c r="AK455" s="16"/>
      <c r="AL455" s="16"/>
      <c r="AM455" s="16"/>
      <c r="AN455" s="335">
        <f t="shared" ca="1" si="387"/>
        <v>4725097.7920000004</v>
      </c>
      <c r="AO455" s="20">
        <f t="shared" ca="1" si="388"/>
        <v>0</v>
      </c>
      <c r="AP455" s="20">
        <f t="shared" ca="1" si="389"/>
        <v>4725097.7920000004</v>
      </c>
      <c r="AQ455" s="20">
        <f t="shared" ca="1" si="390"/>
        <v>4725097.7920000004</v>
      </c>
      <c r="AR455" s="20">
        <f t="shared" ca="1" si="391"/>
        <v>4725100</v>
      </c>
      <c r="AS455" s="216"/>
      <c r="AT455" s="30" t="s">
        <v>9</v>
      </c>
      <c r="AU455" s="30" t="str">
        <f>VLOOKUP(AT455,TER!$R$2:$S$10,2,0)</f>
        <v>A</v>
      </c>
      <c r="AV455" s="20">
        <f t="shared" si="392"/>
        <v>3066580</v>
      </c>
      <c r="AW455" s="20">
        <f t="shared" ca="1" si="393"/>
        <v>1344500</v>
      </c>
      <c r="AX455" s="20">
        <f t="shared" ref="AX455:AY455" ca="1" si="525">W455</f>
        <v>0</v>
      </c>
      <c r="AY455" s="20">
        <f t="shared" si="525"/>
        <v>0</v>
      </c>
      <c r="AZ455" s="20">
        <f t="shared" si="395"/>
        <v>7359.7919999999995</v>
      </c>
      <c r="BA455" s="20">
        <f t="shared" si="396"/>
        <v>9199.74</v>
      </c>
      <c r="BB455" s="20">
        <f t="shared" si="397"/>
        <v>122663.2</v>
      </c>
      <c r="BC455" s="20">
        <f t="shared" ca="1" si="398"/>
        <v>4550302.7320000008</v>
      </c>
      <c r="BD455" s="37">
        <f ca="1">IF(AU455="C",VLOOKUP(BC455,TER!$J$4:$L$50,3,TRUE),IF(AU455="B",VLOOKUP(BC455,TER!$F$4:$H$50,3,TRUE),IF(AU455="A",VLOOKUP(BC455,TER!$B$4:$D$50,3,TRUE),"ERROR")))</f>
        <v>0</v>
      </c>
      <c r="BE455" s="20">
        <f t="shared" ca="1" si="399"/>
        <v>0</v>
      </c>
      <c r="BF455" s="216"/>
      <c r="BG455" s="216"/>
    </row>
    <row r="456" spans="1:59" ht="15.75" hidden="1" customHeight="1">
      <c r="A456" s="216"/>
      <c r="B456" s="27">
        <v>118</v>
      </c>
      <c r="C456" s="28" t="s">
        <v>939</v>
      </c>
      <c r="D456" s="29" t="s">
        <v>940</v>
      </c>
      <c r="E456" s="27" t="s">
        <v>57</v>
      </c>
      <c r="F456" s="28" t="s">
        <v>941</v>
      </c>
      <c r="G456" s="27" t="s">
        <v>94</v>
      </c>
      <c r="H456" s="332" t="s">
        <v>32</v>
      </c>
      <c r="I456" s="16">
        <f t="shared" si="380"/>
        <v>3066580</v>
      </c>
      <c r="J456" s="16">
        <v>191354.592</v>
      </c>
      <c r="K456" s="16">
        <v>122663.2</v>
      </c>
      <c r="L456" s="16">
        <f>200000+250000</f>
        <v>450000</v>
      </c>
      <c r="M456" s="16">
        <f>(724500+472500)/21</f>
        <v>57000</v>
      </c>
      <c r="N456" s="21">
        <f ca="1">IFERROR(__xludf.DUMMYFUNCTION("VLOOKUP(C456,IMPORTRANGE(""https://docs.google.com/spreadsheets/d/1rQ2O3to3MCxQ4eTnJ5b4WStW3zTBTYg21JZurI75aCM/edit?gid=1410613181#gid=1410613181"",""DATA_ABSEN_DES24""),39,0)"),20)</f>
        <v>20</v>
      </c>
      <c r="O456" s="334">
        <f ca="1">IFERROR(__xludf.DUMMYFUNCTION("VLOOKUP(C456,IMPORTRANGE(""https://docs.google.com/spreadsheets/d/1rQ2O3to3MCxQ4eTnJ5b4WStW3zTBTYg21JZurI75aCM/edit?gid=1410613181#gid=1410613181"",""DATA_ABSEN_DES24""),40,0)"),20)</f>
        <v>20</v>
      </c>
      <c r="P456" s="16">
        <f t="shared" ca="1" si="381"/>
        <v>1590000</v>
      </c>
      <c r="Q456" s="16">
        <v>21</v>
      </c>
      <c r="R456" s="16">
        <f t="shared" si="382"/>
        <v>5027597.7920000004</v>
      </c>
      <c r="S456" s="16">
        <f t="shared" ca="1" si="383"/>
        <v>4970597.7920000004</v>
      </c>
      <c r="T456" s="16">
        <f t="shared" ca="1" si="384"/>
        <v>0</v>
      </c>
      <c r="U456" s="16">
        <v>100810</v>
      </c>
      <c r="V456" s="21">
        <f ca="1">IFERROR(__xludf.DUMMYFUNCTION("VLOOKUP(C456,IMPORTRANGE(""https://docs.google.com/spreadsheets/d/1rQ2O3to3MCxQ4eTnJ5b4WStW3zTBTYg21JZurI75aCM/edit?gid=1410613181#gid=1410613181"",""DATA_ABSEN_DES24""),41,0)"),0)</f>
        <v>0</v>
      </c>
      <c r="W456" s="16">
        <f t="shared" ca="1" si="385"/>
        <v>0</v>
      </c>
      <c r="X456" s="16">
        <v>0</v>
      </c>
      <c r="Y456" s="16">
        <f t="shared" ca="1" si="386"/>
        <v>4970597.7920000004</v>
      </c>
      <c r="Z456" s="21"/>
      <c r="AA456" s="21"/>
      <c r="AB456" s="21"/>
      <c r="AC456" s="21"/>
      <c r="AD456" s="21"/>
      <c r="AE456" s="16"/>
      <c r="AF456" s="16"/>
      <c r="AG456" s="16"/>
      <c r="AH456" s="16"/>
      <c r="AI456" s="16"/>
      <c r="AJ456" s="16"/>
      <c r="AK456" s="16"/>
      <c r="AL456" s="16"/>
      <c r="AM456" s="16"/>
      <c r="AN456" s="335">
        <f t="shared" ca="1" si="387"/>
        <v>4970597.7920000004</v>
      </c>
      <c r="AO456" s="20">
        <f t="shared" ca="1" si="388"/>
        <v>0</v>
      </c>
      <c r="AP456" s="20">
        <f t="shared" ca="1" si="389"/>
        <v>4970597.7920000004</v>
      </c>
      <c r="AQ456" s="20">
        <f t="shared" ca="1" si="390"/>
        <v>4970597.7920000004</v>
      </c>
      <c r="AR456" s="20">
        <f t="shared" ca="1" si="391"/>
        <v>4970600</v>
      </c>
      <c r="AS456" s="216"/>
      <c r="AT456" s="30" t="s">
        <v>18</v>
      </c>
      <c r="AU456" s="30" t="str">
        <f>VLOOKUP(AT456,TER!$R$2:$S$10,2,0)</f>
        <v>B</v>
      </c>
      <c r="AV456" s="20">
        <f t="shared" si="392"/>
        <v>3066580</v>
      </c>
      <c r="AW456" s="20">
        <f t="shared" ca="1" si="393"/>
        <v>1590000</v>
      </c>
      <c r="AX456" s="20">
        <f t="shared" ref="AX456:AY456" ca="1" si="526">W456</f>
        <v>0</v>
      </c>
      <c r="AY456" s="20">
        <f t="shared" si="526"/>
        <v>0</v>
      </c>
      <c r="AZ456" s="20">
        <f t="shared" si="395"/>
        <v>7359.7919999999995</v>
      </c>
      <c r="BA456" s="20">
        <f t="shared" si="396"/>
        <v>9199.74</v>
      </c>
      <c r="BB456" s="20">
        <f t="shared" si="397"/>
        <v>122663.2</v>
      </c>
      <c r="BC456" s="20">
        <f t="shared" ca="1" si="398"/>
        <v>4795802.7320000008</v>
      </c>
      <c r="BD456" s="37">
        <f ca="1">IF(AU456="C",VLOOKUP(BC456,TER!$J$4:$L$50,3,TRUE),IF(AU456="B",VLOOKUP(BC456,TER!$F$4:$H$50,3,TRUE),IF(AU456="A",VLOOKUP(BC456,TER!$B$4:$D$50,3,TRUE),"ERROR")))</f>
        <v>0</v>
      </c>
      <c r="BE456" s="20">
        <f t="shared" ca="1" si="399"/>
        <v>0</v>
      </c>
      <c r="BF456" s="216"/>
      <c r="BG456" s="216"/>
    </row>
    <row r="457" spans="1:59" ht="15.75" hidden="1" customHeight="1">
      <c r="A457" s="216"/>
      <c r="B457" s="27">
        <v>119</v>
      </c>
      <c r="C457" s="28" t="s">
        <v>942</v>
      </c>
      <c r="D457" s="29" t="s">
        <v>943</v>
      </c>
      <c r="E457" s="27" t="s">
        <v>57</v>
      </c>
      <c r="F457" s="28" t="s">
        <v>944</v>
      </c>
      <c r="G457" s="27" t="s">
        <v>31</v>
      </c>
      <c r="H457" s="332" t="s">
        <v>32</v>
      </c>
      <c r="I457" s="16">
        <f t="shared" si="380"/>
        <v>3066580</v>
      </c>
      <c r="J457" s="16">
        <v>191354.592</v>
      </c>
      <c r="K457" s="16">
        <v>122663.2</v>
      </c>
      <c r="L457" s="16">
        <v>200000</v>
      </c>
      <c r="M457" s="16">
        <f t="shared" ref="M457:M467" si="527">(724500+420000)/21</f>
        <v>54500</v>
      </c>
      <c r="N457" s="21">
        <f ca="1">IFERROR(__xludf.DUMMYFUNCTION("VLOOKUP(C457,IMPORTRANGE(""https://docs.google.com/spreadsheets/d/1rQ2O3to3MCxQ4eTnJ5b4WStW3zTBTYg21JZurI75aCM/edit?gid=1410613181#gid=1410613181"",""DATA_ABSEN_DES24""),39,0)"),21)</f>
        <v>21</v>
      </c>
      <c r="O457" s="334">
        <f ca="1">IFERROR(__xludf.DUMMYFUNCTION("VLOOKUP(C457,IMPORTRANGE(""https://docs.google.com/spreadsheets/d/1rQ2O3to3MCxQ4eTnJ5b4WStW3zTBTYg21JZurI75aCM/edit?gid=1410613181#gid=1410613181"",""DATA_ABSEN_DES24""),40,0)"),20)</f>
        <v>20</v>
      </c>
      <c r="P457" s="16">
        <f t="shared" ca="1" si="381"/>
        <v>1344500</v>
      </c>
      <c r="Q457" s="16">
        <v>21</v>
      </c>
      <c r="R457" s="16">
        <f t="shared" si="382"/>
        <v>4725097.7920000004</v>
      </c>
      <c r="S457" s="16">
        <f t="shared" ca="1" si="383"/>
        <v>4725097.7920000004</v>
      </c>
      <c r="T457" s="16">
        <f t="shared" ca="1" si="384"/>
        <v>0</v>
      </c>
      <c r="U457" s="16">
        <v>100810</v>
      </c>
      <c r="V457" s="21">
        <f ca="1">IFERROR(__xludf.DUMMYFUNCTION("VLOOKUP(C457,IMPORTRANGE(""https://docs.google.com/spreadsheets/d/1rQ2O3to3MCxQ4eTnJ5b4WStW3zTBTYg21JZurI75aCM/edit?gid=1410613181#gid=1410613181"",""DATA_ABSEN_DES24""),41,0)"),0)</f>
        <v>0</v>
      </c>
      <c r="W457" s="16">
        <f t="shared" ca="1" si="385"/>
        <v>0</v>
      </c>
      <c r="X457" s="16">
        <v>0</v>
      </c>
      <c r="Y457" s="16">
        <f t="shared" ca="1" si="386"/>
        <v>4725097.7920000004</v>
      </c>
      <c r="Z457" s="21"/>
      <c r="AA457" s="21"/>
      <c r="AB457" s="21"/>
      <c r="AC457" s="21"/>
      <c r="AD457" s="21"/>
      <c r="AE457" s="16"/>
      <c r="AF457" s="16"/>
      <c r="AG457" s="16"/>
      <c r="AH457" s="16"/>
      <c r="AI457" s="16"/>
      <c r="AJ457" s="16"/>
      <c r="AK457" s="16"/>
      <c r="AL457" s="16"/>
      <c r="AM457" s="16"/>
      <c r="AN457" s="335">
        <f t="shared" ca="1" si="387"/>
        <v>4725097.7920000004</v>
      </c>
      <c r="AO457" s="20">
        <f t="shared" ca="1" si="388"/>
        <v>0</v>
      </c>
      <c r="AP457" s="20">
        <f t="shared" ca="1" si="389"/>
        <v>4725097.7920000004</v>
      </c>
      <c r="AQ457" s="20">
        <f t="shared" ca="1" si="390"/>
        <v>4725097.7920000004</v>
      </c>
      <c r="AR457" s="20">
        <f t="shared" ca="1" si="391"/>
        <v>4725100</v>
      </c>
      <c r="AS457" s="216"/>
      <c r="AT457" s="30" t="s">
        <v>13</v>
      </c>
      <c r="AU457" s="30" t="str">
        <f>VLOOKUP(AT457,TER!$R$2:$S$10,2,0)</f>
        <v>A</v>
      </c>
      <c r="AV457" s="20">
        <f t="shared" si="392"/>
        <v>3066580</v>
      </c>
      <c r="AW457" s="20">
        <f t="shared" ca="1" si="393"/>
        <v>1344500</v>
      </c>
      <c r="AX457" s="20">
        <f t="shared" ref="AX457:AY457" ca="1" si="528">W457</f>
        <v>0</v>
      </c>
      <c r="AY457" s="20">
        <f t="shared" si="528"/>
        <v>0</v>
      </c>
      <c r="AZ457" s="20">
        <f t="shared" si="395"/>
        <v>7359.7919999999995</v>
      </c>
      <c r="BA457" s="20">
        <f t="shared" si="396"/>
        <v>9199.74</v>
      </c>
      <c r="BB457" s="20">
        <f t="shared" si="397"/>
        <v>122663.2</v>
      </c>
      <c r="BC457" s="20">
        <f t="shared" ca="1" si="398"/>
        <v>4550302.7320000008</v>
      </c>
      <c r="BD457" s="37">
        <f ca="1">IF(AU457="C",VLOOKUP(BC457,TER!$J$4:$L$50,3,TRUE),IF(AU457="B",VLOOKUP(BC457,TER!$F$4:$H$50,3,TRUE),IF(AU457="A",VLOOKUP(BC457,TER!$B$4:$D$50,3,TRUE),"ERROR")))</f>
        <v>0</v>
      </c>
      <c r="BE457" s="20">
        <f t="shared" ca="1" si="399"/>
        <v>0</v>
      </c>
      <c r="BF457" s="216"/>
      <c r="BG457" s="216"/>
    </row>
    <row r="458" spans="1:59" ht="15.75" hidden="1" customHeight="1">
      <c r="A458" s="216"/>
      <c r="B458" s="27">
        <v>120</v>
      </c>
      <c r="C458" s="28" t="s">
        <v>945</v>
      </c>
      <c r="D458" s="29" t="s">
        <v>946</v>
      </c>
      <c r="E458" s="27" t="s">
        <v>57</v>
      </c>
      <c r="F458" s="28" t="s">
        <v>947</v>
      </c>
      <c r="G458" s="27" t="s">
        <v>31</v>
      </c>
      <c r="H458" s="332" t="s">
        <v>32</v>
      </c>
      <c r="I458" s="16">
        <f t="shared" si="380"/>
        <v>3066580</v>
      </c>
      <c r="J458" s="16">
        <v>191354.592</v>
      </c>
      <c r="K458" s="16">
        <v>122663.2</v>
      </c>
      <c r="L458" s="16">
        <v>200000</v>
      </c>
      <c r="M458" s="16">
        <f t="shared" si="527"/>
        <v>54500</v>
      </c>
      <c r="N458" s="21">
        <f ca="1">IFERROR(__xludf.DUMMYFUNCTION("VLOOKUP(C458,IMPORTRANGE(""https://docs.google.com/spreadsheets/d/1rQ2O3to3MCxQ4eTnJ5b4WStW3zTBTYg21JZurI75aCM/edit?gid=1410613181#gid=1410613181"",""DATA_ABSEN_DES24""),39,0)"),21)</f>
        <v>21</v>
      </c>
      <c r="O458" s="334">
        <f ca="1">IFERROR(__xludf.DUMMYFUNCTION("VLOOKUP(C458,IMPORTRANGE(""https://docs.google.com/spreadsheets/d/1rQ2O3to3MCxQ4eTnJ5b4WStW3zTBTYg21JZurI75aCM/edit?gid=1410613181#gid=1410613181"",""DATA_ABSEN_DES24""),40,0)"),20)</f>
        <v>20</v>
      </c>
      <c r="P458" s="16">
        <f t="shared" ca="1" si="381"/>
        <v>1344500</v>
      </c>
      <c r="Q458" s="16">
        <v>21</v>
      </c>
      <c r="R458" s="16">
        <f t="shared" si="382"/>
        <v>4725097.7920000004</v>
      </c>
      <c r="S458" s="16">
        <f t="shared" ca="1" si="383"/>
        <v>4725097.7920000004</v>
      </c>
      <c r="T458" s="16">
        <f t="shared" ca="1" si="384"/>
        <v>0</v>
      </c>
      <c r="U458" s="16">
        <v>100810</v>
      </c>
      <c r="V458" s="21">
        <f ca="1">IFERROR(__xludf.DUMMYFUNCTION("VLOOKUP(C458,IMPORTRANGE(""https://docs.google.com/spreadsheets/d/1rQ2O3to3MCxQ4eTnJ5b4WStW3zTBTYg21JZurI75aCM/edit?gid=1410613181#gid=1410613181"",""DATA_ABSEN_DES24""),41,0)"),0)</f>
        <v>0</v>
      </c>
      <c r="W458" s="16">
        <f t="shared" ca="1" si="385"/>
        <v>0</v>
      </c>
      <c r="X458" s="16">
        <v>0</v>
      </c>
      <c r="Y458" s="16">
        <f t="shared" ca="1" si="386"/>
        <v>4725097.7920000004</v>
      </c>
      <c r="Z458" s="21"/>
      <c r="AA458" s="21"/>
      <c r="AB458" s="21"/>
      <c r="AC458" s="21"/>
      <c r="AD458" s="21"/>
      <c r="AE458" s="16"/>
      <c r="AF458" s="16"/>
      <c r="AG458" s="16"/>
      <c r="AH458" s="16"/>
      <c r="AI458" s="16"/>
      <c r="AJ458" s="16"/>
      <c r="AK458" s="16"/>
      <c r="AL458" s="16"/>
      <c r="AM458" s="16"/>
      <c r="AN458" s="335">
        <f t="shared" ca="1" si="387"/>
        <v>4725097.7920000004</v>
      </c>
      <c r="AO458" s="20">
        <f t="shared" ca="1" si="388"/>
        <v>0</v>
      </c>
      <c r="AP458" s="20">
        <f t="shared" ca="1" si="389"/>
        <v>4725097.7920000004</v>
      </c>
      <c r="AQ458" s="20">
        <f t="shared" ca="1" si="390"/>
        <v>4725097.7920000004</v>
      </c>
      <c r="AR458" s="20">
        <f t="shared" ca="1" si="391"/>
        <v>4725100</v>
      </c>
      <c r="AS458" s="216"/>
      <c r="AT458" s="30" t="s">
        <v>17</v>
      </c>
      <c r="AU458" s="30" t="str">
        <f>VLOOKUP(AT458,TER!$R$2:$S$10,2,0)</f>
        <v>B</v>
      </c>
      <c r="AV458" s="20">
        <f t="shared" si="392"/>
        <v>3066580</v>
      </c>
      <c r="AW458" s="20">
        <f t="shared" ca="1" si="393"/>
        <v>1344500</v>
      </c>
      <c r="AX458" s="20">
        <f t="shared" ref="AX458:AY458" ca="1" si="529">W458</f>
        <v>0</v>
      </c>
      <c r="AY458" s="20">
        <f t="shared" si="529"/>
        <v>0</v>
      </c>
      <c r="AZ458" s="20">
        <f t="shared" si="395"/>
        <v>7359.7919999999995</v>
      </c>
      <c r="BA458" s="20">
        <f t="shared" si="396"/>
        <v>9199.74</v>
      </c>
      <c r="BB458" s="20">
        <f t="shared" si="397"/>
        <v>122663.2</v>
      </c>
      <c r="BC458" s="20">
        <f t="shared" ca="1" si="398"/>
        <v>4550302.7320000008</v>
      </c>
      <c r="BD458" s="37">
        <f ca="1">IF(AU458="C",VLOOKUP(BC458,TER!$J$4:$L$50,3,TRUE),IF(AU458="B",VLOOKUP(BC458,TER!$F$4:$H$50,3,TRUE),IF(AU458="A",VLOOKUP(BC458,TER!$B$4:$D$50,3,TRUE),"ERROR")))</f>
        <v>0</v>
      </c>
      <c r="BE458" s="20">
        <f t="shared" ca="1" si="399"/>
        <v>0</v>
      </c>
      <c r="BF458" s="216"/>
      <c r="BG458" s="216"/>
    </row>
    <row r="459" spans="1:59" ht="15.75" hidden="1" customHeight="1">
      <c r="A459" s="216"/>
      <c r="B459" s="27">
        <v>121</v>
      </c>
      <c r="C459" s="247" t="s">
        <v>948</v>
      </c>
      <c r="D459" s="248" t="s">
        <v>949</v>
      </c>
      <c r="E459" s="27" t="s">
        <v>57</v>
      </c>
      <c r="F459" s="28" t="s">
        <v>950</v>
      </c>
      <c r="G459" s="27" t="s">
        <v>31</v>
      </c>
      <c r="H459" s="332" t="s">
        <v>32</v>
      </c>
      <c r="I459" s="16">
        <f t="shared" si="380"/>
        <v>3066580</v>
      </c>
      <c r="J459" s="351">
        <v>191354.592</v>
      </c>
      <c r="K459" s="351">
        <v>0</v>
      </c>
      <c r="L459" s="16">
        <v>200000</v>
      </c>
      <c r="M459" s="16">
        <f t="shared" si="527"/>
        <v>54500</v>
      </c>
      <c r="N459" s="21">
        <f ca="1">IFERROR(__xludf.DUMMYFUNCTION("VLOOKUP(C459,IMPORTRANGE(""https://docs.google.com/spreadsheets/d/1rQ2O3to3MCxQ4eTnJ5b4WStW3zTBTYg21JZurI75aCM/edit?gid=1410613181#gid=1410613181"",""DATA_ABSEN_DES24""),39,0)"),20)</f>
        <v>20</v>
      </c>
      <c r="O459" s="334">
        <f ca="1">IFERROR(__xludf.DUMMYFUNCTION("VLOOKUP(C459,IMPORTRANGE(""https://docs.google.com/spreadsheets/d/1rQ2O3to3MCxQ4eTnJ5b4WStW3zTBTYg21JZurI75aCM/edit?gid=1410613181#gid=1410613181"",""DATA_ABSEN_DES24""),40,0)"),20)</f>
        <v>20</v>
      </c>
      <c r="P459" s="16">
        <f t="shared" ca="1" si="381"/>
        <v>1290000</v>
      </c>
      <c r="Q459" s="16">
        <v>21</v>
      </c>
      <c r="R459" s="16">
        <f t="shared" si="382"/>
        <v>4602434.5920000002</v>
      </c>
      <c r="S459" s="16">
        <f t="shared" ca="1" si="383"/>
        <v>4547934.5920000002</v>
      </c>
      <c r="T459" s="16">
        <f t="shared" ca="1" si="384"/>
        <v>0</v>
      </c>
      <c r="U459" s="16">
        <v>100810</v>
      </c>
      <c r="V459" s="21">
        <f ca="1">IFERROR(__xludf.DUMMYFUNCTION("VLOOKUP(C459,IMPORTRANGE(""https://docs.google.com/spreadsheets/d/1rQ2O3to3MCxQ4eTnJ5b4WStW3zTBTYg21JZurI75aCM/edit?gid=1410613181#gid=1410613181"",""DATA_ABSEN_DES24""),41,0)"),0)</f>
        <v>0</v>
      </c>
      <c r="W459" s="16">
        <f t="shared" ca="1" si="385"/>
        <v>0</v>
      </c>
      <c r="X459" s="16">
        <v>0</v>
      </c>
      <c r="Y459" s="16">
        <f t="shared" ca="1" si="386"/>
        <v>4547934.5920000002</v>
      </c>
      <c r="Z459" s="21"/>
      <c r="AA459" s="21"/>
      <c r="AB459" s="21"/>
      <c r="AC459" s="21"/>
      <c r="AD459" s="21"/>
      <c r="AE459" s="16"/>
      <c r="AF459" s="351"/>
      <c r="AG459" s="351"/>
      <c r="AH459" s="16"/>
      <c r="AI459" s="16"/>
      <c r="AJ459" s="16"/>
      <c r="AK459" s="16"/>
      <c r="AL459" s="16"/>
      <c r="AM459" s="16"/>
      <c r="AN459" s="335">
        <f t="shared" ca="1" si="387"/>
        <v>4547934.5920000002</v>
      </c>
      <c r="AO459" s="20">
        <f t="shared" ca="1" si="388"/>
        <v>0</v>
      </c>
      <c r="AP459" s="20">
        <f t="shared" ca="1" si="389"/>
        <v>4547934.5920000002</v>
      </c>
      <c r="AQ459" s="20">
        <f t="shared" ca="1" si="390"/>
        <v>4547934.5920000002</v>
      </c>
      <c r="AR459" s="20">
        <f t="shared" ca="1" si="391"/>
        <v>4547900</v>
      </c>
      <c r="AS459" s="216"/>
      <c r="AT459" s="47" t="s">
        <v>9</v>
      </c>
      <c r="AU459" s="30" t="str">
        <f>VLOOKUP(AT459,TER!$R$2:$S$10,2,0)</f>
        <v>A</v>
      </c>
      <c r="AV459" s="20">
        <f t="shared" si="392"/>
        <v>3066580</v>
      </c>
      <c r="AW459" s="20">
        <f t="shared" ca="1" si="393"/>
        <v>1290000</v>
      </c>
      <c r="AX459" s="20">
        <f t="shared" ref="AX459:AY459" ca="1" si="530">W459</f>
        <v>0</v>
      </c>
      <c r="AY459" s="20">
        <f t="shared" si="530"/>
        <v>0</v>
      </c>
      <c r="AZ459" s="20">
        <f t="shared" si="395"/>
        <v>7359.7919999999995</v>
      </c>
      <c r="BA459" s="20">
        <f t="shared" si="396"/>
        <v>9199.74</v>
      </c>
      <c r="BB459" s="20">
        <f t="shared" si="397"/>
        <v>0</v>
      </c>
      <c r="BC459" s="20">
        <f t="shared" ca="1" si="398"/>
        <v>4373139.5320000006</v>
      </c>
      <c r="BD459" s="37">
        <f ca="1">IF(AU459="C",VLOOKUP(BC459,TER!$J$4:$L$50,3,TRUE),IF(AU459="B",VLOOKUP(BC459,TER!$F$4:$H$50,3,TRUE),IF(AU459="A",VLOOKUP(BC459,TER!$B$4:$D$50,3,TRUE),"ERROR")))</f>
        <v>0</v>
      </c>
      <c r="BE459" s="20">
        <f t="shared" ca="1" si="399"/>
        <v>0</v>
      </c>
      <c r="BF459" s="216"/>
      <c r="BG459" s="216"/>
    </row>
    <row r="460" spans="1:59" ht="15.75" hidden="1" customHeight="1">
      <c r="A460" s="216"/>
      <c r="B460" s="27">
        <v>122</v>
      </c>
      <c r="C460" s="247" t="s">
        <v>951</v>
      </c>
      <c r="D460" s="248" t="s">
        <v>952</v>
      </c>
      <c r="E460" s="27" t="s">
        <v>57</v>
      </c>
      <c r="F460" s="28" t="s">
        <v>953</v>
      </c>
      <c r="G460" s="27" t="s">
        <v>31</v>
      </c>
      <c r="H460" s="332" t="s">
        <v>32</v>
      </c>
      <c r="I460" s="16">
        <f t="shared" si="380"/>
        <v>3066580</v>
      </c>
      <c r="J460" s="351">
        <v>191354.592</v>
      </c>
      <c r="K460" s="351">
        <v>0</v>
      </c>
      <c r="L460" s="16">
        <v>200000</v>
      </c>
      <c r="M460" s="16">
        <f t="shared" si="527"/>
        <v>54500</v>
      </c>
      <c r="N460" s="21">
        <f ca="1">IFERROR(__xludf.DUMMYFUNCTION("VLOOKUP(C460,IMPORTRANGE(""https://docs.google.com/spreadsheets/d/1rQ2O3to3MCxQ4eTnJ5b4WStW3zTBTYg21JZurI75aCM/edit?gid=1410613181#gid=1410613181"",""DATA_ABSEN_DES24""),39,0)"),21)</f>
        <v>21</v>
      </c>
      <c r="O460" s="334">
        <f ca="1">IFERROR(__xludf.DUMMYFUNCTION("VLOOKUP(C460,IMPORTRANGE(""https://docs.google.com/spreadsheets/d/1rQ2O3to3MCxQ4eTnJ5b4WStW3zTBTYg21JZurI75aCM/edit?gid=1410613181#gid=1410613181"",""DATA_ABSEN_DES24""),40,0)"),20)</f>
        <v>20</v>
      </c>
      <c r="P460" s="16">
        <f t="shared" ca="1" si="381"/>
        <v>1344500</v>
      </c>
      <c r="Q460" s="16">
        <v>21</v>
      </c>
      <c r="R460" s="16">
        <f t="shared" si="382"/>
        <v>4602434.5920000002</v>
      </c>
      <c r="S460" s="16">
        <f t="shared" ca="1" si="383"/>
        <v>4602434.5920000002</v>
      </c>
      <c r="T460" s="16">
        <f t="shared" ca="1" si="384"/>
        <v>0</v>
      </c>
      <c r="U460" s="16">
        <v>100810</v>
      </c>
      <c r="V460" s="21">
        <f ca="1">IFERROR(__xludf.DUMMYFUNCTION("VLOOKUP(C460,IMPORTRANGE(""https://docs.google.com/spreadsheets/d/1rQ2O3to3MCxQ4eTnJ5b4WStW3zTBTYg21JZurI75aCM/edit?gid=1410613181#gid=1410613181"",""DATA_ABSEN_DES24""),41,0)"),0)</f>
        <v>0</v>
      </c>
      <c r="W460" s="16">
        <f t="shared" ca="1" si="385"/>
        <v>0</v>
      </c>
      <c r="X460" s="16">
        <v>0</v>
      </c>
      <c r="Y460" s="16">
        <f t="shared" ca="1" si="386"/>
        <v>4602434.5920000002</v>
      </c>
      <c r="Z460" s="21"/>
      <c r="AA460" s="21"/>
      <c r="AB460" s="21"/>
      <c r="AC460" s="21"/>
      <c r="AD460" s="21"/>
      <c r="AE460" s="16"/>
      <c r="AF460" s="351"/>
      <c r="AG460" s="351"/>
      <c r="AH460" s="16"/>
      <c r="AI460" s="16"/>
      <c r="AJ460" s="16"/>
      <c r="AK460" s="16"/>
      <c r="AL460" s="16"/>
      <c r="AM460" s="16"/>
      <c r="AN460" s="335">
        <f t="shared" ca="1" si="387"/>
        <v>4602434.5920000002</v>
      </c>
      <c r="AO460" s="20">
        <f t="shared" ca="1" si="388"/>
        <v>0</v>
      </c>
      <c r="AP460" s="20">
        <f t="shared" ca="1" si="389"/>
        <v>4602434.5920000002</v>
      </c>
      <c r="AQ460" s="20">
        <f t="shared" ca="1" si="390"/>
        <v>4602434.5920000002</v>
      </c>
      <c r="AR460" s="20">
        <f t="shared" ca="1" si="391"/>
        <v>4602400</v>
      </c>
      <c r="AS460" s="216"/>
      <c r="AT460" s="47" t="s">
        <v>9</v>
      </c>
      <c r="AU460" s="30" t="str">
        <f>VLOOKUP(AT460,TER!$R$2:$S$10,2,0)</f>
        <v>A</v>
      </c>
      <c r="AV460" s="20">
        <f t="shared" si="392"/>
        <v>3066580</v>
      </c>
      <c r="AW460" s="20">
        <f t="shared" ca="1" si="393"/>
        <v>1344500</v>
      </c>
      <c r="AX460" s="20">
        <f t="shared" ref="AX460:AY460" ca="1" si="531">W460</f>
        <v>0</v>
      </c>
      <c r="AY460" s="20">
        <f t="shared" si="531"/>
        <v>0</v>
      </c>
      <c r="AZ460" s="20">
        <f t="shared" si="395"/>
        <v>7359.7919999999995</v>
      </c>
      <c r="BA460" s="20">
        <f t="shared" si="396"/>
        <v>9199.74</v>
      </c>
      <c r="BB460" s="20">
        <f t="shared" si="397"/>
        <v>0</v>
      </c>
      <c r="BC460" s="20">
        <f t="shared" ca="1" si="398"/>
        <v>4427639.5320000006</v>
      </c>
      <c r="BD460" s="37">
        <f ca="1">IF(AU460="C",VLOOKUP(BC460,TER!$J$4:$L$50,3,TRUE),IF(AU460="B",VLOOKUP(BC460,TER!$F$4:$H$50,3,TRUE),IF(AU460="A",VLOOKUP(BC460,TER!$B$4:$D$50,3,TRUE),"ERROR")))</f>
        <v>0</v>
      </c>
      <c r="BE460" s="20">
        <f t="shared" ca="1" si="399"/>
        <v>0</v>
      </c>
      <c r="BF460" s="216"/>
      <c r="BG460" s="216"/>
    </row>
    <row r="461" spans="1:59" ht="15.75" hidden="1" customHeight="1">
      <c r="A461" s="216"/>
      <c r="B461" s="27">
        <v>123</v>
      </c>
      <c r="C461" s="247" t="s">
        <v>954</v>
      </c>
      <c r="D461" s="248" t="s">
        <v>955</v>
      </c>
      <c r="E461" s="27" t="s">
        <v>57</v>
      </c>
      <c r="F461" s="28" t="s">
        <v>956</v>
      </c>
      <c r="G461" s="27" t="s">
        <v>31</v>
      </c>
      <c r="H461" s="332" t="s">
        <v>32</v>
      </c>
      <c r="I461" s="16">
        <f t="shared" si="380"/>
        <v>3066580</v>
      </c>
      <c r="J461" s="351">
        <v>191354.592</v>
      </c>
      <c r="K461" s="351">
        <v>0</v>
      </c>
      <c r="L461" s="16">
        <v>200000</v>
      </c>
      <c r="M461" s="16">
        <f t="shared" si="527"/>
        <v>54500</v>
      </c>
      <c r="N461" s="21">
        <f ca="1">IFERROR(__xludf.DUMMYFUNCTION("VLOOKUP(C461,IMPORTRANGE(""https://docs.google.com/spreadsheets/d/1rQ2O3to3MCxQ4eTnJ5b4WStW3zTBTYg21JZurI75aCM/edit?gid=1410613181#gid=1410613181"",""DATA_ABSEN_DES24""),39,0)"),21)</f>
        <v>21</v>
      </c>
      <c r="O461" s="334">
        <f ca="1">IFERROR(__xludf.DUMMYFUNCTION("VLOOKUP(C461,IMPORTRANGE(""https://docs.google.com/spreadsheets/d/1rQ2O3to3MCxQ4eTnJ5b4WStW3zTBTYg21JZurI75aCM/edit?gid=1410613181#gid=1410613181"",""DATA_ABSEN_DES24""),40,0)"),20)</f>
        <v>20</v>
      </c>
      <c r="P461" s="16">
        <f t="shared" ca="1" si="381"/>
        <v>1344500</v>
      </c>
      <c r="Q461" s="16">
        <v>21</v>
      </c>
      <c r="R461" s="16">
        <f t="shared" si="382"/>
        <v>4602434.5920000002</v>
      </c>
      <c r="S461" s="16">
        <f t="shared" ca="1" si="383"/>
        <v>4602434.5920000002</v>
      </c>
      <c r="T461" s="16">
        <f t="shared" ca="1" si="384"/>
        <v>0</v>
      </c>
      <c r="U461" s="16">
        <v>100810</v>
      </c>
      <c r="V461" s="21">
        <f ca="1">IFERROR(__xludf.DUMMYFUNCTION("VLOOKUP(C461,IMPORTRANGE(""https://docs.google.com/spreadsheets/d/1rQ2O3to3MCxQ4eTnJ5b4WStW3zTBTYg21JZurI75aCM/edit?gid=1410613181#gid=1410613181"",""DATA_ABSEN_DES24""),41,0)"),0)</f>
        <v>0</v>
      </c>
      <c r="W461" s="16">
        <f t="shared" ca="1" si="385"/>
        <v>0</v>
      </c>
      <c r="X461" s="16">
        <v>0</v>
      </c>
      <c r="Y461" s="16">
        <f t="shared" ca="1" si="386"/>
        <v>4602434.5920000002</v>
      </c>
      <c r="Z461" s="21"/>
      <c r="AA461" s="21"/>
      <c r="AB461" s="21"/>
      <c r="AC461" s="21"/>
      <c r="AD461" s="21"/>
      <c r="AE461" s="16"/>
      <c r="AF461" s="351"/>
      <c r="AG461" s="351"/>
      <c r="AH461" s="16"/>
      <c r="AI461" s="16"/>
      <c r="AJ461" s="16"/>
      <c r="AK461" s="16"/>
      <c r="AL461" s="16"/>
      <c r="AM461" s="16"/>
      <c r="AN461" s="335">
        <f t="shared" ca="1" si="387"/>
        <v>4602434.5920000002</v>
      </c>
      <c r="AO461" s="20">
        <f t="shared" ca="1" si="388"/>
        <v>0</v>
      </c>
      <c r="AP461" s="20">
        <f t="shared" ca="1" si="389"/>
        <v>4602434.5920000002</v>
      </c>
      <c r="AQ461" s="20">
        <f t="shared" ca="1" si="390"/>
        <v>4602434.5920000002</v>
      </c>
      <c r="AR461" s="20">
        <f t="shared" ca="1" si="391"/>
        <v>4602400</v>
      </c>
      <c r="AS461" s="216"/>
      <c r="AT461" s="47" t="s">
        <v>9</v>
      </c>
      <c r="AU461" s="30" t="str">
        <f>VLOOKUP(AT461,TER!$R$2:$S$10,2,0)</f>
        <v>A</v>
      </c>
      <c r="AV461" s="20">
        <f t="shared" si="392"/>
        <v>3066580</v>
      </c>
      <c r="AW461" s="20">
        <f t="shared" ca="1" si="393"/>
        <v>1344500</v>
      </c>
      <c r="AX461" s="20">
        <f t="shared" ref="AX461:AY461" ca="1" si="532">W461</f>
        <v>0</v>
      </c>
      <c r="AY461" s="20">
        <f t="shared" si="532"/>
        <v>0</v>
      </c>
      <c r="AZ461" s="20">
        <f t="shared" si="395"/>
        <v>7359.7919999999995</v>
      </c>
      <c r="BA461" s="20">
        <f t="shared" si="396"/>
        <v>9199.74</v>
      </c>
      <c r="BB461" s="20">
        <f t="shared" si="397"/>
        <v>0</v>
      </c>
      <c r="BC461" s="20">
        <f t="shared" ca="1" si="398"/>
        <v>4427639.5320000006</v>
      </c>
      <c r="BD461" s="37">
        <f ca="1">IF(AU461="C",VLOOKUP(BC461,TER!$J$4:$L$50,3,TRUE),IF(AU461="B",VLOOKUP(BC461,TER!$F$4:$H$50,3,TRUE),IF(AU461="A",VLOOKUP(BC461,TER!$B$4:$D$50,3,TRUE),"ERROR")))</f>
        <v>0</v>
      </c>
      <c r="BE461" s="20">
        <f t="shared" ca="1" si="399"/>
        <v>0</v>
      </c>
      <c r="BF461" s="216"/>
      <c r="BG461" s="216"/>
    </row>
    <row r="462" spans="1:59" ht="15.75" hidden="1" customHeight="1">
      <c r="A462" s="216"/>
      <c r="B462" s="27">
        <v>124</v>
      </c>
      <c r="C462" s="247" t="s">
        <v>957</v>
      </c>
      <c r="D462" s="249" t="s">
        <v>958</v>
      </c>
      <c r="E462" s="27" t="s">
        <v>57</v>
      </c>
      <c r="F462" s="28" t="s">
        <v>959</v>
      </c>
      <c r="G462" s="27" t="s">
        <v>31</v>
      </c>
      <c r="H462" s="332" t="s">
        <v>32</v>
      </c>
      <c r="I462" s="16">
        <f t="shared" si="380"/>
        <v>3066580</v>
      </c>
      <c r="J462" s="351">
        <v>191354.592</v>
      </c>
      <c r="K462" s="351">
        <v>0</v>
      </c>
      <c r="L462" s="16">
        <v>200000</v>
      </c>
      <c r="M462" s="16">
        <f t="shared" si="527"/>
        <v>54500</v>
      </c>
      <c r="N462" s="21">
        <f ca="1">IFERROR(__xludf.DUMMYFUNCTION("VLOOKUP(C462,IMPORTRANGE(""https://docs.google.com/spreadsheets/d/1rQ2O3to3MCxQ4eTnJ5b4WStW3zTBTYg21JZurI75aCM/edit?gid=1410613181#gid=1410613181"",""DATA_ABSEN_DES24""),39,0)"),21)</f>
        <v>21</v>
      </c>
      <c r="O462" s="334">
        <f ca="1">IFERROR(__xludf.DUMMYFUNCTION("VLOOKUP(C462,IMPORTRANGE(""https://docs.google.com/spreadsheets/d/1rQ2O3to3MCxQ4eTnJ5b4WStW3zTBTYg21JZurI75aCM/edit?gid=1410613181#gid=1410613181"",""DATA_ABSEN_DES24""),40,0)"),20)</f>
        <v>20</v>
      </c>
      <c r="P462" s="16">
        <f t="shared" ca="1" si="381"/>
        <v>1344500</v>
      </c>
      <c r="Q462" s="16">
        <v>21</v>
      </c>
      <c r="R462" s="16">
        <f t="shared" si="382"/>
        <v>4602434.5920000002</v>
      </c>
      <c r="S462" s="16">
        <f t="shared" ca="1" si="383"/>
        <v>4602434.5920000002</v>
      </c>
      <c r="T462" s="16">
        <f t="shared" ca="1" si="384"/>
        <v>0</v>
      </c>
      <c r="U462" s="16">
        <v>100810</v>
      </c>
      <c r="V462" s="21">
        <f ca="1">IFERROR(__xludf.DUMMYFUNCTION("VLOOKUP(C462,IMPORTRANGE(""https://docs.google.com/spreadsheets/d/1rQ2O3to3MCxQ4eTnJ5b4WStW3zTBTYg21JZurI75aCM/edit?gid=1410613181#gid=1410613181"",""DATA_ABSEN_DES24""),41,0)"),0)</f>
        <v>0</v>
      </c>
      <c r="W462" s="16">
        <f t="shared" ca="1" si="385"/>
        <v>0</v>
      </c>
      <c r="X462" s="16">
        <v>0</v>
      </c>
      <c r="Y462" s="16">
        <f t="shared" ca="1" si="386"/>
        <v>4602434.5920000002</v>
      </c>
      <c r="Z462" s="21"/>
      <c r="AA462" s="21"/>
      <c r="AB462" s="21"/>
      <c r="AC462" s="21"/>
      <c r="AD462" s="21"/>
      <c r="AE462" s="16"/>
      <c r="AF462" s="351"/>
      <c r="AG462" s="351"/>
      <c r="AH462" s="16"/>
      <c r="AI462" s="16"/>
      <c r="AJ462" s="16"/>
      <c r="AK462" s="16"/>
      <c r="AL462" s="16"/>
      <c r="AM462" s="16"/>
      <c r="AN462" s="335">
        <f t="shared" ca="1" si="387"/>
        <v>4602434.5920000002</v>
      </c>
      <c r="AO462" s="20">
        <f t="shared" ca="1" si="388"/>
        <v>0</v>
      </c>
      <c r="AP462" s="20">
        <f t="shared" ca="1" si="389"/>
        <v>4602434.5920000002</v>
      </c>
      <c r="AQ462" s="20">
        <f t="shared" ca="1" si="390"/>
        <v>4602434.5920000002</v>
      </c>
      <c r="AR462" s="20">
        <f t="shared" ca="1" si="391"/>
        <v>4602400</v>
      </c>
      <c r="AS462" s="216"/>
      <c r="AT462" s="47" t="s">
        <v>9</v>
      </c>
      <c r="AU462" s="30" t="str">
        <f>VLOOKUP(AT462,TER!$R$2:$S$10,2,0)</f>
        <v>A</v>
      </c>
      <c r="AV462" s="20">
        <f t="shared" si="392"/>
        <v>3066580</v>
      </c>
      <c r="AW462" s="20">
        <f t="shared" ca="1" si="393"/>
        <v>1344500</v>
      </c>
      <c r="AX462" s="20">
        <f t="shared" ref="AX462:AY462" ca="1" si="533">W462</f>
        <v>0</v>
      </c>
      <c r="AY462" s="20">
        <f t="shared" si="533"/>
        <v>0</v>
      </c>
      <c r="AZ462" s="20">
        <f t="shared" si="395"/>
        <v>7359.7919999999995</v>
      </c>
      <c r="BA462" s="20">
        <f t="shared" si="396"/>
        <v>9199.74</v>
      </c>
      <c r="BB462" s="20">
        <f t="shared" si="397"/>
        <v>0</v>
      </c>
      <c r="BC462" s="20">
        <f t="shared" ca="1" si="398"/>
        <v>4427639.5320000006</v>
      </c>
      <c r="BD462" s="37">
        <f ca="1">IF(AU462="C",VLOOKUP(BC462,TER!$J$4:$L$50,3,TRUE),IF(AU462="B",VLOOKUP(BC462,TER!$F$4:$H$50,3,TRUE),IF(AU462="A",VLOOKUP(BC462,TER!$B$4:$D$50,3,TRUE),"ERROR")))</f>
        <v>0</v>
      </c>
      <c r="BE462" s="20">
        <f t="shared" ca="1" si="399"/>
        <v>0</v>
      </c>
      <c r="BF462" s="216"/>
      <c r="BG462" s="216"/>
    </row>
    <row r="463" spans="1:59" ht="15.75" hidden="1" customHeight="1">
      <c r="A463" s="216"/>
      <c r="B463" s="27">
        <v>125</v>
      </c>
      <c r="C463" s="247" t="s">
        <v>960</v>
      </c>
      <c r="D463" s="249" t="s">
        <v>961</v>
      </c>
      <c r="E463" s="27" t="s">
        <v>57</v>
      </c>
      <c r="F463" s="28" t="s">
        <v>962</v>
      </c>
      <c r="G463" s="27" t="s">
        <v>31</v>
      </c>
      <c r="H463" s="332" t="s">
        <v>32</v>
      </c>
      <c r="I463" s="16">
        <f t="shared" si="380"/>
        <v>3066580</v>
      </c>
      <c r="J463" s="351">
        <v>191354.592</v>
      </c>
      <c r="K463" s="351">
        <v>0</v>
      </c>
      <c r="L463" s="16">
        <v>200000</v>
      </c>
      <c r="M463" s="16">
        <f t="shared" si="527"/>
        <v>54500</v>
      </c>
      <c r="N463" s="21">
        <f ca="1">IFERROR(__xludf.DUMMYFUNCTION("VLOOKUP(C463,IMPORTRANGE(""https://docs.google.com/spreadsheets/d/1rQ2O3to3MCxQ4eTnJ5b4WStW3zTBTYg21JZurI75aCM/edit?gid=1410613181#gid=1410613181"",""DATA_ABSEN_DES24""),39,0)"),20)</f>
        <v>20</v>
      </c>
      <c r="O463" s="334">
        <f ca="1">IFERROR(__xludf.DUMMYFUNCTION("VLOOKUP(C463,IMPORTRANGE(""https://docs.google.com/spreadsheets/d/1rQ2O3to3MCxQ4eTnJ5b4WStW3zTBTYg21JZurI75aCM/edit?gid=1410613181#gid=1410613181"",""DATA_ABSEN_DES24""),40,0)"),20)</f>
        <v>20</v>
      </c>
      <c r="P463" s="16">
        <f t="shared" ca="1" si="381"/>
        <v>1290000</v>
      </c>
      <c r="Q463" s="16">
        <v>21</v>
      </c>
      <c r="R463" s="16">
        <f t="shared" si="382"/>
        <v>4602434.5920000002</v>
      </c>
      <c r="S463" s="16">
        <f t="shared" ca="1" si="383"/>
        <v>4547934.5920000002</v>
      </c>
      <c r="T463" s="16">
        <f t="shared" ca="1" si="384"/>
        <v>0</v>
      </c>
      <c r="U463" s="16">
        <v>100810</v>
      </c>
      <c r="V463" s="21">
        <f ca="1">IFERROR(__xludf.DUMMYFUNCTION("VLOOKUP(C463,IMPORTRANGE(""https://docs.google.com/spreadsheets/d/1rQ2O3to3MCxQ4eTnJ5b4WStW3zTBTYg21JZurI75aCM/edit?gid=1410613181#gid=1410613181"",""DATA_ABSEN_DES24""),41,0)"),0)</f>
        <v>0</v>
      </c>
      <c r="W463" s="16">
        <f t="shared" ca="1" si="385"/>
        <v>0</v>
      </c>
      <c r="X463" s="16">
        <v>0</v>
      </c>
      <c r="Y463" s="16">
        <f t="shared" ca="1" si="386"/>
        <v>4547934.5920000002</v>
      </c>
      <c r="Z463" s="21"/>
      <c r="AA463" s="21"/>
      <c r="AB463" s="21"/>
      <c r="AC463" s="21"/>
      <c r="AD463" s="21"/>
      <c r="AE463" s="16"/>
      <c r="AF463" s="351"/>
      <c r="AG463" s="351"/>
      <c r="AH463" s="16"/>
      <c r="AI463" s="16"/>
      <c r="AJ463" s="16"/>
      <c r="AK463" s="16"/>
      <c r="AL463" s="16"/>
      <c r="AM463" s="16"/>
      <c r="AN463" s="335">
        <f t="shared" ca="1" si="387"/>
        <v>4547934.5920000002</v>
      </c>
      <c r="AO463" s="20">
        <f t="shared" ca="1" si="388"/>
        <v>0</v>
      </c>
      <c r="AP463" s="20">
        <f t="shared" ca="1" si="389"/>
        <v>4547934.5920000002</v>
      </c>
      <c r="AQ463" s="20">
        <f t="shared" ca="1" si="390"/>
        <v>4547934.5920000002</v>
      </c>
      <c r="AR463" s="20">
        <f t="shared" ca="1" si="391"/>
        <v>4547900</v>
      </c>
      <c r="AS463" s="216"/>
      <c r="AT463" s="47" t="s">
        <v>9</v>
      </c>
      <c r="AU463" s="30" t="str">
        <f>VLOOKUP(AT463,TER!$R$2:$S$10,2,0)</f>
        <v>A</v>
      </c>
      <c r="AV463" s="20">
        <f t="shared" si="392"/>
        <v>3066580</v>
      </c>
      <c r="AW463" s="20">
        <f t="shared" ca="1" si="393"/>
        <v>1290000</v>
      </c>
      <c r="AX463" s="20">
        <f t="shared" ref="AX463:AY463" ca="1" si="534">W463</f>
        <v>0</v>
      </c>
      <c r="AY463" s="20">
        <f t="shared" si="534"/>
        <v>0</v>
      </c>
      <c r="AZ463" s="20">
        <f t="shared" si="395"/>
        <v>7359.7919999999995</v>
      </c>
      <c r="BA463" s="20">
        <f t="shared" si="396"/>
        <v>9199.74</v>
      </c>
      <c r="BB463" s="20">
        <f t="shared" si="397"/>
        <v>0</v>
      </c>
      <c r="BC463" s="20">
        <f t="shared" ca="1" si="398"/>
        <v>4373139.5320000006</v>
      </c>
      <c r="BD463" s="37">
        <f ca="1">IF(AU463="C",VLOOKUP(BC463,TER!$J$4:$L$50,3,TRUE),IF(AU463="B",VLOOKUP(BC463,TER!$F$4:$H$50,3,TRUE),IF(AU463="A",VLOOKUP(BC463,TER!$B$4:$D$50,3,TRUE),"ERROR")))</f>
        <v>0</v>
      </c>
      <c r="BE463" s="20">
        <f t="shared" ca="1" si="399"/>
        <v>0</v>
      </c>
      <c r="BF463" s="216"/>
      <c r="BG463" s="216"/>
    </row>
    <row r="464" spans="1:59" ht="15.75" hidden="1" customHeight="1">
      <c r="A464" s="216"/>
      <c r="B464" s="27">
        <v>126</v>
      </c>
      <c r="C464" s="247" t="s">
        <v>963</v>
      </c>
      <c r="D464" s="249" t="s">
        <v>964</v>
      </c>
      <c r="E464" s="27" t="s">
        <v>57</v>
      </c>
      <c r="F464" s="28" t="s">
        <v>965</v>
      </c>
      <c r="G464" s="27" t="s">
        <v>31</v>
      </c>
      <c r="H464" s="332" t="s">
        <v>32</v>
      </c>
      <c r="I464" s="16">
        <f t="shared" si="380"/>
        <v>3066580</v>
      </c>
      <c r="J464" s="351">
        <v>191354.592</v>
      </c>
      <c r="K464" s="351">
        <v>0</v>
      </c>
      <c r="L464" s="16">
        <v>200000</v>
      </c>
      <c r="M464" s="16">
        <f t="shared" si="527"/>
        <v>54500</v>
      </c>
      <c r="N464" s="21">
        <f ca="1">IFERROR(__xludf.DUMMYFUNCTION("VLOOKUP(C464,IMPORTRANGE(""https://docs.google.com/spreadsheets/d/1rQ2O3to3MCxQ4eTnJ5b4WStW3zTBTYg21JZurI75aCM/edit?gid=1410613181#gid=1410613181"",""DATA_ABSEN_DES24""),39,0)"),21)</f>
        <v>21</v>
      </c>
      <c r="O464" s="334">
        <f ca="1">IFERROR(__xludf.DUMMYFUNCTION("VLOOKUP(C464,IMPORTRANGE(""https://docs.google.com/spreadsheets/d/1rQ2O3to3MCxQ4eTnJ5b4WStW3zTBTYg21JZurI75aCM/edit?gid=1410613181#gid=1410613181"",""DATA_ABSEN_DES24""),40,0)"),20)</f>
        <v>20</v>
      </c>
      <c r="P464" s="16">
        <f t="shared" ca="1" si="381"/>
        <v>1344500</v>
      </c>
      <c r="Q464" s="16">
        <v>21</v>
      </c>
      <c r="R464" s="16">
        <f t="shared" si="382"/>
        <v>4602434.5920000002</v>
      </c>
      <c r="S464" s="16">
        <f t="shared" ca="1" si="383"/>
        <v>4602434.5920000002</v>
      </c>
      <c r="T464" s="16">
        <f t="shared" ca="1" si="384"/>
        <v>0</v>
      </c>
      <c r="U464" s="16">
        <v>100810</v>
      </c>
      <c r="V464" s="21">
        <f ca="1">IFERROR(__xludf.DUMMYFUNCTION("VLOOKUP(C464,IMPORTRANGE(""https://docs.google.com/spreadsheets/d/1rQ2O3to3MCxQ4eTnJ5b4WStW3zTBTYg21JZurI75aCM/edit?gid=1410613181#gid=1410613181"",""DATA_ABSEN_DES24""),41,0)"),0)</f>
        <v>0</v>
      </c>
      <c r="W464" s="16">
        <f t="shared" ca="1" si="385"/>
        <v>0</v>
      </c>
      <c r="X464" s="16">
        <v>0</v>
      </c>
      <c r="Y464" s="16">
        <f t="shared" ca="1" si="386"/>
        <v>4602434.5920000002</v>
      </c>
      <c r="Z464" s="21"/>
      <c r="AA464" s="21"/>
      <c r="AB464" s="21"/>
      <c r="AC464" s="21"/>
      <c r="AD464" s="21"/>
      <c r="AE464" s="16"/>
      <c r="AF464" s="351"/>
      <c r="AG464" s="351"/>
      <c r="AH464" s="16"/>
      <c r="AI464" s="16"/>
      <c r="AJ464" s="16"/>
      <c r="AK464" s="16"/>
      <c r="AL464" s="16"/>
      <c r="AM464" s="16"/>
      <c r="AN464" s="335">
        <f t="shared" ca="1" si="387"/>
        <v>4602434.5920000002</v>
      </c>
      <c r="AO464" s="20">
        <f t="shared" ca="1" si="388"/>
        <v>0</v>
      </c>
      <c r="AP464" s="20">
        <f t="shared" ca="1" si="389"/>
        <v>4602434.5920000002</v>
      </c>
      <c r="AQ464" s="20">
        <f t="shared" ca="1" si="390"/>
        <v>4602434.5920000002</v>
      </c>
      <c r="AR464" s="20">
        <f t="shared" ca="1" si="391"/>
        <v>4602400</v>
      </c>
      <c r="AS464" s="216"/>
      <c r="AT464" s="47" t="s">
        <v>9</v>
      </c>
      <c r="AU464" s="30" t="str">
        <f>VLOOKUP(AT464,TER!$R$2:$S$10,2,0)</f>
        <v>A</v>
      </c>
      <c r="AV464" s="20">
        <f t="shared" si="392"/>
        <v>3066580</v>
      </c>
      <c r="AW464" s="20">
        <f t="shared" ca="1" si="393"/>
        <v>1344500</v>
      </c>
      <c r="AX464" s="20">
        <f t="shared" ref="AX464:AY464" ca="1" si="535">W464</f>
        <v>0</v>
      </c>
      <c r="AY464" s="20">
        <f t="shared" si="535"/>
        <v>0</v>
      </c>
      <c r="AZ464" s="20">
        <f t="shared" si="395"/>
        <v>7359.7919999999995</v>
      </c>
      <c r="BA464" s="20">
        <f t="shared" si="396"/>
        <v>9199.74</v>
      </c>
      <c r="BB464" s="20">
        <f t="shared" si="397"/>
        <v>0</v>
      </c>
      <c r="BC464" s="20">
        <f t="shared" ca="1" si="398"/>
        <v>4427639.5320000006</v>
      </c>
      <c r="BD464" s="37">
        <f ca="1">IF(AU464="C",VLOOKUP(BC464,TER!$J$4:$L$50,3,TRUE),IF(AU464="B",VLOOKUP(BC464,TER!$F$4:$H$50,3,TRUE),IF(AU464="A",VLOOKUP(BC464,TER!$B$4:$D$50,3,TRUE),"ERROR")))</f>
        <v>0</v>
      </c>
      <c r="BE464" s="20">
        <f t="shared" ca="1" si="399"/>
        <v>0</v>
      </c>
      <c r="BF464" s="216"/>
      <c r="BG464" s="216"/>
    </row>
    <row r="465" spans="1:59" ht="15.75" hidden="1" customHeight="1">
      <c r="A465" s="216"/>
      <c r="B465" s="27">
        <v>127</v>
      </c>
      <c r="C465" s="247" t="s">
        <v>966</v>
      </c>
      <c r="D465" s="249" t="s">
        <v>967</v>
      </c>
      <c r="E465" s="27" t="s">
        <v>57</v>
      </c>
      <c r="F465" s="28" t="s">
        <v>968</v>
      </c>
      <c r="G465" s="27" t="s">
        <v>31</v>
      </c>
      <c r="H465" s="332" t="s">
        <v>32</v>
      </c>
      <c r="I465" s="16">
        <f t="shared" si="380"/>
        <v>3066580</v>
      </c>
      <c r="J465" s="351">
        <v>191354.592</v>
      </c>
      <c r="K465" s="351">
        <v>0</v>
      </c>
      <c r="L465" s="16">
        <v>200000</v>
      </c>
      <c r="M465" s="16">
        <f t="shared" si="527"/>
        <v>54500</v>
      </c>
      <c r="N465" s="21">
        <f ca="1">IFERROR(__xludf.DUMMYFUNCTION("VLOOKUP(C465,IMPORTRANGE(""https://docs.google.com/spreadsheets/d/1rQ2O3to3MCxQ4eTnJ5b4WStW3zTBTYg21JZurI75aCM/edit?gid=1410613181#gid=1410613181"",""DATA_ABSEN_DES24""),39,0)"),21)</f>
        <v>21</v>
      </c>
      <c r="O465" s="334">
        <f ca="1">IFERROR(__xludf.DUMMYFUNCTION("VLOOKUP(C465,IMPORTRANGE(""https://docs.google.com/spreadsheets/d/1rQ2O3to3MCxQ4eTnJ5b4WStW3zTBTYg21JZurI75aCM/edit?gid=1410613181#gid=1410613181"",""DATA_ABSEN_DES24""),40,0)"),20)</f>
        <v>20</v>
      </c>
      <c r="P465" s="16">
        <f t="shared" ca="1" si="381"/>
        <v>1344500</v>
      </c>
      <c r="Q465" s="16">
        <v>21</v>
      </c>
      <c r="R465" s="16">
        <f t="shared" si="382"/>
        <v>4602434.5920000002</v>
      </c>
      <c r="S465" s="16">
        <f t="shared" ca="1" si="383"/>
        <v>4602434.5920000002</v>
      </c>
      <c r="T465" s="16">
        <f t="shared" ca="1" si="384"/>
        <v>0</v>
      </c>
      <c r="U465" s="16">
        <v>100810</v>
      </c>
      <c r="V465" s="21">
        <f ca="1">IFERROR(__xludf.DUMMYFUNCTION("VLOOKUP(C465,IMPORTRANGE(""https://docs.google.com/spreadsheets/d/1rQ2O3to3MCxQ4eTnJ5b4WStW3zTBTYg21JZurI75aCM/edit?gid=1410613181#gid=1410613181"",""DATA_ABSEN_DES24""),41,0)"),0)</f>
        <v>0</v>
      </c>
      <c r="W465" s="16">
        <f t="shared" ca="1" si="385"/>
        <v>0</v>
      </c>
      <c r="X465" s="16">
        <v>0</v>
      </c>
      <c r="Y465" s="16">
        <f t="shared" ca="1" si="386"/>
        <v>4602434.5920000002</v>
      </c>
      <c r="Z465" s="21"/>
      <c r="AA465" s="21"/>
      <c r="AB465" s="21"/>
      <c r="AC465" s="21"/>
      <c r="AD465" s="21"/>
      <c r="AE465" s="16"/>
      <c r="AF465" s="351"/>
      <c r="AG465" s="351"/>
      <c r="AH465" s="16"/>
      <c r="AI465" s="16"/>
      <c r="AJ465" s="16"/>
      <c r="AK465" s="16"/>
      <c r="AL465" s="16"/>
      <c r="AM465" s="16"/>
      <c r="AN465" s="335">
        <f t="shared" ca="1" si="387"/>
        <v>4602434.5920000002</v>
      </c>
      <c r="AO465" s="20">
        <f t="shared" ca="1" si="388"/>
        <v>0</v>
      </c>
      <c r="AP465" s="20">
        <f t="shared" ca="1" si="389"/>
        <v>4602434.5920000002</v>
      </c>
      <c r="AQ465" s="20">
        <f t="shared" ca="1" si="390"/>
        <v>4602434.5920000002</v>
      </c>
      <c r="AR465" s="20">
        <f t="shared" ca="1" si="391"/>
        <v>4602400</v>
      </c>
      <c r="AS465" s="216"/>
      <c r="AT465" s="47" t="s">
        <v>9</v>
      </c>
      <c r="AU465" s="30" t="str">
        <f>VLOOKUP(AT465,TER!$R$2:$S$10,2,0)</f>
        <v>A</v>
      </c>
      <c r="AV465" s="20">
        <f t="shared" si="392"/>
        <v>3066580</v>
      </c>
      <c r="AW465" s="20">
        <f t="shared" ca="1" si="393"/>
        <v>1344500</v>
      </c>
      <c r="AX465" s="20">
        <f t="shared" ref="AX465:AY465" ca="1" si="536">W465</f>
        <v>0</v>
      </c>
      <c r="AY465" s="20">
        <f t="shared" si="536"/>
        <v>0</v>
      </c>
      <c r="AZ465" s="20">
        <f t="shared" si="395"/>
        <v>7359.7919999999995</v>
      </c>
      <c r="BA465" s="20">
        <f t="shared" si="396"/>
        <v>9199.74</v>
      </c>
      <c r="BB465" s="20">
        <f t="shared" si="397"/>
        <v>0</v>
      </c>
      <c r="BC465" s="20">
        <f t="shared" ca="1" si="398"/>
        <v>4427639.5320000006</v>
      </c>
      <c r="BD465" s="37">
        <f ca="1">IF(AU465="C",VLOOKUP(BC465,TER!$J$4:$L$50,3,TRUE),IF(AU465="B",VLOOKUP(BC465,TER!$F$4:$H$50,3,TRUE),IF(AU465="A",VLOOKUP(BC465,TER!$B$4:$D$50,3,TRUE),"ERROR")))</f>
        <v>0</v>
      </c>
      <c r="BE465" s="20">
        <f t="shared" ca="1" si="399"/>
        <v>0</v>
      </c>
      <c r="BF465" s="216"/>
      <c r="BG465" s="216"/>
    </row>
    <row r="466" spans="1:59" ht="15.75" hidden="1" customHeight="1">
      <c r="A466" s="216"/>
      <c r="B466" s="27">
        <v>128</v>
      </c>
      <c r="C466" s="247" t="s">
        <v>248</v>
      </c>
      <c r="D466" s="249" t="s">
        <v>249</v>
      </c>
      <c r="E466" s="27" t="s">
        <v>57</v>
      </c>
      <c r="F466" s="28" t="s">
        <v>250</v>
      </c>
      <c r="G466" s="27" t="s">
        <v>31</v>
      </c>
      <c r="H466" s="332" t="s">
        <v>32</v>
      </c>
      <c r="I466" s="16">
        <f t="shared" si="380"/>
        <v>3066580</v>
      </c>
      <c r="J466" s="351">
        <v>191354.592</v>
      </c>
      <c r="K466" s="351">
        <v>0</v>
      </c>
      <c r="L466" s="16">
        <v>200000</v>
      </c>
      <c r="M466" s="16">
        <f t="shared" si="527"/>
        <v>54500</v>
      </c>
      <c r="N466" s="21">
        <f ca="1">IFERROR(__xludf.DUMMYFUNCTION("VLOOKUP(C466,IMPORTRANGE(""https://docs.google.com/spreadsheets/d/1rQ2O3to3MCxQ4eTnJ5b4WStW3zTBTYg21JZurI75aCM/edit?gid=1410613181#gid=1410613181"",""DATA_ABSEN_DES24""),39,0)"),21)</f>
        <v>21</v>
      </c>
      <c r="O466" s="334">
        <f ca="1">IFERROR(__xludf.DUMMYFUNCTION("VLOOKUP(C466,IMPORTRANGE(""https://docs.google.com/spreadsheets/d/1rQ2O3to3MCxQ4eTnJ5b4WStW3zTBTYg21JZurI75aCM/edit?gid=1410613181#gid=1410613181"",""DATA_ABSEN_DES24""),40,0)"),20)</f>
        <v>20</v>
      </c>
      <c r="P466" s="16">
        <f t="shared" ca="1" si="381"/>
        <v>1344500</v>
      </c>
      <c r="Q466" s="16">
        <v>21</v>
      </c>
      <c r="R466" s="16">
        <f t="shared" si="382"/>
        <v>4602434.5920000002</v>
      </c>
      <c r="S466" s="16">
        <f t="shared" ca="1" si="383"/>
        <v>4602434.5920000002</v>
      </c>
      <c r="T466" s="16">
        <f t="shared" ca="1" si="384"/>
        <v>0</v>
      </c>
      <c r="U466" s="16">
        <v>100810</v>
      </c>
      <c r="V466" s="21">
        <f ca="1">IFERROR(__xludf.DUMMYFUNCTION("VLOOKUP(C466,IMPORTRANGE(""https://docs.google.com/spreadsheets/d/1rQ2O3to3MCxQ4eTnJ5b4WStW3zTBTYg21JZurI75aCM/edit?gid=1410613181#gid=1410613181"",""DATA_ABSEN_DES24""),41,0)"),0)</f>
        <v>0</v>
      </c>
      <c r="W466" s="16">
        <f t="shared" ca="1" si="385"/>
        <v>0</v>
      </c>
      <c r="X466" s="16">
        <v>0</v>
      </c>
      <c r="Y466" s="16">
        <f t="shared" ca="1" si="386"/>
        <v>4602434.5920000002</v>
      </c>
      <c r="Z466" s="21"/>
      <c r="AA466" s="21"/>
      <c r="AB466" s="21"/>
      <c r="AC466" s="21"/>
      <c r="AD466" s="21"/>
      <c r="AE466" s="16"/>
      <c r="AF466" s="351"/>
      <c r="AG466" s="351"/>
      <c r="AH466" s="16"/>
      <c r="AI466" s="16"/>
      <c r="AJ466" s="16"/>
      <c r="AK466" s="16"/>
      <c r="AL466" s="16"/>
      <c r="AM466" s="16"/>
      <c r="AN466" s="335">
        <f t="shared" ca="1" si="387"/>
        <v>4602434.5920000002</v>
      </c>
      <c r="AO466" s="20">
        <f t="shared" ca="1" si="388"/>
        <v>0</v>
      </c>
      <c r="AP466" s="20">
        <f t="shared" ca="1" si="389"/>
        <v>4602434.5920000002</v>
      </c>
      <c r="AQ466" s="20">
        <f t="shared" ca="1" si="390"/>
        <v>4602434.5920000002</v>
      </c>
      <c r="AR466" s="20">
        <f t="shared" ca="1" si="391"/>
        <v>4602400</v>
      </c>
      <c r="AS466" s="216"/>
      <c r="AT466" s="47" t="s">
        <v>9</v>
      </c>
      <c r="AU466" s="30" t="str">
        <f>VLOOKUP(AT466,TER!$R$2:$S$10,2,0)</f>
        <v>A</v>
      </c>
      <c r="AV466" s="20">
        <f t="shared" si="392"/>
        <v>3066580</v>
      </c>
      <c r="AW466" s="20">
        <f t="shared" ca="1" si="393"/>
        <v>1344500</v>
      </c>
      <c r="AX466" s="20">
        <f t="shared" ref="AX466:AY466" ca="1" si="537">W466</f>
        <v>0</v>
      </c>
      <c r="AY466" s="20">
        <f t="shared" si="537"/>
        <v>0</v>
      </c>
      <c r="AZ466" s="20">
        <f t="shared" si="395"/>
        <v>7359.7919999999995</v>
      </c>
      <c r="BA466" s="20">
        <f t="shared" si="396"/>
        <v>9199.74</v>
      </c>
      <c r="BB466" s="20">
        <f t="shared" si="397"/>
        <v>0</v>
      </c>
      <c r="BC466" s="20">
        <f t="shared" ca="1" si="398"/>
        <v>4427639.5320000006</v>
      </c>
      <c r="BD466" s="37">
        <f ca="1">IF(AU466="C",VLOOKUP(BC466,TER!$J$4:$L$50,3,TRUE),IF(AU466="B",VLOOKUP(BC466,TER!$F$4:$H$50,3,TRUE),IF(AU466="A",VLOOKUP(BC466,TER!$B$4:$D$50,3,TRUE),"ERROR")))</f>
        <v>0</v>
      </c>
      <c r="BE466" s="20">
        <f t="shared" ca="1" si="399"/>
        <v>0</v>
      </c>
      <c r="BF466" s="216"/>
      <c r="BG466" s="216"/>
    </row>
    <row r="467" spans="1:59" ht="15.75" hidden="1" customHeight="1">
      <c r="A467" s="216"/>
      <c r="B467" s="27">
        <v>129</v>
      </c>
      <c r="C467" s="247" t="s">
        <v>969</v>
      </c>
      <c r="D467" s="248" t="s">
        <v>970</v>
      </c>
      <c r="E467" s="27" t="s">
        <v>57</v>
      </c>
      <c r="F467" s="28" t="s">
        <v>971</v>
      </c>
      <c r="G467" s="27" t="s">
        <v>31</v>
      </c>
      <c r="H467" s="332" t="s">
        <v>32</v>
      </c>
      <c r="I467" s="16">
        <f t="shared" si="380"/>
        <v>3066580</v>
      </c>
      <c r="J467" s="351">
        <v>191354.592</v>
      </c>
      <c r="K467" s="351">
        <v>0</v>
      </c>
      <c r="L467" s="16">
        <v>200000</v>
      </c>
      <c r="M467" s="16">
        <f t="shared" si="527"/>
        <v>54500</v>
      </c>
      <c r="N467" s="21">
        <f ca="1">IFERROR(__xludf.DUMMYFUNCTION("VLOOKUP(C467,IMPORTRANGE(""https://docs.google.com/spreadsheets/d/1rQ2O3to3MCxQ4eTnJ5b4WStW3zTBTYg21JZurI75aCM/edit?gid=1410613181#gid=1410613181"",""DATA_ABSEN_DES24""),39,0)"),21)</f>
        <v>21</v>
      </c>
      <c r="O467" s="334">
        <f ca="1">IFERROR(__xludf.DUMMYFUNCTION("VLOOKUP(C467,IMPORTRANGE(""https://docs.google.com/spreadsheets/d/1rQ2O3to3MCxQ4eTnJ5b4WStW3zTBTYg21JZurI75aCM/edit?gid=1410613181#gid=1410613181"",""DATA_ABSEN_DES24""),40,0)"),20)</f>
        <v>20</v>
      </c>
      <c r="P467" s="16">
        <f t="shared" ca="1" si="381"/>
        <v>1344500</v>
      </c>
      <c r="Q467" s="16">
        <v>21</v>
      </c>
      <c r="R467" s="16">
        <f t="shared" si="382"/>
        <v>4602434.5920000002</v>
      </c>
      <c r="S467" s="16">
        <f t="shared" ca="1" si="383"/>
        <v>4602434.5920000002</v>
      </c>
      <c r="T467" s="16">
        <f t="shared" ca="1" si="384"/>
        <v>0</v>
      </c>
      <c r="U467" s="16">
        <v>100810</v>
      </c>
      <c r="V467" s="21">
        <f ca="1">IFERROR(__xludf.DUMMYFUNCTION("VLOOKUP(C467,IMPORTRANGE(""https://docs.google.com/spreadsheets/d/1rQ2O3to3MCxQ4eTnJ5b4WStW3zTBTYg21JZurI75aCM/edit?gid=1410613181#gid=1410613181"",""DATA_ABSEN_DES24""),41,0)"),0)</f>
        <v>0</v>
      </c>
      <c r="W467" s="16">
        <f t="shared" ca="1" si="385"/>
        <v>0</v>
      </c>
      <c r="X467" s="16">
        <v>0</v>
      </c>
      <c r="Y467" s="16">
        <f t="shared" ca="1" si="386"/>
        <v>4602434.5920000002</v>
      </c>
      <c r="Z467" s="21"/>
      <c r="AA467" s="21"/>
      <c r="AB467" s="21"/>
      <c r="AC467" s="21"/>
      <c r="AD467" s="21"/>
      <c r="AE467" s="16"/>
      <c r="AF467" s="351"/>
      <c r="AG467" s="351"/>
      <c r="AH467" s="16"/>
      <c r="AI467" s="16"/>
      <c r="AJ467" s="16"/>
      <c r="AK467" s="16"/>
      <c r="AL467" s="16"/>
      <c r="AM467" s="16"/>
      <c r="AN467" s="335">
        <f t="shared" ca="1" si="387"/>
        <v>4602434.5920000002</v>
      </c>
      <c r="AO467" s="20">
        <f t="shared" ca="1" si="388"/>
        <v>0</v>
      </c>
      <c r="AP467" s="20">
        <f t="shared" ca="1" si="389"/>
        <v>4602434.5920000002</v>
      </c>
      <c r="AQ467" s="20">
        <f t="shared" ca="1" si="390"/>
        <v>4602434.5920000002</v>
      </c>
      <c r="AR467" s="20">
        <f t="shared" ca="1" si="391"/>
        <v>4602400</v>
      </c>
      <c r="AS467" s="216"/>
      <c r="AT467" s="47" t="s">
        <v>9</v>
      </c>
      <c r="AU467" s="30" t="str">
        <f>VLOOKUP(AT467,TER!$R$2:$S$10,2,0)</f>
        <v>A</v>
      </c>
      <c r="AV467" s="20">
        <f t="shared" si="392"/>
        <v>3066580</v>
      </c>
      <c r="AW467" s="20">
        <f t="shared" ca="1" si="393"/>
        <v>1344500</v>
      </c>
      <c r="AX467" s="20">
        <f t="shared" ref="AX467:AY467" ca="1" si="538">W467</f>
        <v>0</v>
      </c>
      <c r="AY467" s="20">
        <f t="shared" si="538"/>
        <v>0</v>
      </c>
      <c r="AZ467" s="20">
        <f t="shared" si="395"/>
        <v>7359.7919999999995</v>
      </c>
      <c r="BA467" s="20">
        <f t="shared" si="396"/>
        <v>9199.74</v>
      </c>
      <c r="BB467" s="20">
        <f t="shared" si="397"/>
        <v>0</v>
      </c>
      <c r="BC467" s="20">
        <f t="shared" ca="1" si="398"/>
        <v>4427639.5320000006</v>
      </c>
      <c r="BD467" s="37">
        <f ca="1">IF(AU467="C",VLOOKUP(BC467,TER!$J$4:$L$50,3,TRUE),IF(AU467="B",VLOOKUP(BC467,TER!$F$4:$H$50,3,TRUE),IF(AU467="A",VLOOKUP(BC467,TER!$B$4:$D$50,3,TRUE),"ERROR")))</f>
        <v>0</v>
      </c>
      <c r="BE467" s="20">
        <f t="shared" ca="1" si="399"/>
        <v>0</v>
      </c>
      <c r="BF467" s="216"/>
      <c r="BG467" s="216"/>
    </row>
    <row r="468" spans="1:59" ht="15.75" hidden="1" customHeight="1">
      <c r="A468" s="216"/>
      <c r="B468" s="27">
        <v>130</v>
      </c>
      <c r="C468" s="28"/>
      <c r="D468" s="29" t="s">
        <v>972</v>
      </c>
      <c r="E468" s="27" t="s">
        <v>57</v>
      </c>
      <c r="F468" s="28" t="s">
        <v>973</v>
      </c>
      <c r="G468" s="27" t="s">
        <v>974</v>
      </c>
      <c r="H468" s="332" t="s">
        <v>32</v>
      </c>
      <c r="I468" s="16">
        <f t="shared" si="380"/>
        <v>3066580</v>
      </c>
      <c r="J468" s="16">
        <v>0</v>
      </c>
      <c r="K468" s="16">
        <v>0</v>
      </c>
      <c r="L468" s="16"/>
      <c r="M468" s="16"/>
      <c r="N468" s="21"/>
      <c r="O468" s="21"/>
      <c r="P468" s="16">
        <f t="shared" si="381"/>
        <v>0</v>
      </c>
      <c r="Q468" s="16"/>
      <c r="R468" s="16">
        <f t="shared" si="382"/>
        <v>3066580</v>
      </c>
      <c r="S468" s="16">
        <f t="shared" si="383"/>
        <v>3066580</v>
      </c>
      <c r="T468" s="16">
        <f t="shared" si="384"/>
        <v>0</v>
      </c>
      <c r="U468" s="16">
        <v>100810</v>
      </c>
      <c r="V468" s="21" t="str">
        <f ca="1">IFERROR(__xludf.DUMMYFUNCTION("VLOOKUP(C468,IMPORTRANGE(""https://docs.google.com/spreadsheets/d/1rQ2O3to3MCxQ4eTnJ5b4WStW3zTBTYg21JZurI75aCM/edit?gid=95177832#gid=95177832"",""DATA_ABSEN_DES24""),41,0)"),"#N/A")</f>
        <v>#N/A</v>
      </c>
      <c r="W468" s="16" t="e">
        <f t="shared" ca="1" si="385"/>
        <v>#VALUE!</v>
      </c>
      <c r="X468" s="16">
        <v>0</v>
      </c>
      <c r="Y468" s="16" t="e">
        <f t="shared" ca="1" si="386"/>
        <v>#VALUE!</v>
      </c>
      <c r="Z468" s="352"/>
      <c r="AA468" s="352"/>
      <c r="AB468" s="352"/>
      <c r="AC468" s="352"/>
      <c r="AD468" s="21"/>
      <c r="AE468" s="16"/>
      <c r="AF468" s="16"/>
      <c r="AG468" s="16"/>
      <c r="AH468" s="16"/>
      <c r="AI468" s="16"/>
      <c r="AJ468" s="16"/>
      <c r="AK468" s="16"/>
      <c r="AL468" s="16"/>
      <c r="AM468" s="16"/>
      <c r="AN468" s="335" t="e">
        <f t="shared" ca="1" si="387"/>
        <v>#VALUE!</v>
      </c>
      <c r="AO468" s="20">
        <f t="shared" si="388"/>
        <v>0</v>
      </c>
      <c r="AP468" s="20" t="e">
        <f t="shared" ca="1" si="389"/>
        <v>#VALUE!</v>
      </c>
      <c r="AQ468" s="20" t="e">
        <f t="shared" ca="1" si="390"/>
        <v>#VALUE!</v>
      </c>
      <c r="AR468" s="20" t="e">
        <f t="shared" ca="1" si="391"/>
        <v>#VALUE!</v>
      </c>
      <c r="AS468" s="216"/>
      <c r="AT468" s="30"/>
      <c r="AU468" s="30"/>
      <c r="AV468" s="20"/>
      <c r="AW468" s="20"/>
      <c r="AX468" s="20"/>
      <c r="AY468" s="20"/>
      <c r="AZ468" s="20"/>
      <c r="BA468" s="20"/>
      <c r="BB468" s="20"/>
      <c r="BC468" s="20"/>
      <c r="BD468" s="37"/>
      <c r="BE468" s="20"/>
      <c r="BF468" s="216"/>
      <c r="BG468" s="216"/>
    </row>
    <row r="469" spans="1:59" ht="15.75" hidden="1" customHeight="1">
      <c r="A469" s="216"/>
      <c r="B469" s="14"/>
      <c r="C469" s="421" t="s">
        <v>251</v>
      </c>
      <c r="D469" s="411"/>
      <c r="E469" s="38"/>
      <c r="F469" s="39"/>
      <c r="G469" s="38"/>
      <c r="H469" s="346"/>
      <c r="I469" s="15" t="e">
        <f t="shared" ref="I469:L469" ca="1" si="539">SUM(I339:I468)</f>
        <v>#VALUE!</v>
      </c>
      <c r="J469" s="15">
        <f t="shared" si="539"/>
        <v>24792907.776000019</v>
      </c>
      <c r="K469" s="15">
        <f t="shared" si="539"/>
        <v>14420931.199999973</v>
      </c>
      <c r="L469" s="15" t="e">
        <f t="shared" ca="1" si="539"/>
        <v>#VALUE!</v>
      </c>
      <c r="M469" s="15"/>
      <c r="N469" s="353">
        <f ca="1">SUM(N339:N468)</f>
        <v>2577</v>
      </c>
      <c r="O469" s="18"/>
      <c r="P469" s="15" t="e">
        <f ca="1">SUM(P339:P468)</f>
        <v>#VALUE!</v>
      </c>
      <c r="Q469" s="15"/>
      <c r="R469" s="15" t="e">
        <f t="shared" ref="R469:T469" ca="1" si="540">SUM(R339:R468)</f>
        <v>#VALUE!</v>
      </c>
      <c r="S469" s="15" t="e">
        <f t="shared" ca="1" si="540"/>
        <v>#VALUE!</v>
      </c>
      <c r="T469" s="15" t="e">
        <f t="shared" ca="1" si="540"/>
        <v>#VALUE!</v>
      </c>
      <c r="U469" s="15"/>
      <c r="V469" s="18">
        <f t="shared" ref="V469:Y469" ca="1" si="541">SUM(V339:V468)</f>
        <v>0</v>
      </c>
      <c r="W469" s="15" t="e">
        <f t="shared" ca="1" si="541"/>
        <v>#VALUE!</v>
      </c>
      <c r="X469" s="15">
        <f t="shared" si="541"/>
        <v>0</v>
      </c>
      <c r="Y469" s="15" t="e">
        <f t="shared" ca="1" si="541"/>
        <v>#VALUE!</v>
      </c>
      <c r="Z469" s="18"/>
      <c r="AA469" s="18"/>
      <c r="AB469" s="18"/>
      <c r="AC469" s="18"/>
      <c r="AD469" s="18"/>
      <c r="AE469" s="15"/>
      <c r="AF469" s="15"/>
      <c r="AG469" s="15"/>
      <c r="AH469" s="15"/>
      <c r="AI469" s="15"/>
      <c r="AJ469" s="15"/>
      <c r="AK469" s="15"/>
      <c r="AL469" s="15"/>
      <c r="AM469" s="15"/>
      <c r="AN469" s="347" t="e">
        <f t="shared" ref="AN469:AR469" ca="1" si="542">SUM(AN339:AN468)</f>
        <v>#VALUE!</v>
      </c>
      <c r="AO469" s="41" t="e">
        <f t="shared" ca="1" si="542"/>
        <v>#VALUE!</v>
      </c>
      <c r="AP469" s="41" t="e">
        <f t="shared" ca="1" si="542"/>
        <v>#VALUE!</v>
      </c>
      <c r="AQ469" s="41" t="e">
        <f t="shared" ca="1" si="542"/>
        <v>#VALUE!</v>
      </c>
      <c r="AR469" s="41" t="e">
        <f t="shared" ca="1" si="542"/>
        <v>#VALUE!</v>
      </c>
      <c r="AS469" s="216"/>
      <c r="AT469" s="216"/>
      <c r="AU469" s="15"/>
      <c r="AV469" s="15"/>
      <c r="AW469" s="18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</row>
    <row r="470" spans="1:59" ht="15.75" hidden="1" customHeight="1">
      <c r="A470" s="216"/>
      <c r="B470" s="14"/>
      <c r="C470" s="12"/>
      <c r="D470" s="12"/>
      <c r="E470" s="12"/>
      <c r="F470" s="13"/>
      <c r="G470" s="13"/>
      <c r="H470" s="12"/>
      <c r="I470" s="15"/>
      <c r="J470" s="15">
        <f t="shared" ref="J470:K470" si="543">COUNT(J339:J468)-COUNTIF(J339:J468,0)</f>
        <v>129</v>
      </c>
      <c r="K470" s="15">
        <f t="shared" si="543"/>
        <v>117</v>
      </c>
      <c r="L470" s="15"/>
      <c r="M470" s="15"/>
      <c r="N470" s="18"/>
      <c r="O470" s="18"/>
      <c r="P470" s="18"/>
      <c r="Q470" s="15"/>
      <c r="R470" s="15"/>
      <c r="S470" s="15"/>
      <c r="T470" s="15"/>
      <c r="U470" s="15"/>
      <c r="V470" s="15"/>
      <c r="W470" s="18"/>
      <c r="X470" s="15"/>
      <c r="Y470" s="15"/>
      <c r="Z470" s="18"/>
      <c r="AA470" s="18"/>
      <c r="AB470" s="18"/>
      <c r="AC470" s="18"/>
      <c r="AD470" s="18"/>
      <c r="AE470" s="15"/>
      <c r="AF470" s="15"/>
      <c r="AG470" s="15"/>
      <c r="AH470" s="15"/>
      <c r="AI470" s="15"/>
      <c r="AJ470" s="15"/>
      <c r="AK470" s="15"/>
      <c r="AL470" s="15"/>
      <c r="AM470" s="15"/>
      <c r="AN470" s="216"/>
      <c r="AO470" s="15"/>
      <c r="AP470" s="15"/>
      <c r="AQ470" s="15"/>
      <c r="AR470" s="15"/>
      <c r="AS470" s="216"/>
      <c r="AT470" s="15"/>
      <c r="AU470" s="15"/>
      <c r="AV470" s="15"/>
      <c r="AW470" s="18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</row>
    <row r="471" spans="1:59" ht="13.5" hidden="1" customHeight="1">
      <c r="A471" s="7"/>
      <c r="B471" s="27">
        <v>99</v>
      </c>
      <c r="C471" s="421" t="s">
        <v>84</v>
      </c>
      <c r="D471" s="411"/>
      <c r="E471" s="38"/>
      <c r="F471" s="39"/>
      <c r="G471" s="38"/>
      <c r="H471" s="346"/>
      <c r="I471" s="15">
        <f t="shared" ref="I471:L471" si="544">SUM(I156:I253)</f>
        <v>314492320</v>
      </c>
      <c r="J471" s="15">
        <f t="shared" si="544"/>
        <v>19422392</v>
      </c>
      <c r="K471" s="15">
        <f t="shared" si="544"/>
        <v>12167280</v>
      </c>
      <c r="L471" s="15">
        <f t="shared" si="544"/>
        <v>239058901</v>
      </c>
      <c r="M471" s="15"/>
      <c r="N471" s="18">
        <f t="shared" ref="N471:P471" ca="1" si="545">SUM(N156:N253)</f>
        <v>2053</v>
      </c>
      <c r="O471" s="18">
        <f t="shared" ca="1" si="545"/>
        <v>2116</v>
      </c>
      <c r="P471" s="15">
        <f t="shared" ca="1" si="545"/>
        <v>228365373.27095243</v>
      </c>
      <c r="Q471" s="15"/>
      <c r="R471" s="15">
        <f t="shared" ref="R471:T471" si="546">SUM(R156:R253)</f>
        <v>585140893</v>
      </c>
      <c r="S471" s="15">
        <f t="shared" ca="1" si="546"/>
        <v>574447365.27095234</v>
      </c>
      <c r="T471" s="15">
        <f t="shared" ca="1" si="546"/>
        <v>0</v>
      </c>
      <c r="U471" s="15"/>
      <c r="V471" s="56">
        <f t="shared" ref="V471:Y471" ca="1" si="547">SUM(V156:V253)</f>
        <v>141</v>
      </c>
      <c r="W471" s="15">
        <f t="shared" ca="1" si="547"/>
        <v>35861646</v>
      </c>
      <c r="X471" s="15">
        <f t="shared" si="547"/>
        <v>0</v>
      </c>
      <c r="Y471" s="15">
        <f t="shared" ca="1" si="547"/>
        <v>604335026.77095234</v>
      </c>
      <c r="Z471" s="18"/>
      <c r="AA471" s="18"/>
      <c r="AB471" s="18"/>
      <c r="AC471" s="18"/>
      <c r="AD471" s="18"/>
      <c r="AE471" s="15"/>
      <c r="AF471" s="15"/>
      <c r="AG471" s="15"/>
      <c r="AH471" s="15"/>
      <c r="AI471" s="15"/>
      <c r="AJ471" s="15"/>
      <c r="AK471" s="15"/>
      <c r="AL471" s="15"/>
      <c r="AM471" s="15"/>
      <c r="AN471" s="347">
        <f t="shared" ref="AN471:AR471" ca="1" si="548">SUM(AN156:AN253)</f>
        <v>545823169.77095222</v>
      </c>
      <c r="AO471" s="41">
        <f t="shared" ca="1" si="548"/>
        <v>5699503.2202000003</v>
      </c>
      <c r="AP471" s="41">
        <f t="shared" ca="1" si="548"/>
        <v>540123666.55075216</v>
      </c>
      <c r="AQ471" s="41">
        <f t="shared" ca="1" si="548"/>
        <v>540123666.55075216</v>
      </c>
      <c r="AR471" s="41">
        <f t="shared" ca="1" si="548"/>
        <v>540123666.55075216</v>
      </c>
      <c r="AS471" s="216"/>
      <c r="AT471" s="216"/>
      <c r="AU471" s="15"/>
      <c r="AV471" s="15"/>
      <c r="AW471" s="18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</row>
    <row r="472" spans="1:59" ht="15.75" customHeight="1">
      <c r="A472" s="216"/>
      <c r="B472" s="12"/>
      <c r="C472" s="12"/>
      <c r="D472" s="13"/>
      <c r="E472" s="12"/>
      <c r="F472" s="13"/>
      <c r="G472" s="13"/>
      <c r="H472" s="12"/>
      <c r="I472" s="18"/>
      <c r="J472" s="16"/>
      <c r="K472" s="16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6"/>
      <c r="AH472" s="16"/>
      <c r="AI472" s="18"/>
      <c r="AJ472" s="18"/>
      <c r="AK472" s="18"/>
      <c r="AL472" s="18"/>
      <c r="AM472" s="18"/>
      <c r="AN472" s="216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</row>
    <row r="473" spans="1:59" ht="15.75" customHeight="1">
      <c r="A473" s="216"/>
      <c r="B473" s="12"/>
      <c r="C473" s="12"/>
      <c r="D473" s="13"/>
      <c r="E473" s="12"/>
      <c r="F473" s="13"/>
      <c r="G473" s="13"/>
      <c r="H473" s="12"/>
      <c r="I473" s="18"/>
      <c r="J473" s="16"/>
      <c r="K473" s="16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6"/>
      <c r="AH473" s="16"/>
      <c r="AI473" s="18"/>
      <c r="AJ473" s="18"/>
      <c r="AK473" s="18"/>
      <c r="AL473" s="18"/>
      <c r="AM473" s="18"/>
      <c r="AN473" s="216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</row>
    <row r="474" spans="1:59" ht="15.75" customHeight="1">
      <c r="A474" s="216"/>
      <c r="B474" s="412" t="s">
        <v>20</v>
      </c>
      <c r="C474" s="417" t="s">
        <v>21</v>
      </c>
      <c r="D474" s="9" t="s">
        <v>22</v>
      </c>
      <c r="E474" s="421" t="s">
        <v>23</v>
      </c>
      <c r="F474" s="411"/>
      <c r="G474" s="412" t="s">
        <v>24</v>
      </c>
      <c r="H474" s="415" t="s">
        <v>4</v>
      </c>
      <c r="I474" s="425" t="s">
        <v>259</v>
      </c>
      <c r="J474" s="410"/>
      <c r="K474" s="410"/>
      <c r="L474" s="410"/>
      <c r="M474" s="410"/>
      <c r="N474" s="410"/>
      <c r="O474" s="410"/>
      <c r="P474" s="410"/>
      <c r="Q474" s="410"/>
      <c r="R474" s="410"/>
      <c r="S474" s="410"/>
      <c r="T474" s="410"/>
      <c r="U474" s="410"/>
      <c r="V474" s="410"/>
      <c r="W474" s="410"/>
      <c r="X474" s="410"/>
      <c r="Y474" s="410"/>
      <c r="Z474" s="427" t="s">
        <v>260</v>
      </c>
      <c r="AA474" s="410"/>
      <c r="AB474" s="410"/>
      <c r="AC474" s="410"/>
      <c r="AD474" s="410"/>
      <c r="AE474" s="410"/>
      <c r="AF474" s="410"/>
      <c r="AG474" s="410"/>
      <c r="AH474" s="410"/>
      <c r="AI474" s="410"/>
      <c r="AJ474" s="410"/>
      <c r="AK474" s="410"/>
      <c r="AL474" s="410"/>
      <c r="AM474" s="410"/>
      <c r="AN474" s="418" t="s">
        <v>261</v>
      </c>
      <c r="AO474" s="418" t="s">
        <v>262</v>
      </c>
      <c r="AP474" s="418" t="s">
        <v>263</v>
      </c>
      <c r="AQ474" s="418" t="s">
        <v>264</v>
      </c>
      <c r="AR474" s="422" t="s">
        <v>265</v>
      </c>
      <c r="AS474" s="216"/>
      <c r="AT474" s="425" t="s">
        <v>262</v>
      </c>
      <c r="AU474" s="410"/>
      <c r="AV474" s="410"/>
      <c r="AW474" s="410"/>
      <c r="AX474" s="410"/>
      <c r="AY474" s="410"/>
      <c r="AZ474" s="410"/>
      <c r="BA474" s="410"/>
      <c r="BB474" s="410"/>
      <c r="BC474" s="410"/>
      <c r="BD474" s="410"/>
      <c r="BE474" s="411"/>
      <c r="BF474" s="216"/>
      <c r="BG474" s="216"/>
    </row>
    <row r="475" spans="1:59" ht="15.75" customHeight="1">
      <c r="A475" s="216"/>
      <c r="B475" s="413"/>
      <c r="C475" s="413"/>
      <c r="D475" s="239"/>
      <c r="E475" s="412" t="s">
        <v>26</v>
      </c>
      <c r="F475" s="416" t="s">
        <v>27</v>
      </c>
      <c r="G475" s="413"/>
      <c r="H475" s="413"/>
      <c r="I475" s="418" t="s">
        <v>25</v>
      </c>
      <c r="J475" s="426" t="s">
        <v>266</v>
      </c>
      <c r="K475" s="411"/>
      <c r="L475" s="425" t="s">
        <v>267</v>
      </c>
      <c r="M475" s="410"/>
      <c r="N475" s="410"/>
      <c r="O475" s="410"/>
      <c r="P475" s="410"/>
      <c r="Q475" s="23"/>
      <c r="R475" s="424" t="s">
        <v>268</v>
      </c>
      <c r="S475" s="410"/>
      <c r="T475" s="411"/>
      <c r="U475" s="425" t="s">
        <v>269</v>
      </c>
      <c r="V475" s="410"/>
      <c r="W475" s="411"/>
      <c r="X475" s="423" t="s">
        <v>270</v>
      </c>
      <c r="Y475" s="418" t="s">
        <v>271</v>
      </c>
      <c r="Z475" s="425" t="s">
        <v>272</v>
      </c>
      <c r="AA475" s="410"/>
      <c r="AB475" s="410"/>
      <c r="AC475" s="410"/>
      <c r="AD475" s="410"/>
      <c r="AE475" s="411"/>
      <c r="AF475" s="426" t="s">
        <v>266</v>
      </c>
      <c r="AG475" s="411"/>
      <c r="AH475" s="423" t="s">
        <v>273</v>
      </c>
      <c r="AI475" s="424" t="s">
        <v>274</v>
      </c>
      <c r="AJ475" s="410"/>
      <c r="AK475" s="411"/>
      <c r="AL475" s="423" t="s">
        <v>275</v>
      </c>
      <c r="AM475" s="418" t="s">
        <v>271</v>
      </c>
      <c r="AN475" s="413"/>
      <c r="AO475" s="413"/>
      <c r="AP475" s="413"/>
      <c r="AQ475" s="413"/>
      <c r="AR475" s="413"/>
      <c r="AS475" s="216"/>
      <c r="AT475" s="418" t="s">
        <v>4</v>
      </c>
      <c r="AU475" s="418" t="s">
        <v>276</v>
      </c>
      <c r="AV475" s="418" t="s">
        <v>277</v>
      </c>
      <c r="AW475" s="418" t="s">
        <v>278</v>
      </c>
      <c r="AX475" s="418" t="s">
        <v>269</v>
      </c>
      <c r="AY475" s="418" t="s">
        <v>270</v>
      </c>
      <c r="AZ475" s="425" t="s">
        <v>266</v>
      </c>
      <c r="BA475" s="410"/>
      <c r="BB475" s="411"/>
      <c r="BC475" s="418" t="s">
        <v>261</v>
      </c>
      <c r="BD475" s="418" t="s">
        <v>279</v>
      </c>
      <c r="BE475" s="418" t="s">
        <v>262</v>
      </c>
      <c r="BF475" s="216"/>
      <c r="BG475" s="216"/>
    </row>
    <row r="476" spans="1:59" ht="15.75" customHeight="1">
      <c r="A476" s="216"/>
      <c r="B476" s="414"/>
      <c r="C476" s="414"/>
      <c r="D476" s="240"/>
      <c r="E476" s="414"/>
      <c r="F476" s="414"/>
      <c r="G476" s="414"/>
      <c r="H476" s="414"/>
      <c r="I476" s="414"/>
      <c r="J476" s="24" t="s">
        <v>280</v>
      </c>
      <c r="K476" s="24" t="s">
        <v>281</v>
      </c>
      <c r="L476" s="25" t="s">
        <v>282</v>
      </c>
      <c r="M476" s="25" t="s">
        <v>283</v>
      </c>
      <c r="N476" s="24" t="s">
        <v>284</v>
      </c>
      <c r="O476" s="24" t="s">
        <v>285</v>
      </c>
      <c r="P476" s="25" t="s">
        <v>286</v>
      </c>
      <c r="Q476" s="23"/>
      <c r="R476" s="23" t="s">
        <v>282</v>
      </c>
      <c r="S476" s="23" t="s">
        <v>287</v>
      </c>
      <c r="T476" s="23" t="s">
        <v>288</v>
      </c>
      <c r="U476" s="25" t="s">
        <v>289</v>
      </c>
      <c r="V476" s="24" t="s">
        <v>290</v>
      </c>
      <c r="W476" s="25" t="s">
        <v>286</v>
      </c>
      <c r="X476" s="414"/>
      <c r="Y476" s="414"/>
      <c r="Z476" s="24" t="s">
        <v>291</v>
      </c>
      <c r="AA476" s="24" t="s">
        <v>292</v>
      </c>
      <c r="AB476" s="24" t="s">
        <v>293</v>
      </c>
      <c r="AC476" s="24" t="s">
        <v>280</v>
      </c>
      <c r="AD476" s="24" t="s">
        <v>294</v>
      </c>
      <c r="AE476" s="25" t="s">
        <v>286</v>
      </c>
      <c r="AF476" s="24" t="s">
        <v>280</v>
      </c>
      <c r="AG476" s="24" t="s">
        <v>281</v>
      </c>
      <c r="AH476" s="414"/>
      <c r="AI476" s="23" t="s">
        <v>295</v>
      </c>
      <c r="AJ476" s="23" t="s">
        <v>296</v>
      </c>
      <c r="AK476" s="23" t="s">
        <v>297</v>
      </c>
      <c r="AL476" s="414"/>
      <c r="AM476" s="414"/>
      <c r="AN476" s="414"/>
      <c r="AO476" s="414"/>
      <c r="AP476" s="414"/>
      <c r="AQ476" s="414"/>
      <c r="AR476" s="414"/>
      <c r="AS476" s="216"/>
      <c r="AT476" s="414"/>
      <c r="AU476" s="414"/>
      <c r="AV476" s="414"/>
      <c r="AW476" s="414"/>
      <c r="AX476" s="414"/>
      <c r="AY476" s="414"/>
      <c r="AZ476" s="25" t="s">
        <v>298</v>
      </c>
      <c r="BA476" s="25" t="s">
        <v>299</v>
      </c>
      <c r="BB476" s="25" t="s">
        <v>281</v>
      </c>
      <c r="BC476" s="414"/>
      <c r="BD476" s="414"/>
      <c r="BE476" s="414"/>
      <c r="BF476" s="216"/>
      <c r="BG476" s="216"/>
    </row>
    <row r="477" spans="1:59" ht="15.75" customHeight="1">
      <c r="A477" s="216"/>
      <c r="B477" s="27">
        <v>1</v>
      </c>
      <c r="C477" s="28" t="s">
        <v>59</v>
      </c>
      <c r="D477" s="29" t="s">
        <v>60</v>
      </c>
      <c r="E477" s="67" t="s">
        <v>57</v>
      </c>
      <c r="F477" s="68" t="s">
        <v>61</v>
      </c>
      <c r="G477" s="27" t="s">
        <v>94</v>
      </c>
      <c r="H477" s="29" t="s">
        <v>32</v>
      </c>
      <c r="I477" s="354">
        <f t="shared" ref="I477:I480" si="549">IF(H477="FULL - EXISTING",3770000,3770000/30*N125)</f>
        <v>3770000</v>
      </c>
      <c r="J477" s="312">
        <v>220709</v>
      </c>
      <c r="K477" s="312">
        <v>141480</v>
      </c>
      <c r="L477" s="20"/>
      <c r="M477" s="20"/>
      <c r="N477" s="30">
        <v>23</v>
      </c>
      <c r="O477" s="30">
        <v>23</v>
      </c>
      <c r="P477" s="20"/>
      <c r="Q477" s="20"/>
      <c r="R477" s="354">
        <f t="shared" ref="R477:R480" si="550">I477+J477+K477+L477</f>
        <v>4132189</v>
      </c>
      <c r="S477" s="354">
        <f t="shared" ref="S477:S480" si="551">I477+J477+K477+P477</f>
        <v>4132189</v>
      </c>
      <c r="T477" s="20">
        <f t="shared" ref="T477:T480" si="552">IF(R477-S477&lt;0,R477-S477,0)</f>
        <v>0</v>
      </c>
      <c r="U477" s="20">
        <v>147375</v>
      </c>
      <c r="V477" s="362">
        <v>0</v>
      </c>
      <c r="W477" s="20">
        <f t="shared" ref="W477:W480" si="553">U477*V477</f>
        <v>0</v>
      </c>
      <c r="X477" s="20">
        <v>0</v>
      </c>
      <c r="Y477" s="20">
        <f>I477+J477+K477+P477+W477+X477</f>
        <v>4132189</v>
      </c>
      <c r="Z477" s="30">
        <f ca="1">IFERROR(__xludf.DUMMYFUNCTION("VLOOKUP(C477,IMPORTRANGE(""https://docs.google.com/spreadsheets/d/1dYZXDaT0CPPzmkJZ-pK41WB1rhsZcL6Y9j2mydYMQj8/edit?gid=1524281586#gid=1524281586"",""SCHEDULE_AJT_OKT25""),38,0)+VLOOKUP(C477,IMPORTRANGE(""https://docs.google.com/spreadsheets/d/1dYZXDaT0CP"&amp;"PzmkJZ-pK41WB1rhsZcL6Y9j2mydYMQj8/edit?gid=1524281586#gid=1524281586"",""SCHEDULE_AJT_OKT25""),39,0)"),0)</f>
        <v>0</v>
      </c>
      <c r="AA477" s="30">
        <v>0</v>
      </c>
      <c r="AB477" s="30">
        <f ca="1">IFERROR(__xludf.DUMMYFUNCTION("VLOOKUP(C477,IMPORTRANGE(""https://docs.google.com/spreadsheets/d/1dYZXDaT0CPPzmkJZ-pK41WB1rhsZcL6Y9j2mydYMQj8/edit?gid=1524281586#gid=1524281586"",""SCHEDULE_AJT_OKT25""),41,0)"),0)</f>
        <v>0</v>
      </c>
      <c r="AC477" s="30">
        <f ca="1">IFERROR(__xludf.DUMMYFUNCTION("VLOOKUP(C477,IMPORTRANGE(""https://docs.google.com/spreadsheets/d/1dYZXDaT0CPPzmkJZ-pK41WB1rhsZcL6Y9j2mydYMQj8/edit?gid=1524281586#gid=1524281586"",""SCHEDULE_AJT_OKT25""),42,0)"),0)</f>
        <v>0</v>
      </c>
      <c r="AD477" s="30">
        <f ca="1">IFERROR(__xludf.DUMMYFUNCTION("VLOOKUP(C477,IMPORTRANGE(""https://docs.google.com/spreadsheets/d/1dYZXDaT0CPPzmkJZ-pK41WB1rhsZcL6Y9j2mydYMQj8/edit?gid=1524281586#gid=1524281586"",""SCHEDULE_AJT_OKT25""),43,0)"),0)</f>
        <v>0</v>
      </c>
      <c r="AE477" s="20">
        <f t="shared" ref="AE477:AE480" ca="1" si="554">U477*(Z477+AA477+AD477+(AC477*2))</f>
        <v>0</v>
      </c>
      <c r="AF477" s="20">
        <v>326818.8</v>
      </c>
      <c r="AG477" s="20">
        <v>176850</v>
      </c>
      <c r="AH477" s="20">
        <v>0</v>
      </c>
      <c r="AI477" s="20">
        <v>0</v>
      </c>
      <c r="AJ477" s="20">
        <v>0</v>
      </c>
      <c r="AK477" s="20">
        <f t="shared" ref="AK477:AK480" si="555">AI477-AJ477</f>
        <v>0</v>
      </c>
      <c r="AL477" s="20">
        <v>0</v>
      </c>
      <c r="AM477" s="20">
        <f t="shared" ref="AM477:AM480" ca="1" si="556">AE477+AF477+AG477+AH477+AJ477+AL477</f>
        <v>503668.8</v>
      </c>
      <c r="AN477" s="20">
        <f t="shared" ref="AN477:AN480" ca="1" si="557">Y477-AM477</f>
        <v>3628520.2</v>
      </c>
      <c r="AO477" s="20">
        <f t="shared" ref="AO477:AO480" si="558">BE477</f>
        <v>0</v>
      </c>
      <c r="AP477" s="20">
        <f t="shared" ref="AP477:AP480" ca="1" si="559">AN477-AO477</f>
        <v>3628520.2</v>
      </c>
      <c r="AQ477" s="20">
        <f t="shared" ref="AQ477:AQ480" ca="1" si="560">AP477-X477</f>
        <v>3628520.2</v>
      </c>
      <c r="AR477" s="20">
        <f ca="1">ROUND(AQ477,-2)</f>
        <v>3628500</v>
      </c>
      <c r="AS477" s="216"/>
      <c r="AT477" s="30" t="s">
        <v>13</v>
      </c>
      <c r="AU477" s="30" t="str">
        <f>VLOOKUP(AT477,TER!$R$2:$S$10,2,0)</f>
        <v>A</v>
      </c>
      <c r="AV477" s="20">
        <f t="shared" ref="AV477:AV480" si="561">I477</f>
        <v>3770000</v>
      </c>
      <c r="AW477" s="20">
        <f t="shared" ref="AW477:AW480" si="562">P477</f>
        <v>0</v>
      </c>
      <c r="AX477" s="20">
        <f t="shared" ref="AX477:AY477" si="563">W477</f>
        <v>0</v>
      </c>
      <c r="AY477" s="20">
        <f t="shared" si="563"/>
        <v>0</v>
      </c>
      <c r="AZ477" s="20">
        <f t="shared" ref="AZ477:AZ480" si="564">IF(J477=0,0,AV477*0.24%)</f>
        <v>9048</v>
      </c>
      <c r="BA477" s="20">
        <f t="shared" ref="BA477:BA480" si="565">IF(J477=0,0,AV477*0.3%)</f>
        <v>11310</v>
      </c>
      <c r="BB477" s="20">
        <f t="shared" ref="BB477:BB480" si="566">IF(K477=0,0,AV477*4%)</f>
        <v>150800</v>
      </c>
      <c r="BC477" s="20">
        <f t="shared" ref="BC477:BC480" si="567">SUM(AV477:BB477)</f>
        <v>3941158</v>
      </c>
      <c r="BD477" s="37">
        <f>IF(AU477="C",VLOOKUP(BC477,TER!$J$4:$L$50,3,TRUE),IF(AU477="B",VLOOKUP(BC477,TER!$F$4:$H$50,3,TRUE),IF(AU477="A",VLOOKUP(BC477,TER!$B$4:$D$50,3,TRUE),"ERROR")))</f>
        <v>0</v>
      </c>
      <c r="BE477" s="20">
        <f t="shared" ref="BE477:BE480" si="568">BC477*BD477</f>
        <v>0</v>
      </c>
      <c r="BF477" s="216"/>
      <c r="BG477" s="216"/>
    </row>
    <row r="478" spans="1:59" ht="15.75" customHeight="1">
      <c r="A478" s="216"/>
      <c r="B478" s="27">
        <v>2</v>
      </c>
      <c r="C478" s="250" t="s">
        <v>1103</v>
      </c>
      <c r="D478" s="29" t="s">
        <v>1104</v>
      </c>
      <c r="E478" s="27" t="s">
        <v>57</v>
      </c>
      <c r="F478" s="28" t="s">
        <v>1282</v>
      </c>
      <c r="G478" s="27" t="s">
        <v>31</v>
      </c>
      <c r="H478" s="29" t="s">
        <v>32</v>
      </c>
      <c r="I478" s="354">
        <f t="shared" si="549"/>
        <v>3770000</v>
      </c>
      <c r="J478" s="312">
        <v>220709</v>
      </c>
      <c r="K478" s="312">
        <v>141480</v>
      </c>
      <c r="L478" s="20"/>
      <c r="M478" s="20"/>
      <c r="N478" s="30">
        <v>23</v>
      </c>
      <c r="O478" s="30">
        <v>23</v>
      </c>
      <c r="P478" s="20"/>
      <c r="Q478" s="20"/>
      <c r="R478" s="354">
        <f t="shared" si="550"/>
        <v>4132189</v>
      </c>
      <c r="S478" s="354">
        <f t="shared" si="551"/>
        <v>4132189</v>
      </c>
      <c r="T478" s="20">
        <f t="shared" si="552"/>
        <v>0</v>
      </c>
      <c r="U478" s="20">
        <v>147375</v>
      </c>
      <c r="V478" s="362">
        <v>0</v>
      </c>
      <c r="W478" s="20">
        <f t="shared" si="553"/>
        <v>0</v>
      </c>
      <c r="X478" s="20">
        <v>0</v>
      </c>
      <c r="Y478" s="20">
        <f>I478+J478+K478+P477+W478+X478</f>
        <v>4132189</v>
      </c>
      <c r="Z478" s="30">
        <f ca="1">IFERROR(__xludf.DUMMYFUNCTION("VLOOKUP(C478,IMPORTRANGE(""https://docs.google.com/spreadsheets/d/1dYZXDaT0CPPzmkJZ-pK41WB1rhsZcL6Y9j2mydYMQj8/edit?gid=1524281586#gid=1524281586"",""SCHEDULE_AJT_OKT25""),38,0)+VLOOKUP(C478,IMPORTRANGE(""https://docs.google.com/spreadsheets/d/1dYZXDaT0CP"&amp;"PzmkJZ-pK41WB1rhsZcL6Y9j2mydYMQj8/edit?gid=1524281586#gid=1524281586"",""SCHEDULE_AJT_OKT25""),39,0)"),0)</f>
        <v>0</v>
      </c>
      <c r="AA478" s="30">
        <v>0</v>
      </c>
      <c r="AB478" s="30">
        <f ca="1">IFERROR(__xludf.DUMMYFUNCTION("VLOOKUP(C478,IMPORTRANGE(""https://docs.google.com/spreadsheets/d/1dYZXDaT0CPPzmkJZ-pK41WB1rhsZcL6Y9j2mydYMQj8/edit?gid=1524281586#gid=1524281586"",""SCHEDULE_AJT_OKT25""),41,0)"),0)</f>
        <v>0</v>
      </c>
      <c r="AC478" s="30">
        <f ca="1">IFERROR(__xludf.DUMMYFUNCTION("VLOOKUP(C478,IMPORTRANGE(""https://docs.google.com/spreadsheets/d/1dYZXDaT0CPPzmkJZ-pK41WB1rhsZcL6Y9j2mydYMQj8/edit?gid=1524281586#gid=1524281586"",""SCHEDULE_AJT_OKT25""),42,0)"),0)</f>
        <v>0</v>
      </c>
      <c r="AD478" s="30">
        <f ca="1">IFERROR(__xludf.DUMMYFUNCTION("VLOOKUP(C478,IMPORTRANGE(""https://docs.google.com/spreadsheets/d/1dYZXDaT0CPPzmkJZ-pK41WB1rhsZcL6Y9j2mydYMQj8/edit?gid=1524281586#gid=1524281586"",""SCHEDULE_AJT_OKT25""),43,0)"),0)</f>
        <v>0</v>
      </c>
      <c r="AE478" s="20">
        <f t="shared" ca="1" si="554"/>
        <v>0</v>
      </c>
      <c r="AF478" s="20">
        <v>326818.8</v>
      </c>
      <c r="AG478" s="20">
        <v>176850</v>
      </c>
      <c r="AH478" s="20">
        <v>0</v>
      </c>
      <c r="AI478" s="20">
        <v>0</v>
      </c>
      <c r="AJ478" s="20">
        <v>0</v>
      </c>
      <c r="AK478" s="20">
        <f t="shared" si="555"/>
        <v>0</v>
      </c>
      <c r="AL478" s="20">
        <v>0</v>
      </c>
      <c r="AM478" s="20">
        <f t="shared" ca="1" si="556"/>
        <v>503668.8</v>
      </c>
      <c r="AN478" s="20">
        <f t="shared" ca="1" si="557"/>
        <v>3628520.2</v>
      </c>
      <c r="AO478" s="20">
        <f t="shared" si="558"/>
        <v>0</v>
      </c>
      <c r="AP478" s="20">
        <f t="shared" ca="1" si="559"/>
        <v>3628520.2</v>
      </c>
      <c r="AQ478" s="20">
        <f t="shared" ca="1" si="560"/>
        <v>3628520.2</v>
      </c>
      <c r="AR478" s="20">
        <f ca="1">AP478-X478</f>
        <v>3628520.2</v>
      </c>
      <c r="AS478" s="216"/>
      <c r="AT478" s="73" t="s">
        <v>9</v>
      </c>
      <c r="AU478" s="30" t="str">
        <f>VLOOKUP(AT478,TER!$R$2:$S$10,2,0)</f>
        <v>A</v>
      </c>
      <c r="AV478" s="20">
        <f t="shared" si="561"/>
        <v>3770000</v>
      </c>
      <c r="AW478" s="20">
        <f t="shared" si="562"/>
        <v>0</v>
      </c>
      <c r="AX478" s="20">
        <f t="shared" ref="AX478:AY478" si="569">W478</f>
        <v>0</v>
      </c>
      <c r="AY478" s="20">
        <f t="shared" si="569"/>
        <v>0</v>
      </c>
      <c r="AZ478" s="20">
        <f t="shared" si="564"/>
        <v>9048</v>
      </c>
      <c r="BA478" s="20">
        <f t="shared" si="565"/>
        <v>11310</v>
      </c>
      <c r="BB478" s="20">
        <f t="shared" si="566"/>
        <v>150800</v>
      </c>
      <c r="BC478" s="20">
        <f t="shared" si="567"/>
        <v>3941158</v>
      </c>
      <c r="BD478" s="37">
        <f>IF(AU478="C",VLOOKUP(BC478,TER!$J$4:$L$50,3,TRUE),IF(AU478="B",VLOOKUP(BC478,TER!$F$4:$H$50,3,TRUE),IF(AU478="A",VLOOKUP(BC478,TER!$B$4:$D$50,3,TRUE),"ERROR")))</f>
        <v>0</v>
      </c>
      <c r="BE478" s="20">
        <f t="shared" si="568"/>
        <v>0</v>
      </c>
      <c r="BF478" s="216"/>
      <c r="BG478" s="216"/>
    </row>
    <row r="479" spans="1:59" ht="15.75" customHeight="1">
      <c r="A479" s="216"/>
      <c r="B479" s="27">
        <v>3</v>
      </c>
      <c r="C479" s="250" t="s">
        <v>1330</v>
      </c>
      <c r="D479" s="29" t="s">
        <v>1331</v>
      </c>
      <c r="E479" s="27" t="s">
        <v>1132</v>
      </c>
      <c r="F479" s="28" t="s">
        <v>1332</v>
      </c>
      <c r="G479" s="27" t="s">
        <v>31</v>
      </c>
      <c r="H479" s="29" t="s">
        <v>32</v>
      </c>
      <c r="I479" s="354">
        <f t="shared" si="549"/>
        <v>3770000</v>
      </c>
      <c r="J479" s="312">
        <v>220709</v>
      </c>
      <c r="K479" s="312">
        <v>141480</v>
      </c>
      <c r="L479" s="20"/>
      <c r="M479" s="20"/>
      <c r="N479" s="30">
        <v>23</v>
      </c>
      <c r="O479" s="30">
        <v>23</v>
      </c>
      <c r="P479" s="20"/>
      <c r="Q479" s="20"/>
      <c r="R479" s="354">
        <f t="shared" si="550"/>
        <v>4132189</v>
      </c>
      <c r="S479" s="354">
        <f t="shared" si="551"/>
        <v>4132189</v>
      </c>
      <c r="T479" s="20">
        <f t="shared" si="552"/>
        <v>0</v>
      </c>
      <c r="U479" s="20">
        <v>147375</v>
      </c>
      <c r="V479" s="362">
        <v>0</v>
      </c>
      <c r="W479" s="20">
        <f t="shared" si="553"/>
        <v>0</v>
      </c>
      <c r="X479" s="20">
        <v>0</v>
      </c>
      <c r="Y479" s="20">
        <f t="shared" ref="Y479:Y480" si="570">I479+J479+K479+P479+W479+X479</f>
        <v>4132189</v>
      </c>
      <c r="Z479" s="30">
        <v>0</v>
      </c>
      <c r="AA479" s="30">
        <v>0</v>
      </c>
      <c r="AB479" s="30">
        <v>0</v>
      </c>
      <c r="AC479" s="30">
        <v>0</v>
      </c>
      <c r="AD479" s="30">
        <v>0</v>
      </c>
      <c r="AE479" s="20">
        <f t="shared" si="554"/>
        <v>0</v>
      </c>
      <c r="AF479" s="20">
        <v>326818.8</v>
      </c>
      <c r="AG479" s="20">
        <v>176850</v>
      </c>
      <c r="AH479" s="20">
        <v>0</v>
      </c>
      <c r="AI479" s="20">
        <v>0</v>
      </c>
      <c r="AJ479" s="20">
        <v>0</v>
      </c>
      <c r="AK479" s="20">
        <f t="shared" si="555"/>
        <v>0</v>
      </c>
      <c r="AL479" s="20">
        <v>0</v>
      </c>
      <c r="AM479" s="20">
        <f t="shared" si="556"/>
        <v>503668.8</v>
      </c>
      <c r="AN479" s="20">
        <f t="shared" si="557"/>
        <v>3628520.2</v>
      </c>
      <c r="AO479" s="20">
        <f t="shared" si="558"/>
        <v>0</v>
      </c>
      <c r="AP479" s="20">
        <f t="shared" si="559"/>
        <v>3628520.2</v>
      </c>
      <c r="AQ479" s="20">
        <f t="shared" si="560"/>
        <v>3628520.2</v>
      </c>
      <c r="AR479" s="20">
        <f t="shared" ref="AR479:AR480" si="571">ROUND(AQ479,-2)</f>
        <v>3628500</v>
      </c>
      <c r="AS479" s="216"/>
      <c r="AT479" s="73" t="s">
        <v>9</v>
      </c>
      <c r="AU479" s="30" t="str">
        <f>VLOOKUP(AT479,TER!$R$2:$S$10,2,0)</f>
        <v>A</v>
      </c>
      <c r="AV479" s="20">
        <f t="shared" si="561"/>
        <v>3770000</v>
      </c>
      <c r="AW479" s="20">
        <f t="shared" si="562"/>
        <v>0</v>
      </c>
      <c r="AX479" s="20">
        <f t="shared" ref="AX479:AY479" si="572">W479</f>
        <v>0</v>
      </c>
      <c r="AY479" s="20">
        <f t="shared" si="572"/>
        <v>0</v>
      </c>
      <c r="AZ479" s="20">
        <f t="shared" si="564"/>
        <v>9048</v>
      </c>
      <c r="BA479" s="20">
        <f t="shared" si="565"/>
        <v>11310</v>
      </c>
      <c r="BB479" s="20">
        <f t="shared" si="566"/>
        <v>150800</v>
      </c>
      <c r="BC479" s="20">
        <f t="shared" si="567"/>
        <v>3941158</v>
      </c>
      <c r="BD479" s="37">
        <f>IF(AU479="C",VLOOKUP(BC479,TER!$J$4:$L$50,3,TRUE),IF(AU479="B",VLOOKUP(BC479,TER!$F$4:$H$50,3,TRUE),IF(AU479="A",VLOOKUP(BC479,TER!$B$4:$D$50,3,TRUE),"ERROR")))</f>
        <v>0</v>
      </c>
      <c r="BE479" s="20">
        <f t="shared" si="568"/>
        <v>0</v>
      </c>
      <c r="BF479" s="216"/>
      <c r="BG479" s="216"/>
    </row>
    <row r="480" spans="1:59" ht="15.75" customHeight="1">
      <c r="A480" s="216"/>
      <c r="B480" s="27">
        <v>4</v>
      </c>
      <c r="C480" s="285" t="s">
        <v>1345</v>
      </c>
      <c r="D480" s="372" t="s">
        <v>1346</v>
      </c>
      <c r="E480" s="27"/>
      <c r="F480" s="28"/>
      <c r="G480" s="27" t="s">
        <v>31</v>
      </c>
      <c r="H480" s="29" t="s">
        <v>32</v>
      </c>
      <c r="I480" s="354">
        <f t="shared" si="549"/>
        <v>3770000</v>
      </c>
      <c r="J480" s="312">
        <v>220709</v>
      </c>
      <c r="K480" s="312">
        <v>141480</v>
      </c>
      <c r="L480" s="20"/>
      <c r="M480" s="20"/>
      <c r="N480" s="30">
        <v>24</v>
      </c>
      <c r="O480" s="30">
        <v>24</v>
      </c>
      <c r="P480" s="20"/>
      <c r="Q480" s="20"/>
      <c r="R480" s="354">
        <f t="shared" si="550"/>
        <v>4132189</v>
      </c>
      <c r="S480" s="354">
        <f t="shared" si="551"/>
        <v>4132189</v>
      </c>
      <c r="T480" s="20">
        <f t="shared" si="552"/>
        <v>0</v>
      </c>
      <c r="U480" s="20">
        <v>147375</v>
      </c>
      <c r="V480" s="362">
        <v>0</v>
      </c>
      <c r="W480" s="20">
        <f t="shared" si="553"/>
        <v>0</v>
      </c>
      <c r="X480" s="20">
        <v>0</v>
      </c>
      <c r="Y480" s="20">
        <f t="shared" si="570"/>
        <v>4132189</v>
      </c>
      <c r="Z480" s="30">
        <v>0</v>
      </c>
      <c r="AA480" s="30">
        <v>0</v>
      </c>
      <c r="AB480" s="30">
        <v>0</v>
      </c>
      <c r="AC480" s="30">
        <v>0</v>
      </c>
      <c r="AD480" s="30">
        <v>0</v>
      </c>
      <c r="AE480" s="20">
        <f t="shared" si="554"/>
        <v>0</v>
      </c>
      <c r="AF480" s="20">
        <v>326818.8</v>
      </c>
      <c r="AG480" s="20">
        <v>176850</v>
      </c>
      <c r="AH480" s="20">
        <v>0</v>
      </c>
      <c r="AI480" s="20">
        <v>0</v>
      </c>
      <c r="AJ480" s="20">
        <v>0</v>
      </c>
      <c r="AK480" s="20">
        <f t="shared" si="555"/>
        <v>0</v>
      </c>
      <c r="AL480" s="20">
        <v>0</v>
      </c>
      <c r="AM480" s="20">
        <f t="shared" si="556"/>
        <v>503668.8</v>
      </c>
      <c r="AN480" s="20">
        <f t="shared" si="557"/>
        <v>3628520.2</v>
      </c>
      <c r="AO480" s="20">
        <f t="shared" si="558"/>
        <v>0</v>
      </c>
      <c r="AP480" s="20">
        <f t="shared" si="559"/>
        <v>3628520.2</v>
      </c>
      <c r="AQ480" s="20">
        <f t="shared" si="560"/>
        <v>3628520.2</v>
      </c>
      <c r="AR480" s="20">
        <f t="shared" si="571"/>
        <v>3628500</v>
      </c>
      <c r="AS480" s="216"/>
      <c r="AT480" s="73" t="s">
        <v>12</v>
      </c>
      <c r="AU480" s="30" t="str">
        <f>VLOOKUP(AT480,TER!$R$2:$S$10,2,0)</f>
        <v>A</v>
      </c>
      <c r="AV480" s="20">
        <f t="shared" si="561"/>
        <v>3770000</v>
      </c>
      <c r="AW480" s="20">
        <f t="shared" si="562"/>
        <v>0</v>
      </c>
      <c r="AX480" s="20">
        <f t="shared" ref="AX480:AY480" si="573">W480</f>
        <v>0</v>
      </c>
      <c r="AY480" s="20">
        <f t="shared" si="573"/>
        <v>0</v>
      </c>
      <c r="AZ480" s="20">
        <f t="shared" si="564"/>
        <v>9048</v>
      </c>
      <c r="BA480" s="20">
        <f t="shared" si="565"/>
        <v>11310</v>
      </c>
      <c r="BB480" s="20">
        <f t="shared" si="566"/>
        <v>150800</v>
      </c>
      <c r="BC480" s="20">
        <f t="shared" si="567"/>
        <v>3941158</v>
      </c>
      <c r="BD480" s="37">
        <f>IF(AU480="C",VLOOKUP(BC480,TER!$J$4:$L$50,3,TRUE),IF(AU480="B",VLOOKUP(BC480,TER!$F$4:$H$50,3,TRUE),IF(AU480="A",VLOOKUP(BC480,TER!$B$4:$D$50,3,TRUE),"ERROR")))</f>
        <v>0</v>
      </c>
      <c r="BE480" s="20">
        <f t="shared" si="568"/>
        <v>0</v>
      </c>
      <c r="BF480" s="216"/>
      <c r="BG480" s="216"/>
    </row>
    <row r="481" spans="1:59" ht="15.75" customHeight="1">
      <c r="A481" s="216"/>
      <c r="B481" s="38">
        <v>4</v>
      </c>
      <c r="C481" s="421" t="s">
        <v>1316</v>
      </c>
      <c r="D481" s="411"/>
      <c r="E481" s="38"/>
      <c r="F481" s="39"/>
      <c r="G481" s="38"/>
      <c r="H481" s="40"/>
      <c r="I481" s="354">
        <f>SUM(I477:I478)</f>
        <v>7540000</v>
      </c>
      <c r="J481" s="355">
        <f t="shared" ref="J481:K481" si="574">SUM(J478)</f>
        <v>220709</v>
      </c>
      <c r="K481" s="355">
        <f t="shared" si="574"/>
        <v>141480</v>
      </c>
      <c r="L481" s="41">
        <f>SUM(L477)</f>
        <v>0</v>
      </c>
      <c r="M481" s="41"/>
      <c r="N481" s="25">
        <f t="shared" ref="N481:O481" si="575">SUM(N477:N480)</f>
        <v>93</v>
      </c>
      <c r="O481" s="25">
        <f t="shared" si="575"/>
        <v>93</v>
      </c>
      <c r="P481" s="41">
        <f>SUM(P477)</f>
        <v>0</v>
      </c>
      <c r="Q481" s="41"/>
      <c r="R481" s="355">
        <f t="shared" ref="R481:S481" si="576">SUM(R478)</f>
        <v>4132189</v>
      </c>
      <c r="S481" s="355">
        <f t="shared" si="576"/>
        <v>4132189</v>
      </c>
      <c r="T481" s="41">
        <f>SUM(T477:T478)</f>
        <v>0</v>
      </c>
      <c r="U481" s="41"/>
      <c r="V481" s="363">
        <f>SUM(V477:V480)</f>
        <v>0</v>
      </c>
      <c r="W481" s="41">
        <f t="shared" ref="W481:Y481" si="577">SUM(W477)</f>
        <v>0</v>
      </c>
      <c r="X481" s="41">
        <f t="shared" si="577"/>
        <v>0</v>
      </c>
      <c r="Y481" s="41">
        <f t="shared" si="577"/>
        <v>4132189</v>
      </c>
      <c r="Z481" s="25">
        <f t="shared" ref="Z481:AR481" ca="1" si="578">SUM(Z477:Z478)</f>
        <v>0</v>
      </c>
      <c r="AA481" s="25">
        <f t="shared" si="578"/>
        <v>0</v>
      </c>
      <c r="AB481" s="25">
        <f t="shared" ca="1" si="578"/>
        <v>0</v>
      </c>
      <c r="AC481" s="25">
        <f t="shared" ca="1" si="578"/>
        <v>0</v>
      </c>
      <c r="AD481" s="25">
        <f t="shared" ca="1" si="578"/>
        <v>0</v>
      </c>
      <c r="AE481" s="41">
        <f t="shared" ca="1" si="578"/>
        <v>0</v>
      </c>
      <c r="AF481" s="41">
        <f t="shared" si="578"/>
        <v>653637.6</v>
      </c>
      <c r="AG481" s="41">
        <f t="shared" si="578"/>
        <v>353700</v>
      </c>
      <c r="AH481" s="41">
        <f t="shared" si="578"/>
        <v>0</v>
      </c>
      <c r="AI481" s="41">
        <f t="shared" si="578"/>
        <v>0</v>
      </c>
      <c r="AJ481" s="41">
        <f t="shared" si="578"/>
        <v>0</v>
      </c>
      <c r="AK481" s="41">
        <f t="shared" si="578"/>
        <v>0</v>
      </c>
      <c r="AL481" s="41">
        <f t="shared" si="578"/>
        <v>0</v>
      </c>
      <c r="AM481" s="41">
        <f t="shared" ca="1" si="578"/>
        <v>1007337.6</v>
      </c>
      <c r="AN481" s="41">
        <f t="shared" ca="1" si="578"/>
        <v>7257040.4000000004</v>
      </c>
      <c r="AO481" s="41">
        <f t="shared" si="578"/>
        <v>0</v>
      </c>
      <c r="AP481" s="41">
        <f t="shared" ca="1" si="578"/>
        <v>7257040.4000000004</v>
      </c>
      <c r="AQ481" s="41">
        <f t="shared" ca="1" si="578"/>
        <v>7257040.4000000004</v>
      </c>
      <c r="AR481" s="41">
        <f t="shared" ca="1" si="578"/>
        <v>7257020.2000000002</v>
      </c>
      <c r="AS481" s="216"/>
      <c r="AT481" s="216"/>
      <c r="AU481" s="15"/>
      <c r="AV481" s="15"/>
      <c r="AW481" s="18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</row>
    <row r="482" spans="1:59" ht="15.75" customHeight="1">
      <c r="A482" s="216"/>
      <c r="B482" s="12"/>
      <c r="C482" s="12"/>
      <c r="D482" s="12"/>
      <c r="E482" s="12"/>
      <c r="F482" s="13"/>
      <c r="G482" s="12"/>
      <c r="H482" s="14"/>
      <c r="I482" s="15"/>
      <c r="J482" s="15"/>
      <c r="K482" s="15"/>
      <c r="L482" s="15"/>
      <c r="M482" s="15"/>
      <c r="N482" s="18" t="s">
        <v>1347</v>
      </c>
      <c r="O482" s="18"/>
      <c r="P482" s="15"/>
      <c r="Q482" s="15"/>
      <c r="R482" s="15"/>
      <c r="S482" s="15"/>
      <c r="T482" s="15"/>
      <c r="U482" s="15"/>
      <c r="V482" s="18"/>
      <c r="W482" s="15"/>
      <c r="X482" s="15"/>
      <c r="Y482" s="15"/>
      <c r="Z482" s="18"/>
      <c r="AA482" s="18"/>
      <c r="AB482" s="18"/>
      <c r="AC482" s="18"/>
      <c r="AD482" s="18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216"/>
      <c r="AT482" s="216"/>
      <c r="AU482" s="15"/>
      <c r="AV482" s="15"/>
      <c r="AW482" s="18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</row>
    <row r="483" spans="1:59" ht="15.75" customHeight="1">
      <c r="A483" s="216"/>
      <c r="B483" s="12"/>
      <c r="C483" s="142"/>
      <c r="D483" s="12"/>
      <c r="E483" s="12"/>
      <c r="F483" s="13"/>
      <c r="G483" s="12"/>
      <c r="H483" s="14"/>
      <c r="I483" s="15"/>
      <c r="J483" s="15"/>
      <c r="K483" s="15"/>
      <c r="L483" s="15"/>
      <c r="M483" s="15"/>
      <c r="N483" s="18"/>
      <c r="O483" s="18"/>
      <c r="P483" s="15"/>
      <c r="Q483" s="15"/>
      <c r="R483" s="15"/>
      <c r="S483" s="15"/>
      <c r="T483" s="15"/>
      <c r="U483" s="15"/>
      <c r="V483" s="18"/>
      <c r="W483" s="15"/>
      <c r="X483" s="15"/>
      <c r="Y483" s="15"/>
      <c r="Z483" s="18"/>
      <c r="AA483" s="18"/>
      <c r="AB483" s="18"/>
      <c r="AC483" s="18"/>
      <c r="AD483" s="18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216"/>
      <c r="AT483" s="216"/>
      <c r="AU483" s="15"/>
      <c r="AV483" s="15"/>
      <c r="AW483" s="18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</row>
    <row r="484" spans="1:59" ht="15.75" customHeight="1">
      <c r="A484" s="216"/>
      <c r="B484" s="440" t="s">
        <v>20</v>
      </c>
      <c r="C484" s="452" t="s">
        <v>21</v>
      </c>
      <c r="D484" s="440" t="s">
        <v>22</v>
      </c>
      <c r="E484" s="456" t="s">
        <v>23</v>
      </c>
      <c r="F484" s="411"/>
      <c r="G484" s="440" t="s">
        <v>24</v>
      </c>
      <c r="H484" s="441" t="s">
        <v>4</v>
      </c>
      <c r="I484" s="445" t="s">
        <v>259</v>
      </c>
      <c r="J484" s="410"/>
      <c r="K484" s="410"/>
      <c r="L484" s="410"/>
      <c r="M484" s="410"/>
      <c r="N484" s="410"/>
      <c r="O484" s="410"/>
      <c r="P484" s="410"/>
      <c r="Q484" s="410"/>
      <c r="R484" s="410"/>
      <c r="S484" s="410"/>
      <c r="T484" s="410"/>
      <c r="U484" s="410"/>
      <c r="V484" s="410"/>
      <c r="W484" s="410"/>
      <c r="X484" s="410"/>
      <c r="Y484" s="411"/>
      <c r="Z484" s="445" t="s">
        <v>260</v>
      </c>
      <c r="AA484" s="410"/>
      <c r="AB484" s="410"/>
      <c r="AC484" s="410"/>
      <c r="AD484" s="410"/>
      <c r="AE484" s="410"/>
      <c r="AF484" s="410"/>
      <c r="AG484" s="410"/>
      <c r="AH484" s="410"/>
      <c r="AI484" s="410"/>
      <c r="AJ484" s="410"/>
      <c r="AK484" s="410"/>
      <c r="AL484" s="410"/>
      <c r="AM484" s="411"/>
      <c r="AN484" s="433" t="s">
        <v>261</v>
      </c>
      <c r="AO484" s="433" t="s">
        <v>262</v>
      </c>
      <c r="AP484" s="433" t="s">
        <v>1022</v>
      </c>
      <c r="AQ484" s="433" t="s">
        <v>1023</v>
      </c>
      <c r="AR484" s="434" t="s">
        <v>1024</v>
      </c>
      <c r="AS484" s="113"/>
      <c r="AT484" s="449" t="s">
        <v>262</v>
      </c>
      <c r="AU484" s="410"/>
      <c r="AV484" s="410"/>
      <c r="AW484" s="410"/>
      <c r="AX484" s="410"/>
      <c r="AY484" s="410"/>
      <c r="AZ484" s="410"/>
      <c r="BA484" s="410"/>
      <c r="BB484" s="410"/>
      <c r="BC484" s="410"/>
      <c r="BD484" s="410"/>
      <c r="BE484" s="411"/>
      <c r="BF484" s="15"/>
      <c r="BG484" s="15"/>
    </row>
    <row r="485" spans="1:59" ht="15.75" customHeight="1">
      <c r="A485" s="216"/>
      <c r="B485" s="413"/>
      <c r="C485" s="413"/>
      <c r="D485" s="413"/>
      <c r="E485" s="448" t="s">
        <v>26</v>
      </c>
      <c r="F485" s="457" t="s">
        <v>27</v>
      </c>
      <c r="G485" s="413"/>
      <c r="H485" s="413"/>
      <c r="I485" s="447" t="s">
        <v>1025</v>
      </c>
      <c r="J485" s="451" t="s">
        <v>266</v>
      </c>
      <c r="K485" s="411"/>
      <c r="L485" s="445" t="s">
        <v>267</v>
      </c>
      <c r="M485" s="410"/>
      <c r="N485" s="410"/>
      <c r="O485" s="410"/>
      <c r="P485" s="411"/>
      <c r="Q485" s="221"/>
      <c r="R485" s="446" t="s">
        <v>268</v>
      </c>
      <c r="S485" s="410"/>
      <c r="T485" s="411"/>
      <c r="U485" s="445" t="s">
        <v>269</v>
      </c>
      <c r="V485" s="410"/>
      <c r="W485" s="411"/>
      <c r="X485" s="450" t="s">
        <v>270</v>
      </c>
      <c r="Y485" s="447" t="s">
        <v>271</v>
      </c>
      <c r="Z485" s="445" t="s">
        <v>272</v>
      </c>
      <c r="AA485" s="410"/>
      <c r="AB485" s="410"/>
      <c r="AC485" s="410"/>
      <c r="AD485" s="410"/>
      <c r="AE485" s="411"/>
      <c r="AF485" s="451" t="s">
        <v>266</v>
      </c>
      <c r="AG485" s="411"/>
      <c r="AH485" s="450" t="s">
        <v>273</v>
      </c>
      <c r="AI485" s="446" t="s">
        <v>274</v>
      </c>
      <c r="AJ485" s="410"/>
      <c r="AK485" s="411"/>
      <c r="AL485" s="450" t="s">
        <v>275</v>
      </c>
      <c r="AM485" s="447" t="s">
        <v>271</v>
      </c>
      <c r="AN485" s="413"/>
      <c r="AO485" s="413"/>
      <c r="AP485" s="413"/>
      <c r="AQ485" s="413"/>
      <c r="AR485" s="413"/>
      <c r="AS485" s="113"/>
      <c r="AT485" s="448" t="s">
        <v>4</v>
      </c>
      <c r="AU485" s="447" t="s">
        <v>276</v>
      </c>
      <c r="AV485" s="447" t="s">
        <v>277</v>
      </c>
      <c r="AW485" s="447" t="s">
        <v>278</v>
      </c>
      <c r="AX485" s="447" t="s">
        <v>269</v>
      </c>
      <c r="AY485" s="447" t="s">
        <v>270</v>
      </c>
      <c r="AZ485" s="445" t="s">
        <v>266</v>
      </c>
      <c r="BA485" s="410"/>
      <c r="BB485" s="411"/>
      <c r="BC485" s="447" t="s">
        <v>261</v>
      </c>
      <c r="BD485" s="448" t="s">
        <v>279</v>
      </c>
      <c r="BE485" s="447" t="s">
        <v>262</v>
      </c>
      <c r="BF485" s="15"/>
      <c r="BG485" s="15"/>
    </row>
    <row r="486" spans="1:59" ht="15.75" customHeight="1">
      <c r="A486" s="216"/>
      <c r="B486" s="414"/>
      <c r="C486" s="414"/>
      <c r="D486" s="414"/>
      <c r="E486" s="414"/>
      <c r="F486" s="414"/>
      <c r="G486" s="414"/>
      <c r="H486" s="414"/>
      <c r="I486" s="414"/>
      <c r="J486" s="172" t="s">
        <v>280</v>
      </c>
      <c r="K486" s="172" t="s">
        <v>281</v>
      </c>
      <c r="L486" s="173" t="s">
        <v>282</v>
      </c>
      <c r="M486" s="173" t="s">
        <v>283</v>
      </c>
      <c r="N486" s="172" t="s">
        <v>284</v>
      </c>
      <c r="O486" s="172" t="s">
        <v>285</v>
      </c>
      <c r="P486" s="173" t="s">
        <v>286</v>
      </c>
      <c r="Q486" s="165"/>
      <c r="R486" s="165" t="s">
        <v>282</v>
      </c>
      <c r="S486" s="165" t="s">
        <v>287</v>
      </c>
      <c r="T486" s="165" t="s">
        <v>288</v>
      </c>
      <c r="U486" s="173" t="s">
        <v>289</v>
      </c>
      <c r="V486" s="172" t="s">
        <v>290</v>
      </c>
      <c r="W486" s="173" t="s">
        <v>286</v>
      </c>
      <c r="X486" s="414"/>
      <c r="Y486" s="414"/>
      <c r="Z486" s="172" t="s">
        <v>291</v>
      </c>
      <c r="AA486" s="172" t="s">
        <v>292</v>
      </c>
      <c r="AB486" s="172" t="s">
        <v>293</v>
      </c>
      <c r="AC486" s="172" t="s">
        <v>280</v>
      </c>
      <c r="AD486" s="172" t="s">
        <v>294</v>
      </c>
      <c r="AE486" s="173" t="s">
        <v>286</v>
      </c>
      <c r="AF486" s="172" t="s">
        <v>280</v>
      </c>
      <c r="AG486" s="172" t="s">
        <v>281</v>
      </c>
      <c r="AH486" s="414"/>
      <c r="AI486" s="165" t="s">
        <v>295</v>
      </c>
      <c r="AJ486" s="165" t="s">
        <v>296</v>
      </c>
      <c r="AK486" s="165" t="s">
        <v>297</v>
      </c>
      <c r="AL486" s="414"/>
      <c r="AM486" s="414"/>
      <c r="AN486" s="414"/>
      <c r="AO486" s="414"/>
      <c r="AP486" s="414"/>
      <c r="AQ486" s="414"/>
      <c r="AR486" s="414"/>
      <c r="AS486" s="113"/>
      <c r="AT486" s="414"/>
      <c r="AU486" s="414"/>
      <c r="AV486" s="414"/>
      <c r="AW486" s="414"/>
      <c r="AX486" s="414"/>
      <c r="AY486" s="414"/>
      <c r="AZ486" s="173" t="s">
        <v>298</v>
      </c>
      <c r="BA486" s="173" t="s">
        <v>299</v>
      </c>
      <c r="BB486" s="173" t="s">
        <v>281</v>
      </c>
      <c r="BC486" s="414"/>
      <c r="BD486" s="414"/>
      <c r="BE486" s="414"/>
      <c r="BF486" s="15"/>
      <c r="BG486" s="15"/>
    </row>
    <row r="487" spans="1:59" ht="15.75" customHeight="1">
      <c r="A487" s="216"/>
      <c r="B487" s="224">
        <v>1</v>
      </c>
      <c r="C487" s="262" t="s">
        <v>1283</v>
      </c>
      <c r="D487" s="55" t="s">
        <v>1284</v>
      </c>
      <c r="E487" s="101" t="s">
        <v>30</v>
      </c>
      <c r="F487" s="99" t="s">
        <v>1285</v>
      </c>
      <c r="G487" s="101" t="s">
        <v>31</v>
      </c>
      <c r="H487" s="92" t="s">
        <v>32</v>
      </c>
      <c r="I487" s="312">
        <f t="shared" ref="I487:I489" si="579">IF(H487="FULL - EXISTING",5729876,5729876/O279*N487)</f>
        <v>5729876</v>
      </c>
      <c r="J487" s="319">
        <v>316.20499999999998</v>
      </c>
      <c r="K487" s="315">
        <v>202.69499999999999</v>
      </c>
      <c r="L487" s="169"/>
      <c r="M487" s="169"/>
      <c r="N487" s="125">
        <f ca="1">IFERROR(__xludf.DUMMYFUNCTION("VLOOKUP(C487,IMPORTRANGE(""https://docs.google.com/spreadsheets/d/1ZLN5T8y7NSBIP1rvSj6TTUR_vTQbRwUKSt8zZJ_EfE4/edit?gid=1445041288#gid=1445041288"",""SCHEDULE_KPM23_JAN26""),35,0)"),21)</f>
        <v>21</v>
      </c>
      <c r="O487" s="125">
        <f ca="1">IFERROR(__xludf.DUMMYFUNCTION("VLOOKUP(C487,IMPORTRANGE(""https://docs.google.com/spreadsheets/d/1ZLN5T8y7NSBIP1rvSj6TTUR_vTQbRwUKSt8zZJ_EfE4/edit?gid=1445041288#gid=1445041288"",""SCHEDULE_KPM23_JAN26""),34,0)"),21)</f>
        <v>21</v>
      </c>
      <c r="P487" s="70">
        <v>0</v>
      </c>
      <c r="Q487" s="169"/>
      <c r="R487" s="312">
        <f t="shared" ref="R487:R489" si="580">I487+J487+K487+L487</f>
        <v>5730394.9000000004</v>
      </c>
      <c r="S487" s="312">
        <f t="shared" ref="S487:S489" si="581">I487+J487+K487+P487</f>
        <v>5730394.9000000004</v>
      </c>
      <c r="T487" s="70">
        <f t="shared" ref="T487:T489" si="582">IF(R487-S487&lt;0,R487-S487,0)</f>
        <v>0</v>
      </c>
      <c r="U487" s="354">
        <v>147375</v>
      </c>
      <c r="V487" s="125">
        <f ca="1">IFERROR(__xludf.DUMMYFUNCTION("VLOOKUP(C487,IMPORTRANGE(""https://docs.google.com/spreadsheets/d/1ZLN5T8y7NSBIP1rvSj6TTUR_vTQbRwUKSt8zZJ_EfE4/edit?gid=1445041288#gid=1445041288"",""SCHEDULE_KPM23_JAN26""),36,0)"),0)</f>
        <v>0</v>
      </c>
      <c r="W487" s="70">
        <f t="shared" ref="W487:W489" ca="1" si="583">U487*V487</f>
        <v>0</v>
      </c>
      <c r="X487" s="70">
        <v>0</v>
      </c>
      <c r="Y487" s="312">
        <f t="shared" ref="Y487:Y489" ca="1" si="584">I487+J487+K487+P487+W487+X487</f>
        <v>5730394.9000000004</v>
      </c>
      <c r="Z487" s="125">
        <f ca="1">IFERROR(__xludf.DUMMYFUNCTION("VLOOKUP(C487,IMPORTRANGE(""https://docs.google.com/spreadsheets/d/1ZLN5T8y7NSBIP1rvSj6TTUR_vTQbRwUKSt8zZJ_EfE4/edit?gid=1445041288#gid=1445041288"",""SCHEDULE_KPM23_JAN26""),38,0)+VLOOKUP(C487,IMPORTRANGE(""https://docs.google.com/spreadsheets/d/1ZLN5T8y7"&amp;"NSBIP1rvSj6TTUR_vTQbRwUKSt8zZJ_EfE4/edit?gid=1445041288#gid=1445041288"",""SCHEDULE_KPM23_JAN26""),39,0)"),0)</f>
        <v>0</v>
      </c>
      <c r="AA487" s="125">
        <f ca="1">IFERROR(__xludf.DUMMYFUNCTION("VLOOKUP(C487,IMPORTRANGE(""https://docs.google.com/spreadsheets/d/1ZLN5T8y7NSBIP1rvSj6TTUR_vTQbRwUKSt8zZJ_EfE4/edit?gid=1445041288#gid=1445041288"",""SCHEDULE_KPM23_JAN26""),40,0)"),0)</f>
        <v>0</v>
      </c>
      <c r="AB487" s="125">
        <f ca="1">IFERROR(__xludf.DUMMYFUNCTION("VLOOKUP(C487,IMPORTRANGE(""https://docs.google.com/spreadsheets/d/1ZLN5T8y7NSBIP1rvSj6TTUR_vTQbRwUKSt8zZJ_EfE4/edit?gid=1445041288#gid=1445041288"",""SCHEDULE_KPM23_JAN26""),41,0)"),0)</f>
        <v>0</v>
      </c>
      <c r="AC487" s="125">
        <f ca="1">IFERROR(__xludf.DUMMYFUNCTION("VLOOKUP(C487,IMPORTRANGE(""https://docs.google.com/spreadsheets/d/1ZLN5T8y7NSBIP1rvSj6TTUR_vTQbRwUKSt8zZJ_EfE4/edit?gid=1445041288#gid=1445041288"",""SCHEDULE_KPM23_JAN26""),42,0)"),0)</f>
        <v>0</v>
      </c>
      <c r="AD487" s="125">
        <f ca="1">IFERROR(__xludf.DUMMYFUNCTION("VLOOKUP(C487,IMPORTRANGE(""https://docs.google.com/spreadsheets/d/1ZLN5T8y7NSBIP1rvSj6TTUR_vTQbRwUKSt8zZJ_EfE4/edit?gid=1445041288#gid=1445041288"",""SCHEDULE_KPM23_JAN26""),43,0)"),0)</f>
        <v>0</v>
      </c>
      <c r="AE487" s="70">
        <v>0</v>
      </c>
      <c r="AF487" s="313">
        <v>468468</v>
      </c>
      <c r="AG487" s="313">
        <v>253500</v>
      </c>
      <c r="AH487" s="70">
        <v>0</v>
      </c>
      <c r="AI487" s="169"/>
      <c r="AJ487" s="169"/>
      <c r="AK487" s="169"/>
      <c r="AL487" s="70">
        <v>0</v>
      </c>
      <c r="AM487" s="312">
        <f t="shared" ref="AM487:AM489" si="585">AE487+AF487+AG487+AH487+AJ487+AL487</f>
        <v>721968</v>
      </c>
      <c r="AN487" s="326">
        <f t="shared" ref="AN487:AN489" ca="1" si="586">Y487-AM487</f>
        <v>5008426.9000000004</v>
      </c>
      <c r="AO487" s="169">
        <f t="shared" ref="AO487:AO489" ca="1" si="587">BE487</f>
        <v>0</v>
      </c>
      <c r="AP487" s="326">
        <f t="shared" ref="AP487:AP489" ca="1" si="588">AN487-AO487</f>
        <v>5008426.9000000004</v>
      </c>
      <c r="AQ487" s="326">
        <f t="shared" ref="AQ487:AQ489" ca="1" si="589">AP487-X487</f>
        <v>5008426.9000000004</v>
      </c>
      <c r="AR487" s="326">
        <f t="shared" ref="AR487:AR489" ca="1" si="590">IF(AQ487&gt;0,ROUND(AQ487,-2),0)</f>
        <v>5008400</v>
      </c>
      <c r="AS487" s="113"/>
      <c r="AT487" s="224" t="s">
        <v>17</v>
      </c>
      <c r="AU487" s="125" t="s">
        <v>15</v>
      </c>
      <c r="AV487" s="70">
        <f t="shared" ref="AV487:AV489" si="591">I487</f>
        <v>5729876</v>
      </c>
      <c r="AW487" s="70">
        <f t="shared" ref="AW487:AW489" si="592">P487</f>
        <v>0</v>
      </c>
      <c r="AX487" s="70">
        <f t="shared" ref="AX487:AX489" ca="1" si="593">W487</f>
        <v>0</v>
      </c>
      <c r="AY487" s="70">
        <v>0</v>
      </c>
      <c r="AZ487" s="70">
        <f t="shared" ref="AZ487:AZ489" si="594">IF(J487=0,0,AV487*0.24%)</f>
        <v>13751.702399999998</v>
      </c>
      <c r="BA487" s="70">
        <f t="shared" ref="BA487:BA489" si="595">IF(J487=0,0,AV487*0.3%)</f>
        <v>17189.628000000001</v>
      </c>
      <c r="BB487" s="70">
        <f t="shared" ref="BB487:BB489" si="596">IF(K487=0,0,AV487*4%)</f>
        <v>229195.04</v>
      </c>
      <c r="BC487" s="70">
        <f t="shared" ref="BC487:BC489" ca="1" si="597">SUM(AV487:BB487)</f>
        <v>5990012.3703999994</v>
      </c>
      <c r="BD487" s="225">
        <f ca="1">IF(AU487="C",VLOOKUP(BC487,TER!$J$4:$L$50,3,TRUE),IF(AU487="B",VLOOKUP(BC487,TER!$F$4:$H$50,3,TRUE),IF(AU487="A",VLOOKUP(BC487,TER!$B$4:$D$50,3,TRUE),"ERROR")))</f>
        <v>0</v>
      </c>
      <c r="BE487" s="70">
        <f t="shared" ref="BE487:BE489" ca="1" si="598">BC487*BD487</f>
        <v>0</v>
      </c>
      <c r="BF487" s="15"/>
      <c r="BG487" s="15"/>
    </row>
    <row r="488" spans="1:59" ht="15.75" customHeight="1">
      <c r="A488" s="216"/>
      <c r="B488" s="224">
        <v>2</v>
      </c>
      <c r="C488" s="263" t="s">
        <v>1286</v>
      </c>
      <c r="D488" s="29" t="s">
        <v>1287</v>
      </c>
      <c r="E488" s="101" t="s">
        <v>30</v>
      </c>
      <c r="F488" s="99" t="s">
        <v>1288</v>
      </c>
      <c r="G488" s="101" t="s">
        <v>31</v>
      </c>
      <c r="H488" s="92" t="s">
        <v>32</v>
      </c>
      <c r="I488" s="312">
        <f t="shared" si="579"/>
        <v>5729876</v>
      </c>
      <c r="J488" s="315">
        <v>316.20499999999998</v>
      </c>
      <c r="K488" s="315">
        <v>202.69499999999999</v>
      </c>
      <c r="L488" s="169"/>
      <c r="M488" s="169"/>
      <c r="N488" s="125">
        <f ca="1">IFERROR(__xludf.DUMMYFUNCTION("VLOOKUP(C488,IMPORTRANGE(""https://docs.google.com/spreadsheets/d/1ZLN5T8y7NSBIP1rvSj6TTUR_vTQbRwUKSt8zZJ_EfE4/edit?gid=1445041288#gid=1445041288"",""SCHEDULE_KPM23_JAN26""),35,0)"),21)</f>
        <v>21</v>
      </c>
      <c r="O488" s="125">
        <f ca="1">IFERROR(__xludf.DUMMYFUNCTION("VLOOKUP(C488,IMPORTRANGE(""https://docs.google.com/spreadsheets/d/1ZLN5T8y7NSBIP1rvSj6TTUR_vTQbRwUKSt8zZJ_EfE4/edit?gid=1445041288#gid=1445041288"",""SCHEDULE_KPM23_JAN26""),34,0)"),21)</f>
        <v>21</v>
      </c>
      <c r="P488" s="70">
        <v>0</v>
      </c>
      <c r="Q488" s="169"/>
      <c r="R488" s="312">
        <f t="shared" si="580"/>
        <v>5730394.9000000004</v>
      </c>
      <c r="S488" s="312">
        <f t="shared" si="581"/>
        <v>5730394.9000000004</v>
      </c>
      <c r="T488" s="70">
        <f t="shared" si="582"/>
        <v>0</v>
      </c>
      <c r="U488" s="354">
        <v>147375</v>
      </c>
      <c r="V488" s="125">
        <f ca="1">IFERROR(__xludf.DUMMYFUNCTION("VLOOKUP(C488,IMPORTRANGE(""https://docs.google.com/spreadsheets/d/1ZLN5T8y7NSBIP1rvSj6TTUR_vTQbRwUKSt8zZJ_EfE4/edit?gid=1445041288#gid=1445041288"",""SCHEDULE_KPM23_JAN26""),36,0)"),0)</f>
        <v>0</v>
      </c>
      <c r="W488" s="70">
        <f t="shared" ca="1" si="583"/>
        <v>0</v>
      </c>
      <c r="X488" s="70">
        <v>0</v>
      </c>
      <c r="Y488" s="312">
        <f t="shared" ca="1" si="584"/>
        <v>5730394.9000000004</v>
      </c>
      <c r="Z488" s="125">
        <f ca="1">IFERROR(__xludf.DUMMYFUNCTION("VLOOKUP(C488,IMPORTRANGE(""https://docs.google.com/spreadsheets/d/1ZLN5T8y7NSBIP1rvSj6TTUR_vTQbRwUKSt8zZJ_EfE4/edit?gid=1445041288#gid=1445041288"",""SCHEDULE_KPM23_JAN26""),38,0)+VLOOKUP(C488,IMPORTRANGE(""https://docs.google.com/spreadsheets/d/1ZLN5T8y7"&amp;"NSBIP1rvSj6TTUR_vTQbRwUKSt8zZJ_EfE4/edit?gid=1445041288#gid=1445041288"",""SCHEDULE_KPM23_JAN26""),39,0)"),0)</f>
        <v>0</v>
      </c>
      <c r="AA488" s="125">
        <f ca="1">IFERROR(__xludf.DUMMYFUNCTION("VLOOKUP(C488,IMPORTRANGE(""https://docs.google.com/spreadsheets/d/1ZLN5T8y7NSBIP1rvSj6TTUR_vTQbRwUKSt8zZJ_EfE4/edit?gid=1445041288#gid=1445041288"",""SCHEDULE_KPM23_JAN26""),40,0)"),0)</f>
        <v>0</v>
      </c>
      <c r="AB488" s="125">
        <f ca="1">IFERROR(__xludf.DUMMYFUNCTION("VLOOKUP(C488,IMPORTRANGE(""https://docs.google.com/spreadsheets/d/1ZLN5T8y7NSBIP1rvSj6TTUR_vTQbRwUKSt8zZJ_EfE4/edit?gid=1445041288#gid=1445041288"",""SCHEDULE_KPM23_JAN26""),41,0)"),0)</f>
        <v>0</v>
      </c>
      <c r="AC488" s="125">
        <f ca="1">IFERROR(__xludf.DUMMYFUNCTION("VLOOKUP(C488,IMPORTRANGE(""https://docs.google.com/spreadsheets/d/1ZLN5T8y7NSBIP1rvSj6TTUR_vTQbRwUKSt8zZJ_EfE4/edit?gid=1445041288#gid=1445041288"",""SCHEDULE_KPM23_JAN26""),42,0)"),0)</f>
        <v>0</v>
      </c>
      <c r="AD488" s="125">
        <f ca="1">IFERROR(__xludf.DUMMYFUNCTION("VLOOKUP(C488,IMPORTRANGE(""https://docs.google.com/spreadsheets/d/1ZLN5T8y7NSBIP1rvSj6TTUR_vTQbRwUKSt8zZJ_EfE4/edit?gid=1445041288#gid=1445041288"",""SCHEDULE_KPM23_JAN26""),43,0)"),0)</f>
        <v>0</v>
      </c>
      <c r="AE488" s="70">
        <v>0</v>
      </c>
      <c r="AF488" s="313">
        <v>468468</v>
      </c>
      <c r="AG488" s="313">
        <v>253500</v>
      </c>
      <c r="AH488" s="70">
        <v>0</v>
      </c>
      <c r="AI488" s="169"/>
      <c r="AJ488" s="169"/>
      <c r="AK488" s="169"/>
      <c r="AL488" s="70">
        <v>0</v>
      </c>
      <c r="AM488" s="312">
        <f t="shared" si="585"/>
        <v>721968</v>
      </c>
      <c r="AN488" s="326">
        <f t="shared" ca="1" si="586"/>
        <v>5008426.9000000004</v>
      </c>
      <c r="AO488" s="169">
        <f t="shared" ca="1" si="587"/>
        <v>44925.092777999991</v>
      </c>
      <c r="AP488" s="326">
        <f t="shared" ca="1" si="588"/>
        <v>4963501.8072220003</v>
      </c>
      <c r="AQ488" s="326">
        <f t="shared" ca="1" si="589"/>
        <v>4963501.8072220003</v>
      </c>
      <c r="AR488" s="326">
        <f t="shared" ca="1" si="590"/>
        <v>4963500</v>
      </c>
      <c r="AS488" s="113"/>
      <c r="AT488" s="224" t="s">
        <v>13</v>
      </c>
      <c r="AU488" s="125" t="s">
        <v>10</v>
      </c>
      <c r="AV488" s="70">
        <f t="shared" si="591"/>
        <v>5729876</v>
      </c>
      <c r="AW488" s="70">
        <f t="shared" si="592"/>
        <v>0</v>
      </c>
      <c r="AX488" s="70">
        <f t="shared" ca="1" si="593"/>
        <v>0</v>
      </c>
      <c r="AY488" s="70">
        <v>0</v>
      </c>
      <c r="AZ488" s="70">
        <f t="shared" si="594"/>
        <v>13751.702399999998</v>
      </c>
      <c r="BA488" s="70">
        <f t="shared" si="595"/>
        <v>17189.628000000001</v>
      </c>
      <c r="BB488" s="70">
        <f t="shared" si="596"/>
        <v>229195.04</v>
      </c>
      <c r="BC488" s="70">
        <f t="shared" ca="1" si="597"/>
        <v>5990012.3703999994</v>
      </c>
      <c r="BD488" s="225">
        <f ca="1">IF(AU488="C",VLOOKUP(BC488,TER!$J$4:$L$50,3,TRUE),IF(AU488="B",VLOOKUP(BC488,TER!$F$4:$H$50,3,TRUE),IF(AU488="A",VLOOKUP(BC488,TER!$B$4:$D$50,3,TRUE),"ERROR")))</f>
        <v>7.4999999999999997E-3</v>
      </c>
      <c r="BE488" s="70">
        <f t="shared" ca="1" si="598"/>
        <v>44925.092777999991</v>
      </c>
      <c r="BF488" s="15"/>
      <c r="BG488" s="15"/>
    </row>
    <row r="489" spans="1:59" ht="15.75" customHeight="1">
      <c r="A489" s="216"/>
      <c r="B489" s="224">
        <v>3</v>
      </c>
      <c r="C489" s="263" t="s">
        <v>1289</v>
      </c>
      <c r="D489" s="264" t="s">
        <v>1290</v>
      </c>
      <c r="E489" s="101" t="s">
        <v>30</v>
      </c>
      <c r="F489" s="99" t="s">
        <v>1291</v>
      </c>
      <c r="G489" s="99" t="s">
        <v>31</v>
      </c>
      <c r="H489" s="92" t="s">
        <v>32</v>
      </c>
      <c r="I489" s="312">
        <f t="shared" si="579"/>
        <v>5729876</v>
      </c>
      <c r="J489" s="315">
        <v>316.20499999999998</v>
      </c>
      <c r="K489" s="315">
        <v>202.69499999999999</v>
      </c>
      <c r="L489" s="92"/>
      <c r="M489" s="169"/>
      <c r="N489" s="125">
        <f ca="1">IFERROR(__xludf.DUMMYFUNCTION("VLOOKUP(C489,IMPORTRANGE(""https://docs.google.com/spreadsheets/d/1ZLN5T8y7NSBIP1rvSj6TTUR_vTQbRwUKSt8zZJ_EfE4/edit?gid=1445041288#gid=1445041288"",""SCHEDULE_KPM23_JAN26""),35,0)"),20)</f>
        <v>20</v>
      </c>
      <c r="O489" s="125">
        <f ca="1">IFERROR(__xludf.DUMMYFUNCTION("VLOOKUP(C489,IMPORTRANGE(""https://docs.google.com/spreadsheets/d/1ZLN5T8y7NSBIP1rvSj6TTUR_vTQbRwUKSt8zZJ_EfE4/edit?gid=1445041288#gid=1445041288"",""SCHEDULE_KPM23_JAN26""),34,0)"),20)</f>
        <v>20</v>
      </c>
      <c r="P489" s="70">
        <v>0</v>
      </c>
      <c r="Q489" s="169"/>
      <c r="R489" s="312">
        <f t="shared" si="580"/>
        <v>5730394.9000000004</v>
      </c>
      <c r="S489" s="312">
        <f t="shared" si="581"/>
        <v>5730394.9000000004</v>
      </c>
      <c r="T489" s="70">
        <f t="shared" si="582"/>
        <v>0</v>
      </c>
      <c r="U489" s="354">
        <v>147375</v>
      </c>
      <c r="V489" s="125">
        <f ca="1">IFERROR(__xludf.DUMMYFUNCTION("VLOOKUP(C489,IMPORTRANGE(""https://docs.google.com/spreadsheets/d/1ZLN5T8y7NSBIP1rvSj6TTUR_vTQbRwUKSt8zZJ_EfE4/edit?gid=1445041288#gid=1445041288"",""SCHEDULE_KPM23_JAN26""),36,0)"),0)</f>
        <v>0</v>
      </c>
      <c r="W489" s="70">
        <f t="shared" ca="1" si="583"/>
        <v>0</v>
      </c>
      <c r="X489" s="70">
        <v>0</v>
      </c>
      <c r="Y489" s="312">
        <f t="shared" ca="1" si="584"/>
        <v>5730394.9000000004</v>
      </c>
      <c r="Z489" s="125">
        <f ca="1">IFERROR(__xludf.DUMMYFUNCTION("VLOOKUP(C489,IMPORTRANGE(""https://docs.google.com/spreadsheets/d/1ZLN5T8y7NSBIP1rvSj6TTUR_vTQbRwUKSt8zZJ_EfE4/edit?gid=1445041288#gid=1445041288"",""SCHEDULE_KPM23_JAN26""),38,0)+VLOOKUP(C489,IMPORTRANGE(""https://docs.google.com/spreadsheets/d/1ZLN5T8y7"&amp;"NSBIP1rvSj6TTUR_vTQbRwUKSt8zZJ_EfE4/edit?gid=1445041288#gid=1445041288"",""SCHEDULE_KPM23_JAN26""),39,0)"),0)</f>
        <v>0</v>
      </c>
      <c r="AA489" s="125">
        <f ca="1">IFERROR(__xludf.DUMMYFUNCTION("VLOOKUP(C489,IMPORTRANGE(""https://docs.google.com/spreadsheets/d/1ZLN5T8y7NSBIP1rvSj6TTUR_vTQbRwUKSt8zZJ_EfE4/edit?gid=1445041288#gid=1445041288"",""SCHEDULE_KPM23_JAN26""),40,0)"),0)</f>
        <v>0</v>
      </c>
      <c r="AB489" s="125">
        <f ca="1">IFERROR(__xludf.DUMMYFUNCTION("VLOOKUP(C489,IMPORTRANGE(""https://docs.google.com/spreadsheets/d/1ZLN5T8y7NSBIP1rvSj6TTUR_vTQbRwUKSt8zZJ_EfE4/edit?gid=1445041288#gid=1445041288"",""SCHEDULE_KPM23_JAN26""),41,0)"),0)</f>
        <v>0</v>
      </c>
      <c r="AC489" s="125">
        <f ca="1">IFERROR(__xludf.DUMMYFUNCTION("VLOOKUP(C489,IMPORTRANGE(""https://docs.google.com/spreadsheets/d/1ZLN5T8y7NSBIP1rvSj6TTUR_vTQbRwUKSt8zZJ_EfE4/edit?gid=1445041288#gid=1445041288"",""SCHEDULE_KPM23_JAN26""),42,0)"),0)</f>
        <v>0</v>
      </c>
      <c r="AD489" s="125">
        <f ca="1">IFERROR(__xludf.DUMMYFUNCTION("VLOOKUP(C489,IMPORTRANGE(""https://docs.google.com/spreadsheets/d/1ZLN5T8y7NSBIP1rvSj6TTUR_vTQbRwUKSt8zZJ_EfE4/edit?gid=1445041288#gid=1445041288"",""SCHEDULE_KPM23_JAN26""),43,0)"),0)</f>
        <v>0</v>
      </c>
      <c r="AE489" s="70">
        <v>0</v>
      </c>
      <c r="AF489" s="313">
        <v>468468</v>
      </c>
      <c r="AG489" s="313">
        <v>253500</v>
      </c>
      <c r="AH489" s="70">
        <v>0</v>
      </c>
      <c r="AI489" s="169"/>
      <c r="AJ489" s="169"/>
      <c r="AK489" s="169"/>
      <c r="AL489" s="70">
        <v>0</v>
      </c>
      <c r="AM489" s="312">
        <f t="shared" si="585"/>
        <v>721968</v>
      </c>
      <c r="AN489" s="326">
        <f t="shared" ca="1" si="586"/>
        <v>5008426.9000000004</v>
      </c>
      <c r="AO489" s="169">
        <f t="shared" ca="1" si="587"/>
        <v>44925.092777999991</v>
      </c>
      <c r="AP489" s="326">
        <f t="shared" ca="1" si="588"/>
        <v>4963501.8072220003</v>
      </c>
      <c r="AQ489" s="326">
        <f t="shared" ca="1" si="589"/>
        <v>4963501.8072220003</v>
      </c>
      <c r="AR489" s="326">
        <f t="shared" ca="1" si="590"/>
        <v>4963500</v>
      </c>
      <c r="AS489" s="72"/>
      <c r="AT489" s="235" t="s">
        <v>13</v>
      </c>
      <c r="AU489" s="125" t="s">
        <v>10</v>
      </c>
      <c r="AV489" s="70">
        <f t="shared" si="591"/>
        <v>5729876</v>
      </c>
      <c r="AW489" s="70">
        <f t="shared" si="592"/>
        <v>0</v>
      </c>
      <c r="AX489" s="70">
        <f t="shared" ca="1" si="593"/>
        <v>0</v>
      </c>
      <c r="AY489" s="70">
        <v>0</v>
      </c>
      <c r="AZ489" s="70">
        <f t="shared" si="594"/>
        <v>13751.702399999998</v>
      </c>
      <c r="BA489" s="70">
        <f t="shared" si="595"/>
        <v>17189.628000000001</v>
      </c>
      <c r="BB489" s="70">
        <f t="shared" si="596"/>
        <v>229195.04</v>
      </c>
      <c r="BC489" s="70">
        <f t="shared" ca="1" si="597"/>
        <v>5990012.3703999994</v>
      </c>
      <c r="BD489" s="225">
        <f ca="1">IF(AU489="C",VLOOKUP(BC489,TER!$J$4:$L$50,3,TRUE),IF(AU489="B",VLOOKUP(BC489,TER!$F$4:$H$50,3,TRUE),IF(AU489="A",VLOOKUP(BC489,TER!$B$4:$D$50,3,TRUE),"ERROR")))</f>
        <v>7.4999999999999997E-3</v>
      </c>
      <c r="BE489" s="70">
        <f t="shared" ca="1" si="598"/>
        <v>44925.092777999991</v>
      </c>
      <c r="BF489" s="15"/>
      <c r="BG489" s="15"/>
    </row>
    <row r="490" spans="1:59" ht="15.75" customHeight="1">
      <c r="A490" s="216"/>
      <c r="B490" s="256">
        <v>3</v>
      </c>
      <c r="C490" s="456" t="s">
        <v>1292</v>
      </c>
      <c r="D490" s="411"/>
      <c r="E490" s="170"/>
      <c r="F490" s="171"/>
      <c r="G490" s="171"/>
      <c r="H490" s="231"/>
      <c r="I490" s="329">
        <f t="shared" ref="I490:K490" si="599">SUM(I487:I489)</f>
        <v>17189628</v>
      </c>
      <c r="J490" s="321">
        <f t="shared" si="599"/>
        <v>948.61500000000001</v>
      </c>
      <c r="K490" s="321">
        <f t="shared" si="599"/>
        <v>608.08500000000004</v>
      </c>
      <c r="L490" s="133">
        <v>0</v>
      </c>
      <c r="M490" s="232"/>
      <c r="N490" s="173">
        <f t="shared" ref="N490:O490" ca="1" si="600">SUM(N487:N489)</f>
        <v>62</v>
      </c>
      <c r="O490" s="173">
        <f t="shared" ca="1" si="600"/>
        <v>62</v>
      </c>
      <c r="P490" s="133">
        <v>0</v>
      </c>
      <c r="Q490" s="232"/>
      <c r="R490" s="329">
        <f t="shared" ref="R490:T490" si="601">SUM(R487:R489)</f>
        <v>17191184.700000003</v>
      </c>
      <c r="S490" s="329">
        <f t="shared" si="601"/>
        <v>17191184.700000003</v>
      </c>
      <c r="T490" s="133">
        <f t="shared" si="601"/>
        <v>0</v>
      </c>
      <c r="U490" s="232"/>
      <c r="V490" s="173">
        <f t="shared" ref="V490:W490" ca="1" si="602">SUM(V487:V489)</f>
        <v>0</v>
      </c>
      <c r="W490" s="133">
        <f t="shared" ca="1" si="602"/>
        <v>0</v>
      </c>
      <c r="X490" s="133">
        <v>0</v>
      </c>
      <c r="Y490" s="329">
        <f t="shared" ref="Y490:AD490" ca="1" si="603">SUM(Y487:Y489)</f>
        <v>17191184.700000003</v>
      </c>
      <c r="Z490" s="173">
        <f t="shared" ca="1" si="603"/>
        <v>0</v>
      </c>
      <c r="AA490" s="173">
        <f t="shared" ca="1" si="603"/>
        <v>0</v>
      </c>
      <c r="AB490" s="173">
        <f t="shared" ca="1" si="603"/>
        <v>0</v>
      </c>
      <c r="AC490" s="173">
        <f t="shared" ca="1" si="603"/>
        <v>0</v>
      </c>
      <c r="AD490" s="173">
        <f t="shared" ca="1" si="603"/>
        <v>0</v>
      </c>
      <c r="AE490" s="133">
        <v>0</v>
      </c>
      <c r="AF490" s="329">
        <f t="shared" ref="AF490:AG490" si="604">SUM(AF487:AF489)</f>
        <v>1405404</v>
      </c>
      <c r="AG490" s="329">
        <f t="shared" si="604"/>
        <v>760500</v>
      </c>
      <c r="AH490" s="133">
        <v>0</v>
      </c>
      <c r="AI490" s="133">
        <v>0</v>
      </c>
      <c r="AJ490" s="133">
        <v>0</v>
      </c>
      <c r="AK490" s="133">
        <v>0</v>
      </c>
      <c r="AL490" s="133">
        <v>0</v>
      </c>
      <c r="AM490" s="329">
        <f t="shared" ref="AM490:AR490" si="605">SUM(AM487:AM489)</f>
        <v>2165904</v>
      </c>
      <c r="AN490" s="329">
        <f t="shared" ca="1" si="605"/>
        <v>15025280.700000001</v>
      </c>
      <c r="AO490" s="133">
        <f t="shared" ca="1" si="605"/>
        <v>89850.185555999982</v>
      </c>
      <c r="AP490" s="329">
        <f t="shared" ca="1" si="605"/>
        <v>14935430.514444001</v>
      </c>
      <c r="AQ490" s="329">
        <f t="shared" ca="1" si="605"/>
        <v>14935430.514444001</v>
      </c>
      <c r="AR490" s="329">
        <f t="shared" ca="1" si="605"/>
        <v>14935400</v>
      </c>
      <c r="AS490" s="72"/>
      <c r="AT490" s="72"/>
      <c r="AU490" s="141"/>
      <c r="AV490" s="141"/>
      <c r="AW490" s="118"/>
      <c r="AX490" s="141"/>
      <c r="AY490" s="141"/>
      <c r="AZ490" s="141"/>
      <c r="BA490" s="141"/>
      <c r="BB490" s="141"/>
      <c r="BC490" s="141"/>
      <c r="BD490" s="141"/>
      <c r="BE490" s="141"/>
      <c r="BF490" s="15"/>
      <c r="BG490" s="15"/>
    </row>
    <row r="491" spans="1:59" ht="15.75" customHeight="1">
      <c r="A491" s="216"/>
      <c r="B491" s="12"/>
      <c r="C491" s="12"/>
      <c r="D491" s="13"/>
      <c r="E491" s="12"/>
      <c r="F491" s="13"/>
      <c r="G491" s="13"/>
      <c r="H491" s="12"/>
      <c r="I491" s="18"/>
      <c r="J491" s="20"/>
      <c r="K491" s="20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 t="s">
        <v>1343</v>
      </c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20"/>
      <c r="AH491" s="20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216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5"/>
      <c r="BG491" s="15"/>
    </row>
    <row r="492" spans="1:59" ht="15.75" customHeight="1">
      <c r="A492" s="216"/>
      <c r="B492" s="12"/>
      <c r="C492" s="12"/>
      <c r="D492" s="13"/>
      <c r="E492" s="12"/>
      <c r="F492" s="13"/>
      <c r="G492" s="13"/>
      <c r="H492" s="12"/>
      <c r="I492" s="18"/>
      <c r="J492" s="16"/>
      <c r="K492" s="16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6"/>
      <c r="AH492" s="16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216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5"/>
      <c r="BG492" s="15"/>
    </row>
    <row r="493" spans="1:59" ht="15.75" customHeight="1">
      <c r="A493" s="216"/>
      <c r="B493" s="12"/>
      <c r="C493" s="12"/>
      <c r="E493" s="12"/>
      <c r="F493" s="13"/>
      <c r="G493" s="13"/>
      <c r="H493" s="12"/>
      <c r="I493" s="18"/>
      <c r="J493" s="16"/>
      <c r="K493" s="16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6"/>
      <c r="AH493" s="16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216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5"/>
      <c r="BG493" s="15"/>
    </row>
    <row r="494" spans="1:59" ht="15.75" customHeight="1">
      <c r="A494" s="216"/>
      <c r="B494" s="12"/>
      <c r="C494" s="12"/>
      <c r="E494" s="12"/>
      <c r="F494" s="13"/>
      <c r="G494" s="13"/>
      <c r="H494" s="12"/>
      <c r="I494" s="18"/>
      <c r="J494" s="16"/>
      <c r="K494" s="16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6"/>
      <c r="AH494" s="16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216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5"/>
      <c r="BG494" s="15"/>
    </row>
    <row r="495" spans="1:59" ht="15.75" customHeight="1">
      <c r="A495" s="216"/>
      <c r="B495" s="12"/>
      <c r="C495" s="12"/>
      <c r="E495" s="12"/>
      <c r="F495" s="13"/>
      <c r="G495" s="13"/>
      <c r="H495" s="12"/>
      <c r="I495" s="18"/>
      <c r="J495" s="16"/>
      <c r="K495" s="16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6"/>
      <c r="AH495" s="16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216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5"/>
      <c r="BG495" s="15"/>
    </row>
    <row r="496" spans="1:59" ht="15.75" customHeight="1">
      <c r="A496" s="216"/>
      <c r="B496" s="12"/>
      <c r="C496" s="12"/>
      <c r="E496" s="12"/>
      <c r="F496" s="13"/>
      <c r="G496" s="13"/>
      <c r="H496" s="12"/>
      <c r="I496" s="18"/>
      <c r="J496" s="16"/>
      <c r="K496" s="16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6"/>
      <c r="AH496" s="16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216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5"/>
      <c r="BG496" s="15"/>
    </row>
    <row r="497" spans="1:59" ht="15.75" customHeight="1">
      <c r="A497" s="216"/>
      <c r="B497" s="12"/>
      <c r="C497" s="12"/>
      <c r="E497" s="12"/>
      <c r="F497" s="13"/>
      <c r="G497" s="13"/>
      <c r="H497" s="12"/>
      <c r="I497" s="18"/>
      <c r="J497" s="16"/>
      <c r="K497" s="16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6"/>
      <c r="AH497" s="16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216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5"/>
      <c r="BG497" s="15"/>
    </row>
    <row r="498" spans="1:59" ht="15.75" customHeight="1">
      <c r="A498" s="216"/>
      <c r="B498" s="12"/>
      <c r="C498" s="12"/>
      <c r="E498" s="12"/>
      <c r="F498" s="13"/>
      <c r="G498" s="13"/>
      <c r="H498" s="12"/>
      <c r="I498" s="18"/>
      <c r="J498" s="16"/>
      <c r="K498" s="16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6"/>
      <c r="AH498" s="16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216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5"/>
      <c r="BG498" s="15"/>
    </row>
    <row r="499" spans="1:59" ht="15.75" customHeight="1">
      <c r="A499" s="216"/>
      <c r="B499" s="12"/>
      <c r="C499" s="12"/>
      <c r="E499" s="12"/>
      <c r="F499" s="13"/>
      <c r="G499" s="13"/>
      <c r="H499" s="12"/>
      <c r="I499" s="18"/>
      <c r="J499" s="16"/>
      <c r="K499" s="16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6"/>
      <c r="AH499" s="16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216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5"/>
      <c r="BG499" s="15"/>
    </row>
    <row r="500" spans="1:59" ht="15.75" customHeight="1">
      <c r="A500" s="216"/>
      <c r="B500" s="12"/>
      <c r="C500" s="12"/>
      <c r="E500" s="12"/>
      <c r="F500" s="13"/>
      <c r="G500" s="13"/>
      <c r="H500" s="12"/>
      <c r="I500" s="18"/>
      <c r="J500" s="16"/>
      <c r="K500" s="16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6"/>
      <c r="AH500" s="16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216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5"/>
      <c r="BG500" s="15"/>
    </row>
    <row r="501" spans="1:59" ht="15.75" customHeight="1">
      <c r="A501" s="216"/>
      <c r="B501" s="12"/>
      <c r="C501" s="12"/>
      <c r="E501" s="12"/>
      <c r="F501" s="13"/>
      <c r="G501" s="13"/>
      <c r="H501" s="12"/>
      <c r="I501" s="18"/>
      <c r="J501" s="16"/>
      <c r="K501" s="16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6"/>
      <c r="AH501" s="16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216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5"/>
      <c r="BG501" s="15"/>
    </row>
    <row r="502" spans="1:59" ht="15.75" customHeight="1">
      <c r="A502" s="216"/>
      <c r="B502" s="12"/>
      <c r="C502" s="12"/>
      <c r="E502" s="12"/>
      <c r="F502" s="13"/>
      <c r="G502" s="13"/>
      <c r="H502" s="12"/>
      <c r="I502" s="18"/>
      <c r="J502" s="16"/>
      <c r="K502" s="16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6"/>
      <c r="AH502" s="16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216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5"/>
      <c r="BG502" s="15"/>
    </row>
    <row r="503" spans="1:59" ht="15.75" customHeight="1">
      <c r="A503" s="216"/>
      <c r="B503" s="12"/>
      <c r="C503" s="12"/>
      <c r="E503" s="12"/>
      <c r="F503" s="13"/>
      <c r="G503" s="13"/>
      <c r="H503" s="12"/>
      <c r="I503" s="18"/>
      <c r="J503" s="16"/>
      <c r="K503" s="16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6"/>
      <c r="AH503" s="16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216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5"/>
      <c r="BG503" s="15"/>
    </row>
    <row r="504" spans="1:59" ht="15.75" customHeight="1">
      <c r="A504" s="216"/>
      <c r="B504" s="12"/>
      <c r="C504" s="12"/>
      <c r="E504" s="12"/>
      <c r="F504" s="13"/>
      <c r="G504" s="13"/>
      <c r="H504" s="12"/>
      <c r="I504" s="18"/>
      <c r="J504" s="16"/>
      <c r="K504" s="16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6"/>
      <c r="AH504" s="16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216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5"/>
      <c r="BG504" s="15"/>
    </row>
    <row r="505" spans="1:59" ht="15.75" customHeight="1">
      <c r="A505" s="216"/>
      <c r="B505" s="12"/>
      <c r="C505" s="12"/>
      <c r="E505" s="12"/>
      <c r="F505" s="13"/>
      <c r="G505" s="13"/>
      <c r="H505" s="12"/>
      <c r="I505" s="18"/>
      <c r="J505" s="16"/>
      <c r="K505" s="16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6"/>
      <c r="AH505" s="16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216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5"/>
      <c r="BG505" s="15"/>
    </row>
    <row r="506" spans="1:59" ht="15.75" customHeight="1">
      <c r="A506" s="216"/>
      <c r="B506" s="12"/>
      <c r="C506" s="12"/>
      <c r="E506" s="12"/>
      <c r="F506" s="13"/>
      <c r="G506" s="13"/>
      <c r="H506" s="12"/>
      <c r="I506" s="18"/>
      <c r="J506" s="16"/>
      <c r="K506" s="16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6"/>
      <c r="AH506" s="16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216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5"/>
      <c r="BG506" s="15"/>
    </row>
    <row r="507" spans="1:59" ht="15.75" customHeight="1">
      <c r="A507" s="216"/>
      <c r="B507" s="12"/>
      <c r="C507" s="12"/>
      <c r="E507" s="12"/>
      <c r="F507" s="13"/>
      <c r="G507" s="13"/>
      <c r="H507" s="12"/>
      <c r="I507" s="18"/>
      <c r="J507" s="16"/>
      <c r="K507" s="16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6"/>
      <c r="AH507" s="16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216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5"/>
      <c r="BG507" s="15"/>
    </row>
    <row r="508" spans="1:59" ht="15.75" customHeight="1">
      <c r="A508" s="216"/>
      <c r="B508" s="12"/>
      <c r="C508" s="12"/>
      <c r="E508" s="12"/>
      <c r="F508" s="13"/>
      <c r="G508" s="13"/>
      <c r="H508" s="12"/>
      <c r="I508" s="18"/>
      <c r="J508" s="16"/>
      <c r="K508" s="16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6"/>
      <c r="AH508" s="16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216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5"/>
      <c r="BG508" s="15"/>
    </row>
    <row r="509" spans="1:59" ht="15.75" customHeight="1">
      <c r="A509" s="216"/>
      <c r="B509" s="12"/>
      <c r="C509" s="12"/>
      <c r="E509" s="12"/>
      <c r="F509" s="13"/>
      <c r="G509" s="13"/>
      <c r="H509" s="12"/>
      <c r="I509" s="18"/>
      <c r="J509" s="16"/>
      <c r="K509" s="16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6"/>
      <c r="AH509" s="16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216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5"/>
      <c r="BG509" s="15"/>
    </row>
    <row r="510" spans="1:59" ht="15.75" customHeight="1">
      <c r="A510" s="216"/>
      <c r="B510" s="12"/>
      <c r="C510" s="12"/>
      <c r="E510" s="12"/>
      <c r="F510" s="13"/>
      <c r="G510" s="13"/>
      <c r="H510" s="12"/>
      <c r="I510" s="18"/>
      <c r="J510" s="16"/>
      <c r="K510" s="16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6"/>
      <c r="AH510" s="16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216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5"/>
      <c r="BG510" s="15"/>
    </row>
    <row r="511" spans="1:59" ht="15.75" customHeight="1">
      <c r="A511" s="216"/>
      <c r="B511" s="12"/>
      <c r="C511" s="12"/>
      <c r="E511" s="12"/>
      <c r="F511" s="13"/>
      <c r="G511" s="13"/>
      <c r="H511" s="12"/>
      <c r="I511" s="18"/>
      <c r="J511" s="16"/>
      <c r="K511" s="16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6"/>
      <c r="AH511" s="16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216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5"/>
      <c r="BG511" s="15"/>
    </row>
    <row r="512" spans="1:59" ht="15.75" customHeight="1">
      <c r="A512" s="216"/>
      <c r="B512" s="12"/>
      <c r="C512" s="12"/>
      <c r="E512" s="12"/>
      <c r="F512" s="13"/>
      <c r="G512" s="13"/>
      <c r="H512" s="12"/>
      <c r="I512" s="18"/>
      <c r="J512" s="16"/>
      <c r="K512" s="16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6"/>
      <c r="AH512" s="16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216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5"/>
      <c r="BG512" s="15"/>
    </row>
    <row r="513" spans="1:59" ht="15.75" customHeight="1">
      <c r="A513" s="216"/>
      <c r="B513" s="12"/>
      <c r="C513" s="12"/>
      <c r="E513" s="12"/>
      <c r="F513" s="13"/>
      <c r="G513" s="13"/>
      <c r="H513" s="12"/>
      <c r="I513" s="18"/>
      <c r="J513" s="16"/>
      <c r="K513" s="16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6"/>
      <c r="AH513" s="16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216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5"/>
      <c r="BG513" s="15"/>
    </row>
    <row r="514" spans="1:59" ht="15.75" customHeight="1">
      <c r="A514" s="216"/>
      <c r="B514" s="12"/>
      <c r="C514" s="12"/>
      <c r="E514" s="12"/>
      <c r="F514" s="13"/>
      <c r="G514" s="13"/>
      <c r="H514" s="12"/>
      <c r="I514" s="18"/>
      <c r="J514" s="16"/>
      <c r="K514" s="16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6"/>
      <c r="AH514" s="16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216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5"/>
      <c r="BG514" s="15"/>
    </row>
    <row r="515" spans="1:59" ht="15.75" customHeight="1">
      <c r="A515" s="216"/>
      <c r="B515" s="12"/>
      <c r="C515" s="12"/>
      <c r="E515" s="12"/>
      <c r="F515" s="13"/>
      <c r="G515" s="13"/>
      <c r="H515" s="12"/>
      <c r="I515" s="18"/>
      <c r="J515" s="16"/>
      <c r="K515" s="16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6"/>
      <c r="AH515" s="16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216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5"/>
      <c r="BG515" s="15"/>
    </row>
    <row r="516" spans="1:59" ht="15.75" customHeight="1">
      <c r="A516" s="216"/>
      <c r="B516" s="12"/>
      <c r="C516" s="12"/>
      <c r="E516" s="12"/>
      <c r="F516" s="13"/>
      <c r="G516" s="13"/>
      <c r="H516" s="12"/>
      <c r="I516" s="18"/>
      <c r="J516" s="16"/>
      <c r="K516" s="16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6"/>
      <c r="AH516" s="16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216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5"/>
      <c r="BG516" s="15"/>
    </row>
    <row r="517" spans="1:59" ht="15.75" customHeight="1">
      <c r="A517" s="216"/>
      <c r="B517" s="12"/>
      <c r="C517" s="12"/>
      <c r="E517" s="12"/>
      <c r="F517" s="13"/>
      <c r="G517" s="13"/>
      <c r="H517" s="12"/>
      <c r="I517" s="18"/>
      <c r="J517" s="16"/>
      <c r="K517" s="16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6"/>
      <c r="AH517" s="16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216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5"/>
      <c r="BG517" s="15"/>
    </row>
    <row r="518" spans="1:59" ht="15.75" customHeight="1">
      <c r="A518" s="216"/>
      <c r="B518" s="12"/>
      <c r="C518" s="12"/>
      <c r="D518" s="13"/>
      <c r="E518" s="12"/>
      <c r="F518" s="13"/>
      <c r="G518" s="13"/>
      <c r="H518" s="12"/>
      <c r="I518" s="18"/>
      <c r="J518" s="16"/>
      <c r="K518" s="16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6"/>
      <c r="AH518" s="16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216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5"/>
      <c r="BG518" s="15"/>
    </row>
    <row r="519" spans="1:59" ht="15.75" customHeight="1">
      <c r="A519" s="216"/>
      <c r="B519" s="12"/>
      <c r="C519" s="12"/>
      <c r="D519" s="13"/>
      <c r="E519" s="12"/>
      <c r="F519" s="13"/>
      <c r="G519" s="13"/>
      <c r="H519" s="12"/>
      <c r="I519" s="18"/>
      <c r="J519" s="16"/>
      <c r="K519" s="16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6"/>
      <c r="AH519" s="16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216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5"/>
      <c r="BG519" s="15"/>
    </row>
    <row r="520" spans="1:59" ht="15.75" customHeight="1">
      <c r="A520" s="216"/>
      <c r="B520" s="12"/>
      <c r="C520" s="12"/>
      <c r="D520" s="13"/>
      <c r="E520" s="12"/>
      <c r="F520" s="13"/>
      <c r="G520" s="13"/>
      <c r="H520" s="12"/>
      <c r="I520" s="18"/>
      <c r="J520" s="16"/>
      <c r="K520" s="16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6"/>
      <c r="AH520" s="16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216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5"/>
      <c r="BG520" s="15"/>
    </row>
    <row r="521" spans="1:59" ht="15.75" customHeight="1">
      <c r="A521" s="216"/>
      <c r="B521" s="12"/>
      <c r="C521" s="12"/>
      <c r="D521" s="13"/>
      <c r="E521" s="12"/>
      <c r="F521" s="13"/>
      <c r="G521" s="13"/>
      <c r="H521" s="12"/>
      <c r="I521" s="18"/>
      <c r="J521" s="16"/>
      <c r="K521" s="16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6"/>
      <c r="AH521" s="16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216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5"/>
      <c r="BG521" s="15"/>
    </row>
    <row r="522" spans="1:59" ht="15.75" customHeight="1">
      <c r="A522" s="216"/>
      <c r="B522" s="12"/>
      <c r="C522" s="12"/>
      <c r="D522" s="13"/>
      <c r="E522" s="12"/>
      <c r="F522" s="13"/>
      <c r="G522" s="13"/>
      <c r="H522" s="12"/>
      <c r="I522" s="18"/>
      <c r="J522" s="16"/>
      <c r="K522" s="16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6"/>
      <c r="AH522" s="16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216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5"/>
      <c r="BG522" s="15"/>
    </row>
    <row r="523" spans="1:59" ht="15.75" customHeight="1">
      <c r="A523" s="216"/>
      <c r="B523" s="12"/>
      <c r="C523" s="12"/>
      <c r="D523" s="13"/>
      <c r="E523" s="12"/>
      <c r="F523" s="13"/>
      <c r="G523" s="13"/>
      <c r="H523" s="12"/>
      <c r="I523" s="18"/>
      <c r="J523" s="16"/>
      <c r="K523" s="16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6"/>
      <c r="AH523" s="16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216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5"/>
      <c r="BG523" s="15"/>
    </row>
    <row r="524" spans="1:59" ht="15.75" customHeight="1">
      <c r="A524" s="216"/>
      <c r="B524" s="12"/>
      <c r="C524" s="12"/>
      <c r="D524" s="13"/>
      <c r="E524" s="12"/>
      <c r="F524" s="13"/>
      <c r="G524" s="13"/>
      <c r="H524" s="12"/>
      <c r="I524" s="18"/>
      <c r="J524" s="16"/>
      <c r="K524" s="16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6"/>
      <c r="AH524" s="16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216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5"/>
      <c r="BG524" s="15"/>
    </row>
    <row r="525" spans="1:59" ht="15.75" customHeight="1">
      <c r="A525" s="216"/>
      <c r="B525" s="12"/>
      <c r="C525" s="12"/>
      <c r="D525" s="13"/>
      <c r="E525" s="12"/>
      <c r="F525" s="13"/>
      <c r="G525" s="13"/>
      <c r="H525" s="12"/>
      <c r="I525" s="18"/>
      <c r="J525" s="16"/>
      <c r="K525" s="16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6"/>
      <c r="AH525" s="16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216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5"/>
      <c r="BG525" s="15"/>
    </row>
    <row r="526" spans="1:59" ht="15.75" customHeight="1">
      <c r="A526" s="216"/>
      <c r="B526" s="12"/>
      <c r="C526" s="12"/>
      <c r="D526" s="13"/>
      <c r="E526" s="12"/>
      <c r="F526" s="13"/>
      <c r="G526" s="13"/>
      <c r="H526" s="12"/>
      <c r="I526" s="18"/>
      <c r="J526" s="16"/>
      <c r="K526" s="16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6"/>
      <c r="AH526" s="16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216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5"/>
      <c r="BG526" s="15"/>
    </row>
    <row r="527" spans="1:59" ht="15.75" customHeight="1">
      <c r="A527" s="216"/>
      <c r="B527" s="12"/>
      <c r="C527" s="12"/>
      <c r="D527" s="13"/>
      <c r="E527" s="12"/>
      <c r="F527" s="13"/>
      <c r="G527" s="13"/>
      <c r="H527" s="12"/>
      <c r="I527" s="18"/>
      <c r="J527" s="16"/>
      <c r="K527" s="16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6"/>
      <c r="AH527" s="16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216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5"/>
      <c r="BG527" s="15"/>
    </row>
    <row r="528" spans="1:59" ht="15.75" customHeight="1">
      <c r="A528" s="216"/>
      <c r="B528" s="12"/>
      <c r="C528" s="12"/>
      <c r="D528" s="13"/>
      <c r="E528" s="12"/>
      <c r="F528" s="13"/>
      <c r="G528" s="13"/>
      <c r="H528" s="12"/>
      <c r="I528" s="18"/>
      <c r="J528" s="16"/>
      <c r="K528" s="16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6"/>
      <c r="AH528" s="16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216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5"/>
      <c r="BG528" s="15"/>
    </row>
    <row r="529" spans="1:59" ht="15.75" customHeight="1">
      <c r="A529" s="216"/>
      <c r="B529" s="12"/>
      <c r="C529" s="12"/>
      <c r="D529" s="13"/>
      <c r="E529" s="12"/>
      <c r="F529" s="13"/>
      <c r="G529" s="13"/>
      <c r="H529" s="12"/>
      <c r="I529" s="18"/>
      <c r="J529" s="16"/>
      <c r="K529" s="16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6"/>
      <c r="AH529" s="16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216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5"/>
      <c r="BG529" s="15"/>
    </row>
    <row r="530" spans="1:59" ht="15.75" customHeight="1">
      <c r="A530" s="216"/>
      <c r="B530" s="12"/>
      <c r="C530" s="12"/>
      <c r="D530" s="13"/>
      <c r="E530" s="12"/>
      <c r="F530" s="13"/>
      <c r="G530" s="13"/>
      <c r="H530" s="12"/>
      <c r="I530" s="18"/>
      <c r="J530" s="16"/>
      <c r="K530" s="16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6"/>
      <c r="AH530" s="16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216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5"/>
      <c r="BG530" s="15"/>
    </row>
    <row r="531" spans="1:59" ht="15.75" customHeight="1">
      <c r="A531" s="216"/>
      <c r="B531" s="12"/>
      <c r="C531" s="12"/>
      <c r="D531" s="13"/>
      <c r="E531" s="12"/>
      <c r="F531" s="13"/>
      <c r="G531" s="13"/>
      <c r="H531" s="12"/>
      <c r="I531" s="18"/>
      <c r="J531" s="16"/>
      <c r="K531" s="16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6"/>
      <c r="AH531" s="16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216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5"/>
      <c r="BG531" s="15"/>
    </row>
    <row r="532" spans="1:59" ht="15.75" customHeight="1">
      <c r="A532" s="216"/>
      <c r="B532" s="12"/>
      <c r="C532" s="12"/>
      <c r="D532" s="13"/>
      <c r="E532" s="12"/>
      <c r="F532" s="13"/>
      <c r="G532" s="13"/>
      <c r="H532" s="12"/>
      <c r="I532" s="18"/>
      <c r="J532" s="16"/>
      <c r="K532" s="16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6"/>
      <c r="AH532" s="16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216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5"/>
      <c r="BG532" s="15"/>
    </row>
    <row r="533" spans="1:59" ht="15.75" customHeight="1">
      <c r="A533" s="216"/>
      <c r="B533" s="12"/>
      <c r="C533" s="12"/>
      <c r="D533" s="13"/>
      <c r="E533" s="12"/>
      <c r="F533" s="13"/>
      <c r="G533" s="13"/>
      <c r="H533" s="12"/>
      <c r="I533" s="18"/>
      <c r="J533" s="16"/>
      <c r="K533" s="16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6"/>
      <c r="AH533" s="16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216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5"/>
      <c r="BG533" s="15"/>
    </row>
    <row r="534" spans="1:59" ht="15.75" customHeight="1">
      <c r="A534" s="216"/>
      <c r="B534" s="12"/>
      <c r="C534" s="12"/>
      <c r="D534" s="13"/>
      <c r="E534" s="12"/>
      <c r="F534" s="13"/>
      <c r="G534" s="13"/>
      <c r="H534" s="12"/>
      <c r="I534" s="18"/>
      <c r="J534" s="16"/>
      <c r="K534" s="16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6"/>
      <c r="AH534" s="16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216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5"/>
      <c r="BG534" s="15"/>
    </row>
    <row r="535" spans="1:59" ht="15.75" customHeight="1">
      <c r="A535" s="216"/>
      <c r="B535" s="12"/>
      <c r="C535" s="12"/>
      <c r="D535" s="13"/>
      <c r="E535" s="12"/>
      <c r="F535" s="13"/>
      <c r="G535" s="13"/>
      <c r="H535" s="12"/>
      <c r="I535" s="18"/>
      <c r="J535" s="16"/>
      <c r="K535" s="16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6"/>
      <c r="AH535" s="16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216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5"/>
      <c r="BG535" s="15"/>
    </row>
    <row r="536" spans="1:59" ht="15.75" customHeight="1">
      <c r="A536" s="216"/>
      <c r="B536" s="12"/>
      <c r="C536" s="12"/>
      <c r="D536" s="13"/>
      <c r="E536" s="12"/>
      <c r="F536" s="13"/>
      <c r="G536" s="13"/>
      <c r="H536" s="12"/>
      <c r="I536" s="18"/>
      <c r="J536" s="16"/>
      <c r="K536" s="16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6"/>
      <c r="AH536" s="16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216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5"/>
      <c r="BG536" s="15"/>
    </row>
    <row r="537" spans="1:59" ht="15.75" customHeight="1">
      <c r="A537" s="216"/>
      <c r="B537" s="12"/>
      <c r="C537" s="12"/>
      <c r="D537" s="13"/>
      <c r="E537" s="12"/>
      <c r="F537" s="13"/>
      <c r="G537" s="13"/>
      <c r="H537" s="12"/>
      <c r="I537" s="18"/>
      <c r="J537" s="16"/>
      <c r="K537" s="16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6"/>
      <c r="AH537" s="16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216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5"/>
      <c r="BG537" s="15"/>
    </row>
    <row r="538" spans="1:59" ht="15.75" customHeight="1">
      <c r="A538" s="216"/>
      <c r="B538" s="12"/>
      <c r="C538" s="12"/>
      <c r="D538" s="13"/>
      <c r="E538" s="12"/>
      <c r="F538" s="13"/>
      <c r="G538" s="13"/>
      <c r="H538" s="12"/>
      <c r="I538" s="18"/>
      <c r="J538" s="16"/>
      <c r="K538" s="16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6"/>
      <c r="AH538" s="16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216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5"/>
      <c r="BG538" s="15"/>
    </row>
    <row r="539" spans="1:59" ht="15.75" customHeight="1">
      <c r="A539" s="216"/>
      <c r="B539" s="12"/>
      <c r="C539" s="12"/>
      <c r="D539" s="13"/>
      <c r="E539" s="12"/>
      <c r="F539" s="13"/>
      <c r="G539" s="13"/>
      <c r="H539" s="12"/>
      <c r="I539" s="18"/>
      <c r="J539" s="16"/>
      <c r="K539" s="16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6"/>
      <c r="AH539" s="16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216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5"/>
      <c r="BG539" s="15"/>
    </row>
    <row r="540" spans="1:59" ht="15.75" customHeight="1">
      <c r="A540" s="216"/>
      <c r="B540" s="12"/>
      <c r="C540" s="12"/>
      <c r="D540" s="13"/>
      <c r="E540" s="12"/>
      <c r="F540" s="13"/>
      <c r="G540" s="13"/>
      <c r="H540" s="12"/>
      <c r="I540" s="18"/>
      <c r="J540" s="16"/>
      <c r="K540" s="16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6"/>
      <c r="AH540" s="16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216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5"/>
      <c r="BG540" s="15"/>
    </row>
    <row r="541" spans="1:59" ht="15.75" customHeight="1">
      <c r="A541" s="216"/>
      <c r="B541" s="12"/>
      <c r="C541" s="12"/>
      <c r="D541" s="13"/>
      <c r="E541" s="12"/>
      <c r="F541" s="13"/>
      <c r="G541" s="13"/>
      <c r="H541" s="12"/>
      <c r="I541" s="18"/>
      <c r="J541" s="16"/>
      <c r="K541" s="16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6"/>
      <c r="AH541" s="16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216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5"/>
      <c r="BG541" s="15"/>
    </row>
    <row r="542" spans="1:59" ht="15.75" customHeight="1">
      <c r="A542" s="216"/>
      <c r="B542" s="12"/>
      <c r="C542" s="12"/>
      <c r="D542" s="13"/>
      <c r="E542" s="12"/>
      <c r="F542" s="13"/>
      <c r="G542" s="13"/>
      <c r="H542" s="12"/>
      <c r="I542" s="18"/>
      <c r="J542" s="16"/>
      <c r="K542" s="16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6"/>
      <c r="AH542" s="16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216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5"/>
      <c r="BG542" s="15"/>
    </row>
    <row r="543" spans="1:59" ht="15.75" customHeight="1">
      <c r="A543" s="216"/>
      <c r="B543" s="12"/>
      <c r="C543" s="12"/>
      <c r="D543" s="13"/>
      <c r="E543" s="12"/>
      <c r="F543" s="13"/>
      <c r="G543" s="13"/>
      <c r="H543" s="12"/>
      <c r="I543" s="18"/>
      <c r="J543" s="16"/>
      <c r="K543" s="16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6"/>
      <c r="AH543" s="16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216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5"/>
      <c r="BG543" s="15"/>
    </row>
    <row r="544" spans="1:59" ht="15.75" customHeight="1">
      <c r="A544" s="216"/>
      <c r="B544" s="12"/>
      <c r="C544" s="12"/>
      <c r="D544" s="13"/>
      <c r="E544" s="12"/>
      <c r="F544" s="13"/>
      <c r="G544" s="13"/>
      <c r="H544" s="12"/>
      <c r="I544" s="18"/>
      <c r="J544" s="16"/>
      <c r="K544" s="16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6"/>
      <c r="AH544" s="16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216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5"/>
      <c r="BG544" s="15"/>
    </row>
    <row r="545" spans="1:59" ht="15.75" customHeight="1">
      <c r="A545" s="216"/>
      <c r="B545" s="12"/>
      <c r="C545" s="12"/>
      <c r="D545" s="13"/>
      <c r="E545" s="12"/>
      <c r="F545" s="13"/>
      <c r="G545" s="13"/>
      <c r="H545" s="12"/>
      <c r="I545" s="18"/>
      <c r="J545" s="16"/>
      <c r="K545" s="16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6"/>
      <c r="AH545" s="16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216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5"/>
      <c r="BG545" s="15"/>
    </row>
    <row r="546" spans="1:59" ht="15.75" customHeight="1">
      <c r="A546" s="216"/>
      <c r="B546" s="12"/>
      <c r="C546" s="12"/>
      <c r="D546" s="13"/>
      <c r="E546" s="12"/>
      <c r="F546" s="13"/>
      <c r="G546" s="13"/>
      <c r="H546" s="12"/>
      <c r="I546" s="18"/>
      <c r="J546" s="16"/>
      <c r="K546" s="16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6"/>
      <c r="AH546" s="16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216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5"/>
      <c r="BG546" s="15"/>
    </row>
    <row r="547" spans="1:59" ht="15.75" customHeight="1">
      <c r="A547" s="216"/>
      <c r="B547" s="12"/>
      <c r="C547" s="12"/>
      <c r="D547" s="13"/>
      <c r="E547" s="12"/>
      <c r="F547" s="13"/>
      <c r="G547" s="13"/>
      <c r="H547" s="12"/>
      <c r="I547" s="18"/>
      <c r="J547" s="16"/>
      <c r="K547" s="16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6"/>
      <c r="AH547" s="16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216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5"/>
      <c r="BG547" s="15"/>
    </row>
    <row r="548" spans="1:59" ht="15.75" customHeight="1">
      <c r="A548" s="216"/>
      <c r="B548" s="12"/>
      <c r="C548" s="12"/>
      <c r="D548" s="13"/>
      <c r="E548" s="12"/>
      <c r="F548" s="13"/>
      <c r="G548" s="13"/>
      <c r="H548" s="12"/>
      <c r="I548" s="18"/>
      <c r="J548" s="16"/>
      <c r="K548" s="16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6"/>
      <c r="AH548" s="16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216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5"/>
      <c r="BG548" s="15"/>
    </row>
    <row r="549" spans="1:59" ht="15.75" customHeight="1">
      <c r="A549" s="216"/>
      <c r="B549" s="12"/>
      <c r="C549" s="12"/>
      <c r="D549" s="13"/>
      <c r="E549" s="12"/>
      <c r="F549" s="13"/>
      <c r="G549" s="13"/>
      <c r="H549" s="12"/>
      <c r="I549" s="18"/>
      <c r="J549" s="16"/>
      <c r="K549" s="16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6"/>
      <c r="AH549" s="16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216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5"/>
      <c r="BG549" s="15"/>
    </row>
    <row r="550" spans="1:59" ht="15.75" customHeight="1">
      <c r="A550" s="216"/>
      <c r="B550" s="12"/>
      <c r="C550" s="12"/>
      <c r="D550" s="13"/>
      <c r="E550" s="12"/>
      <c r="F550" s="13"/>
      <c r="G550" s="13"/>
      <c r="H550" s="12"/>
      <c r="I550" s="18"/>
      <c r="J550" s="16"/>
      <c r="K550" s="16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6"/>
      <c r="AH550" s="16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216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5"/>
      <c r="BG550" s="15"/>
    </row>
    <row r="551" spans="1:59" ht="15.75" customHeight="1">
      <c r="A551" s="216"/>
      <c r="B551" s="12"/>
      <c r="C551" s="12"/>
      <c r="D551" s="13"/>
      <c r="E551" s="12"/>
      <c r="F551" s="13"/>
      <c r="G551" s="13"/>
      <c r="H551" s="12"/>
      <c r="I551" s="18"/>
      <c r="J551" s="16"/>
      <c r="K551" s="16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6"/>
      <c r="AH551" s="16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216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5"/>
      <c r="BG551" s="15"/>
    </row>
    <row r="552" spans="1:59" ht="15.75" customHeight="1">
      <c r="A552" s="216"/>
      <c r="B552" s="12"/>
      <c r="C552" s="12"/>
      <c r="D552" s="13"/>
      <c r="E552" s="12"/>
      <c r="F552" s="13"/>
      <c r="G552" s="13"/>
      <c r="H552" s="12"/>
      <c r="I552" s="18"/>
      <c r="J552" s="16"/>
      <c r="K552" s="16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6"/>
      <c r="AH552" s="16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216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5"/>
      <c r="BG552" s="15"/>
    </row>
    <row r="553" spans="1:59" ht="15.75" customHeight="1">
      <c r="A553" s="216"/>
      <c r="B553" s="12"/>
      <c r="C553" s="12"/>
      <c r="D553" s="13"/>
      <c r="E553" s="12"/>
      <c r="F553" s="13"/>
      <c r="G553" s="13"/>
      <c r="H553" s="12"/>
      <c r="I553" s="18"/>
      <c r="J553" s="16"/>
      <c r="K553" s="16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6"/>
      <c r="AH553" s="16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216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5"/>
      <c r="BG553" s="15"/>
    </row>
    <row r="554" spans="1:59" ht="15.75" customHeight="1">
      <c r="A554" s="216"/>
      <c r="B554" s="12"/>
      <c r="C554" s="12"/>
      <c r="D554" s="13"/>
      <c r="E554" s="12"/>
      <c r="F554" s="13"/>
      <c r="G554" s="13"/>
      <c r="H554" s="12"/>
      <c r="I554" s="18"/>
      <c r="J554" s="16"/>
      <c r="K554" s="16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6"/>
      <c r="AH554" s="16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216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5"/>
      <c r="BG554" s="15"/>
    </row>
    <row r="555" spans="1:59" ht="15.75" customHeight="1">
      <c r="A555" s="216"/>
      <c r="B555" s="12"/>
      <c r="C555" s="12"/>
      <c r="D555" s="13"/>
      <c r="E555" s="12"/>
      <c r="F555" s="13"/>
      <c r="G555" s="13"/>
      <c r="H555" s="12"/>
      <c r="I555" s="18"/>
      <c r="J555" s="16"/>
      <c r="K555" s="16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6"/>
      <c r="AH555" s="16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216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5"/>
      <c r="BG555" s="15"/>
    </row>
    <row r="556" spans="1:59" ht="15.75" customHeight="1">
      <c r="A556" s="216"/>
      <c r="B556" s="12"/>
      <c r="C556" s="12"/>
      <c r="D556" s="13"/>
      <c r="E556" s="12"/>
      <c r="F556" s="13"/>
      <c r="G556" s="13"/>
      <c r="H556" s="12"/>
      <c r="I556" s="18"/>
      <c r="J556" s="16"/>
      <c r="K556" s="16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6"/>
      <c r="AH556" s="16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216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5"/>
      <c r="BG556" s="15"/>
    </row>
    <row r="557" spans="1:59" ht="15.75" customHeight="1">
      <c r="A557" s="216"/>
      <c r="B557" s="12"/>
      <c r="C557" s="12"/>
      <c r="D557" s="13"/>
      <c r="E557" s="12"/>
      <c r="F557" s="13"/>
      <c r="G557" s="13"/>
      <c r="H557" s="12"/>
      <c r="I557" s="18"/>
      <c r="J557" s="16"/>
      <c r="K557" s="16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6"/>
      <c r="AH557" s="16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216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5"/>
      <c r="BG557" s="15"/>
    </row>
    <row r="558" spans="1:59" ht="15.75" customHeight="1">
      <c r="A558" s="216"/>
      <c r="B558" s="12"/>
      <c r="C558" s="12"/>
      <c r="D558" s="13"/>
      <c r="E558" s="12"/>
      <c r="F558" s="13"/>
      <c r="G558" s="13"/>
      <c r="H558" s="12"/>
      <c r="I558" s="18"/>
      <c r="J558" s="16"/>
      <c r="K558" s="16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6"/>
      <c r="AH558" s="16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216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5"/>
      <c r="BG558" s="15"/>
    </row>
    <row r="559" spans="1:59" ht="15.75" customHeight="1">
      <c r="A559" s="216"/>
      <c r="B559" s="12"/>
      <c r="C559" s="12"/>
      <c r="D559" s="13"/>
      <c r="E559" s="12"/>
      <c r="F559" s="13"/>
      <c r="G559" s="13"/>
      <c r="H559" s="12"/>
      <c r="I559" s="18"/>
      <c r="J559" s="16"/>
      <c r="K559" s="16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6"/>
      <c r="AH559" s="16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216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5"/>
      <c r="BG559" s="15"/>
    </row>
    <row r="560" spans="1:59" ht="15.75" customHeight="1">
      <c r="A560" s="216"/>
      <c r="B560" s="12"/>
      <c r="C560" s="12"/>
      <c r="D560" s="13"/>
      <c r="E560" s="12"/>
      <c r="F560" s="13"/>
      <c r="G560" s="13"/>
      <c r="H560" s="12"/>
      <c r="I560" s="18"/>
      <c r="J560" s="16"/>
      <c r="K560" s="16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6"/>
      <c r="AH560" s="16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216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5"/>
      <c r="BG560" s="15"/>
    </row>
    <row r="561" spans="1:59" ht="15.75" customHeight="1">
      <c r="A561" s="216"/>
      <c r="B561" s="12"/>
      <c r="C561" s="12"/>
      <c r="D561" s="13"/>
      <c r="E561" s="12"/>
      <c r="F561" s="13"/>
      <c r="G561" s="13"/>
      <c r="H561" s="12"/>
      <c r="I561" s="18"/>
      <c r="J561" s="16"/>
      <c r="K561" s="16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6"/>
      <c r="AH561" s="16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216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5"/>
      <c r="BG561" s="15"/>
    </row>
    <row r="562" spans="1:59" ht="15.75" customHeight="1">
      <c r="A562" s="216"/>
      <c r="B562" s="12"/>
      <c r="C562" s="12"/>
      <c r="D562" s="13"/>
      <c r="E562" s="12"/>
      <c r="F562" s="13"/>
      <c r="G562" s="13"/>
      <c r="H562" s="12"/>
      <c r="I562" s="18"/>
      <c r="J562" s="16"/>
      <c r="K562" s="16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6"/>
      <c r="AH562" s="16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216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5"/>
      <c r="BG562" s="15"/>
    </row>
    <row r="563" spans="1:59" ht="15.75" customHeight="1">
      <c r="A563" s="216"/>
      <c r="B563" s="12"/>
      <c r="C563" s="12"/>
      <c r="D563" s="13"/>
      <c r="E563" s="12"/>
      <c r="F563" s="13"/>
      <c r="G563" s="13"/>
      <c r="H563" s="12"/>
      <c r="I563" s="18"/>
      <c r="J563" s="16"/>
      <c r="K563" s="16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6"/>
      <c r="AH563" s="16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216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5"/>
      <c r="BG563" s="15"/>
    </row>
    <row r="564" spans="1:59" ht="15.75" customHeight="1">
      <c r="A564" s="216"/>
      <c r="B564" s="12"/>
      <c r="C564" s="12"/>
      <c r="D564" s="13"/>
      <c r="E564" s="12"/>
      <c r="F564" s="13"/>
      <c r="G564" s="13"/>
      <c r="H564" s="12"/>
      <c r="I564" s="18"/>
      <c r="J564" s="16"/>
      <c r="K564" s="16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6"/>
      <c r="AH564" s="16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216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5"/>
      <c r="BG564" s="15"/>
    </row>
    <row r="565" spans="1:59" ht="15.75" customHeight="1">
      <c r="A565" s="216"/>
      <c r="B565" s="12"/>
      <c r="C565" s="12"/>
      <c r="D565" s="13"/>
      <c r="E565" s="12"/>
      <c r="F565" s="13"/>
      <c r="G565" s="13"/>
      <c r="H565" s="12"/>
      <c r="I565" s="18"/>
      <c r="J565" s="16"/>
      <c r="K565" s="16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6"/>
      <c r="AH565" s="16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216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5"/>
      <c r="BG565" s="15"/>
    </row>
    <row r="566" spans="1:59" ht="15.75" customHeight="1">
      <c r="A566" s="216"/>
      <c r="B566" s="12"/>
      <c r="C566" s="12"/>
      <c r="D566" s="13"/>
      <c r="E566" s="12"/>
      <c r="F566" s="13"/>
      <c r="G566" s="13"/>
      <c r="H566" s="12"/>
      <c r="I566" s="18"/>
      <c r="J566" s="16"/>
      <c r="K566" s="16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6"/>
      <c r="AH566" s="16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216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5"/>
      <c r="BG566" s="15"/>
    </row>
    <row r="567" spans="1:59" ht="15.75" customHeight="1">
      <c r="A567" s="216"/>
      <c r="B567" s="12"/>
      <c r="C567" s="12"/>
      <c r="D567" s="13"/>
      <c r="E567" s="12"/>
      <c r="F567" s="13"/>
      <c r="G567" s="13"/>
      <c r="H567" s="12"/>
      <c r="I567" s="18"/>
      <c r="J567" s="16"/>
      <c r="K567" s="16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6"/>
      <c r="AH567" s="16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216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5"/>
      <c r="BG567" s="15"/>
    </row>
    <row r="568" spans="1:59" ht="15.75" customHeight="1">
      <c r="A568" s="216"/>
      <c r="B568" s="12"/>
      <c r="C568" s="12"/>
      <c r="D568" s="13"/>
      <c r="E568" s="12"/>
      <c r="F568" s="13"/>
      <c r="G568" s="13"/>
      <c r="H568" s="12"/>
      <c r="I568" s="18"/>
      <c r="J568" s="16"/>
      <c r="K568" s="16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6"/>
      <c r="AH568" s="16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216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5"/>
      <c r="BG568" s="15"/>
    </row>
    <row r="569" spans="1:59" ht="15.75" customHeight="1">
      <c r="A569" s="216"/>
      <c r="B569" s="12"/>
      <c r="C569" s="12"/>
      <c r="D569" s="13"/>
      <c r="E569" s="12"/>
      <c r="F569" s="13"/>
      <c r="G569" s="13"/>
      <c r="H569" s="12"/>
      <c r="I569" s="18"/>
      <c r="J569" s="16"/>
      <c r="K569" s="16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6"/>
      <c r="AH569" s="16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216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5"/>
      <c r="BG569" s="15"/>
    </row>
    <row r="570" spans="1:59" ht="15.75" customHeight="1">
      <c r="A570" s="216"/>
      <c r="B570" s="12"/>
      <c r="C570" s="12"/>
      <c r="D570" s="13"/>
      <c r="E570" s="12"/>
      <c r="F570" s="13"/>
      <c r="G570" s="13"/>
      <c r="H570" s="12"/>
      <c r="I570" s="18"/>
      <c r="J570" s="16"/>
      <c r="K570" s="16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6"/>
      <c r="AH570" s="16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216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5"/>
      <c r="BG570" s="15"/>
    </row>
    <row r="571" spans="1:59" ht="15.75" customHeight="1">
      <c r="A571" s="216"/>
      <c r="B571" s="12"/>
      <c r="C571" s="12"/>
      <c r="D571" s="13"/>
      <c r="E571" s="12"/>
      <c r="F571" s="13"/>
      <c r="G571" s="13"/>
      <c r="H571" s="12"/>
      <c r="I571" s="18"/>
      <c r="J571" s="16"/>
      <c r="K571" s="16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6"/>
      <c r="AH571" s="16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216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5"/>
      <c r="BG571" s="15"/>
    </row>
    <row r="572" spans="1:59" ht="15.75" customHeight="1">
      <c r="A572" s="216"/>
      <c r="B572" s="12"/>
      <c r="C572" s="12"/>
      <c r="D572" s="13"/>
      <c r="E572" s="12"/>
      <c r="F572" s="13"/>
      <c r="G572" s="13"/>
      <c r="H572" s="12"/>
      <c r="I572" s="18"/>
      <c r="J572" s="16"/>
      <c r="K572" s="16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6"/>
      <c r="AH572" s="16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216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5"/>
      <c r="BG572" s="15"/>
    </row>
    <row r="573" spans="1:59" ht="15.75" customHeight="1">
      <c r="A573" s="216"/>
      <c r="B573" s="12"/>
      <c r="C573" s="12"/>
      <c r="D573" s="13"/>
      <c r="E573" s="12"/>
      <c r="F573" s="13"/>
      <c r="G573" s="13"/>
      <c r="H573" s="12"/>
      <c r="I573" s="18"/>
      <c r="J573" s="16"/>
      <c r="K573" s="16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6"/>
      <c r="AH573" s="16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216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5"/>
      <c r="BG573" s="15"/>
    </row>
    <row r="574" spans="1:59" ht="15.75" customHeight="1">
      <c r="A574" s="216"/>
      <c r="B574" s="12"/>
      <c r="C574" s="12"/>
      <c r="D574" s="13"/>
      <c r="E574" s="12"/>
      <c r="F574" s="13"/>
      <c r="G574" s="13"/>
      <c r="H574" s="12"/>
      <c r="I574" s="18"/>
      <c r="J574" s="16"/>
      <c r="K574" s="16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6"/>
      <c r="AH574" s="16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216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5"/>
      <c r="BG574" s="15"/>
    </row>
    <row r="575" spans="1:59" ht="15.75" customHeight="1">
      <c r="A575" s="216"/>
      <c r="B575" s="12"/>
      <c r="C575" s="12"/>
      <c r="D575" s="13"/>
      <c r="E575" s="12"/>
      <c r="F575" s="13"/>
      <c r="G575" s="13"/>
      <c r="H575" s="12"/>
      <c r="I575" s="18"/>
      <c r="J575" s="16"/>
      <c r="K575" s="16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6"/>
      <c r="AH575" s="16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216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5"/>
      <c r="BG575" s="15"/>
    </row>
    <row r="576" spans="1:59" ht="15.75" customHeight="1">
      <c r="A576" s="216"/>
      <c r="B576" s="12"/>
      <c r="C576" s="12"/>
      <c r="D576" s="13"/>
      <c r="E576" s="12"/>
      <c r="F576" s="13"/>
      <c r="G576" s="13"/>
      <c r="H576" s="12"/>
      <c r="I576" s="18"/>
      <c r="J576" s="16"/>
      <c r="K576" s="16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6"/>
      <c r="AH576" s="16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216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5"/>
      <c r="BG576" s="15"/>
    </row>
    <row r="577" spans="1:59" ht="15.75" customHeight="1">
      <c r="A577" s="216"/>
      <c r="B577" s="12"/>
      <c r="C577" s="12"/>
      <c r="D577" s="13"/>
      <c r="E577" s="12"/>
      <c r="F577" s="13"/>
      <c r="G577" s="13"/>
      <c r="H577" s="12"/>
      <c r="I577" s="18"/>
      <c r="J577" s="16"/>
      <c r="K577" s="16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6"/>
      <c r="AH577" s="16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216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5"/>
      <c r="BG577" s="15"/>
    </row>
    <row r="578" spans="1:59" ht="15.75" customHeight="1">
      <c r="A578" s="216"/>
      <c r="B578" s="12"/>
      <c r="C578" s="12"/>
      <c r="D578" s="13"/>
      <c r="E578" s="12"/>
      <c r="F578" s="13"/>
      <c r="G578" s="13"/>
      <c r="H578" s="12"/>
      <c r="I578" s="18"/>
      <c r="J578" s="16"/>
      <c r="K578" s="16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6"/>
      <c r="AH578" s="16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216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5"/>
      <c r="BG578" s="15"/>
    </row>
    <row r="579" spans="1:59" ht="15.75" customHeight="1">
      <c r="A579" s="216"/>
      <c r="B579" s="12"/>
      <c r="C579" s="12"/>
      <c r="D579" s="13"/>
      <c r="E579" s="12"/>
      <c r="F579" s="13"/>
      <c r="G579" s="13"/>
      <c r="H579" s="12"/>
      <c r="I579" s="18"/>
      <c r="J579" s="16"/>
      <c r="K579" s="16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6"/>
      <c r="AH579" s="16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216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5"/>
      <c r="BG579" s="15"/>
    </row>
    <row r="580" spans="1:59" ht="15.75" customHeight="1">
      <c r="A580" s="216"/>
      <c r="B580" s="12"/>
      <c r="C580" s="12"/>
      <c r="D580" s="13"/>
      <c r="E580" s="12"/>
      <c r="F580" s="13"/>
      <c r="G580" s="13"/>
      <c r="H580" s="12"/>
      <c r="I580" s="18"/>
      <c r="J580" s="16"/>
      <c r="K580" s="16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6"/>
      <c r="AH580" s="16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216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5"/>
      <c r="BG580" s="15"/>
    </row>
    <row r="581" spans="1:59" ht="15.75" customHeight="1">
      <c r="A581" s="216"/>
      <c r="B581" s="12"/>
      <c r="C581" s="12"/>
      <c r="D581" s="13"/>
      <c r="E581" s="12"/>
      <c r="F581" s="13"/>
      <c r="G581" s="13"/>
      <c r="H581" s="12"/>
      <c r="I581" s="18"/>
      <c r="J581" s="16"/>
      <c r="K581" s="16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6"/>
      <c r="AH581" s="16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216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5"/>
      <c r="BG581" s="15"/>
    </row>
    <row r="582" spans="1:59" ht="15.75" customHeight="1">
      <c r="A582" s="216"/>
      <c r="B582" s="12"/>
      <c r="C582" s="12"/>
      <c r="D582" s="13"/>
      <c r="E582" s="12"/>
      <c r="F582" s="13"/>
      <c r="G582" s="13"/>
      <c r="H582" s="12"/>
      <c r="I582" s="18"/>
      <c r="J582" s="16"/>
      <c r="K582" s="16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6"/>
      <c r="AH582" s="16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216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5"/>
      <c r="BG582" s="15"/>
    </row>
    <row r="583" spans="1:59" ht="15.75" customHeight="1">
      <c r="A583" s="216"/>
      <c r="B583" s="12"/>
      <c r="C583" s="12"/>
      <c r="D583" s="13"/>
      <c r="E583" s="12"/>
      <c r="F583" s="13"/>
      <c r="G583" s="13"/>
      <c r="H583" s="12"/>
      <c r="I583" s="18"/>
      <c r="J583" s="16"/>
      <c r="K583" s="16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6"/>
      <c r="AH583" s="16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216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5"/>
      <c r="BG583" s="15"/>
    </row>
    <row r="584" spans="1:59" ht="15.75" customHeight="1">
      <c r="A584" s="216"/>
      <c r="B584" s="12"/>
      <c r="C584" s="12"/>
      <c r="D584" s="13"/>
      <c r="E584" s="12"/>
      <c r="F584" s="13"/>
      <c r="G584" s="13"/>
      <c r="H584" s="12"/>
      <c r="I584" s="18"/>
      <c r="J584" s="16"/>
      <c r="K584" s="16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6"/>
      <c r="AH584" s="16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216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5"/>
      <c r="BG584" s="15"/>
    </row>
    <row r="585" spans="1:59" ht="15.75" customHeight="1">
      <c r="A585" s="216"/>
      <c r="B585" s="12"/>
      <c r="C585" s="12"/>
      <c r="D585" s="13"/>
      <c r="E585" s="12"/>
      <c r="F585" s="13"/>
      <c r="G585" s="13"/>
      <c r="H585" s="12"/>
      <c r="I585" s="18"/>
      <c r="J585" s="16"/>
      <c r="K585" s="16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6"/>
      <c r="AH585" s="16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216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5"/>
      <c r="BG585" s="15"/>
    </row>
    <row r="586" spans="1:59" ht="15.75" customHeight="1">
      <c r="A586" s="216"/>
      <c r="B586" s="12"/>
      <c r="C586" s="12"/>
      <c r="D586" s="13"/>
      <c r="E586" s="12"/>
      <c r="F586" s="13"/>
      <c r="G586" s="13"/>
      <c r="H586" s="12"/>
      <c r="I586" s="18"/>
      <c r="J586" s="16"/>
      <c r="K586" s="16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6"/>
      <c r="AH586" s="16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216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5"/>
      <c r="BG586" s="15"/>
    </row>
    <row r="587" spans="1:59" ht="15.75" customHeight="1">
      <c r="A587" s="216"/>
      <c r="B587" s="12"/>
      <c r="C587" s="12"/>
      <c r="D587" s="13"/>
      <c r="E587" s="12"/>
      <c r="F587" s="13"/>
      <c r="G587" s="13"/>
      <c r="H587" s="12"/>
      <c r="I587" s="18"/>
      <c r="J587" s="16"/>
      <c r="K587" s="16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6"/>
      <c r="AH587" s="16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216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5"/>
      <c r="BG587" s="15"/>
    </row>
    <row r="588" spans="1:59" ht="15.75" customHeight="1">
      <c r="A588" s="216"/>
      <c r="B588" s="12"/>
      <c r="C588" s="12"/>
      <c r="D588" s="13"/>
      <c r="E588" s="12"/>
      <c r="F588" s="13"/>
      <c r="G588" s="13"/>
      <c r="H588" s="12"/>
      <c r="I588" s="18"/>
      <c r="J588" s="16"/>
      <c r="K588" s="16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6"/>
      <c r="AH588" s="16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216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5"/>
      <c r="BG588" s="15"/>
    </row>
    <row r="589" spans="1:59" ht="15.75" customHeight="1">
      <c r="A589" s="216"/>
      <c r="B589" s="12"/>
      <c r="C589" s="12"/>
      <c r="D589" s="13"/>
      <c r="E589" s="12"/>
      <c r="F589" s="13"/>
      <c r="G589" s="13"/>
      <c r="H589" s="12"/>
      <c r="I589" s="18"/>
      <c r="J589" s="16"/>
      <c r="K589" s="16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6"/>
      <c r="AH589" s="16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216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5"/>
      <c r="BG589" s="15"/>
    </row>
    <row r="590" spans="1:59" ht="15.75" customHeight="1">
      <c r="A590" s="216"/>
      <c r="B590" s="12"/>
      <c r="C590" s="12"/>
      <c r="D590" s="13"/>
      <c r="E590" s="12"/>
      <c r="F590" s="13"/>
      <c r="G590" s="13"/>
      <c r="H590" s="12"/>
      <c r="I590" s="18"/>
      <c r="J590" s="16"/>
      <c r="K590" s="16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6"/>
      <c r="AH590" s="16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216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5"/>
      <c r="BG590" s="15"/>
    </row>
    <row r="591" spans="1:59" ht="15.75" customHeight="1">
      <c r="A591" s="216"/>
      <c r="B591" s="12"/>
      <c r="C591" s="12"/>
      <c r="D591" s="13"/>
      <c r="E591" s="12"/>
      <c r="F591" s="13"/>
      <c r="G591" s="13"/>
      <c r="H591" s="12"/>
      <c r="I591" s="18"/>
      <c r="J591" s="16"/>
      <c r="K591" s="16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6"/>
      <c r="AH591" s="16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216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5"/>
      <c r="BG591" s="15"/>
    </row>
    <row r="592" spans="1:59" ht="15.75" customHeight="1">
      <c r="A592" s="216"/>
      <c r="B592" s="12"/>
      <c r="C592" s="12"/>
      <c r="D592" s="13"/>
      <c r="E592" s="12"/>
      <c r="F592" s="13"/>
      <c r="G592" s="13"/>
      <c r="H592" s="12"/>
      <c r="I592" s="18"/>
      <c r="J592" s="16"/>
      <c r="K592" s="16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6"/>
      <c r="AH592" s="16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216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5"/>
      <c r="BG592" s="15"/>
    </row>
    <row r="593" spans="1:59" ht="15.75" customHeight="1">
      <c r="A593" s="216"/>
      <c r="B593" s="12"/>
      <c r="C593" s="12"/>
      <c r="D593" s="13"/>
      <c r="E593" s="12"/>
      <c r="F593" s="13"/>
      <c r="G593" s="13"/>
      <c r="H593" s="12"/>
      <c r="I593" s="18"/>
      <c r="J593" s="16"/>
      <c r="K593" s="16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6"/>
      <c r="AH593" s="16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216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5"/>
      <c r="BG593" s="15"/>
    </row>
    <row r="594" spans="1:59" ht="15.75" customHeight="1">
      <c r="A594" s="216"/>
      <c r="B594" s="12"/>
      <c r="C594" s="12"/>
      <c r="D594" s="13"/>
      <c r="E594" s="12"/>
      <c r="F594" s="13"/>
      <c r="G594" s="13"/>
      <c r="H594" s="12"/>
      <c r="I594" s="18"/>
      <c r="J594" s="16"/>
      <c r="K594" s="16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6"/>
      <c r="AH594" s="16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216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5"/>
      <c r="BG594" s="15"/>
    </row>
    <row r="595" spans="1:59" ht="15.75" customHeight="1">
      <c r="A595" s="216"/>
      <c r="B595" s="12"/>
      <c r="C595" s="12"/>
      <c r="D595" s="13"/>
      <c r="E595" s="12"/>
      <c r="F595" s="13"/>
      <c r="G595" s="13"/>
      <c r="H595" s="12"/>
      <c r="I595" s="18"/>
      <c r="J595" s="16"/>
      <c r="K595" s="16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6"/>
      <c r="AH595" s="16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216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5"/>
      <c r="BG595" s="15"/>
    </row>
    <row r="596" spans="1:59" ht="15.75" customHeight="1">
      <c r="A596" s="216"/>
      <c r="B596" s="12"/>
      <c r="C596" s="12"/>
      <c r="D596" s="13"/>
      <c r="E596" s="12"/>
      <c r="F596" s="13"/>
      <c r="G596" s="13"/>
      <c r="H596" s="12"/>
      <c r="I596" s="18"/>
      <c r="J596" s="16"/>
      <c r="K596" s="16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6"/>
      <c r="AH596" s="16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216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5"/>
      <c r="BG596" s="15"/>
    </row>
    <row r="597" spans="1:59" ht="15.75" customHeight="1">
      <c r="A597" s="216"/>
      <c r="B597" s="12"/>
      <c r="C597" s="12"/>
      <c r="D597" s="13"/>
      <c r="E597" s="12"/>
      <c r="F597" s="13"/>
      <c r="G597" s="13"/>
      <c r="H597" s="12"/>
      <c r="I597" s="18"/>
      <c r="J597" s="16"/>
      <c r="K597" s="16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6"/>
      <c r="AH597" s="16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216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5"/>
      <c r="BG597" s="15"/>
    </row>
    <row r="598" spans="1:59" ht="15.75" customHeight="1">
      <c r="A598" s="216"/>
      <c r="B598" s="12"/>
      <c r="C598" s="12"/>
      <c r="D598" s="13"/>
      <c r="E598" s="12"/>
      <c r="F598" s="13"/>
      <c r="G598" s="13"/>
      <c r="H598" s="12"/>
      <c r="I598" s="18"/>
      <c r="J598" s="16"/>
      <c r="K598" s="16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6"/>
      <c r="AH598" s="16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216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5"/>
      <c r="BG598" s="15"/>
    </row>
    <row r="599" spans="1:59" ht="15.75" customHeight="1">
      <c r="A599" s="216"/>
      <c r="B599" s="12"/>
      <c r="C599" s="12"/>
      <c r="D599" s="13"/>
      <c r="E599" s="12"/>
      <c r="F599" s="13"/>
      <c r="G599" s="13"/>
      <c r="H599" s="12"/>
      <c r="I599" s="18"/>
      <c r="J599" s="16"/>
      <c r="K599" s="16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6"/>
      <c r="AH599" s="16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216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5"/>
      <c r="BG599" s="15"/>
    </row>
    <row r="600" spans="1:59" ht="15.75" customHeight="1">
      <c r="A600" s="216"/>
      <c r="B600" s="12"/>
      <c r="C600" s="12"/>
      <c r="D600" s="13"/>
      <c r="E600" s="12"/>
      <c r="F600" s="13"/>
      <c r="G600" s="13"/>
      <c r="H600" s="12"/>
      <c r="I600" s="18"/>
      <c r="J600" s="16"/>
      <c r="K600" s="16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6"/>
      <c r="AH600" s="16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216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5"/>
      <c r="BG600" s="15"/>
    </row>
    <row r="601" spans="1:59" ht="15.75" customHeight="1">
      <c r="A601" s="216"/>
      <c r="B601" s="12"/>
      <c r="C601" s="12"/>
      <c r="D601" s="13"/>
      <c r="E601" s="12"/>
      <c r="F601" s="13"/>
      <c r="G601" s="13"/>
      <c r="H601" s="12"/>
      <c r="I601" s="18"/>
      <c r="J601" s="16"/>
      <c r="K601" s="16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6"/>
      <c r="AH601" s="16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216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5"/>
      <c r="BG601" s="15"/>
    </row>
    <row r="602" spans="1:59" ht="15.75" customHeight="1">
      <c r="A602" s="216"/>
      <c r="B602" s="12"/>
      <c r="C602" s="12"/>
      <c r="D602" s="13"/>
      <c r="E602" s="12"/>
      <c r="F602" s="13"/>
      <c r="G602" s="13"/>
      <c r="H602" s="12"/>
      <c r="I602" s="18"/>
      <c r="J602" s="16"/>
      <c r="K602" s="16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6"/>
      <c r="AH602" s="16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216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5"/>
      <c r="BG602" s="15"/>
    </row>
    <row r="603" spans="1:59" ht="15.75" customHeight="1">
      <c r="A603" s="216"/>
      <c r="B603" s="12"/>
      <c r="C603" s="12"/>
      <c r="D603" s="13"/>
      <c r="E603" s="12"/>
      <c r="F603" s="13"/>
      <c r="G603" s="13"/>
      <c r="H603" s="12"/>
      <c r="I603" s="18"/>
      <c r="J603" s="16"/>
      <c r="K603" s="16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6"/>
      <c r="AH603" s="16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216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5"/>
      <c r="BG603" s="15"/>
    </row>
    <row r="604" spans="1:59" ht="15.75" customHeight="1">
      <c r="A604" s="216"/>
      <c r="B604" s="12"/>
      <c r="C604" s="12"/>
      <c r="D604" s="13"/>
      <c r="E604" s="12"/>
      <c r="F604" s="13"/>
      <c r="G604" s="13"/>
      <c r="H604" s="12"/>
      <c r="I604" s="18"/>
      <c r="J604" s="16"/>
      <c r="K604" s="16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6"/>
      <c r="AH604" s="16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216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5"/>
      <c r="BG604" s="15"/>
    </row>
    <row r="605" spans="1:59" ht="15.75" customHeight="1">
      <c r="A605" s="216"/>
      <c r="B605" s="12"/>
      <c r="C605" s="12"/>
      <c r="D605" s="13"/>
      <c r="E605" s="12"/>
      <c r="F605" s="13"/>
      <c r="G605" s="13"/>
      <c r="H605" s="12"/>
      <c r="I605" s="18"/>
      <c r="J605" s="16"/>
      <c r="K605" s="16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6"/>
      <c r="AH605" s="16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216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5"/>
      <c r="BG605" s="15"/>
    </row>
    <row r="606" spans="1:59" ht="15.75" customHeight="1">
      <c r="A606" s="216"/>
      <c r="B606" s="12"/>
      <c r="C606" s="12"/>
      <c r="D606" s="13"/>
      <c r="E606" s="12"/>
      <c r="F606" s="13"/>
      <c r="G606" s="13"/>
      <c r="H606" s="12"/>
      <c r="I606" s="18"/>
      <c r="J606" s="16"/>
      <c r="K606" s="16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6"/>
      <c r="AH606" s="16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216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5"/>
      <c r="BG606" s="15"/>
    </row>
    <row r="607" spans="1:59" ht="15.75" customHeight="1">
      <c r="A607" s="216"/>
      <c r="B607" s="12"/>
      <c r="C607" s="12"/>
      <c r="D607" s="13"/>
      <c r="E607" s="12"/>
      <c r="F607" s="13"/>
      <c r="G607" s="13"/>
      <c r="H607" s="12"/>
      <c r="I607" s="18"/>
      <c r="J607" s="16"/>
      <c r="K607" s="16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6"/>
      <c r="AH607" s="16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216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5"/>
      <c r="BG607" s="15"/>
    </row>
    <row r="608" spans="1:59" ht="15.75" customHeight="1">
      <c r="A608" s="216"/>
      <c r="B608" s="12"/>
      <c r="C608" s="12"/>
      <c r="D608" s="13"/>
      <c r="E608" s="12"/>
      <c r="F608" s="13"/>
      <c r="G608" s="13"/>
      <c r="H608" s="12"/>
      <c r="I608" s="18"/>
      <c r="J608" s="16"/>
      <c r="K608" s="16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6"/>
      <c r="AH608" s="16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216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5"/>
      <c r="BG608" s="15"/>
    </row>
    <row r="609" spans="1:59" ht="15.75" customHeight="1">
      <c r="A609" s="216"/>
      <c r="B609" s="12"/>
      <c r="C609" s="12"/>
      <c r="D609" s="13"/>
      <c r="E609" s="12"/>
      <c r="F609" s="13"/>
      <c r="G609" s="13"/>
      <c r="H609" s="12"/>
      <c r="I609" s="18"/>
      <c r="J609" s="16"/>
      <c r="K609" s="16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6"/>
      <c r="AH609" s="16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216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5"/>
      <c r="BG609" s="15"/>
    </row>
    <row r="610" spans="1:59" ht="15.75" customHeight="1">
      <c r="A610" s="216"/>
      <c r="B610" s="12"/>
      <c r="C610" s="12"/>
      <c r="D610" s="13"/>
      <c r="E610" s="12"/>
      <c r="F610" s="13"/>
      <c r="G610" s="13"/>
      <c r="H610" s="12"/>
      <c r="I610" s="18"/>
      <c r="J610" s="16"/>
      <c r="K610" s="16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6"/>
      <c r="AH610" s="16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216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5"/>
      <c r="BG610" s="15"/>
    </row>
    <row r="611" spans="1:59" ht="15.75" customHeight="1">
      <c r="A611" s="216"/>
      <c r="B611" s="12"/>
      <c r="C611" s="12"/>
      <c r="D611" s="13"/>
      <c r="E611" s="12"/>
      <c r="F611" s="13"/>
      <c r="G611" s="13"/>
      <c r="H611" s="12"/>
      <c r="I611" s="18"/>
      <c r="J611" s="16"/>
      <c r="K611" s="16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6"/>
      <c r="AH611" s="16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216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5"/>
      <c r="BG611" s="15"/>
    </row>
    <row r="612" spans="1:59" ht="15.75" customHeight="1">
      <c r="A612" s="216"/>
      <c r="B612" s="12"/>
      <c r="C612" s="12"/>
      <c r="D612" s="13"/>
      <c r="E612" s="12"/>
      <c r="F612" s="13"/>
      <c r="G612" s="13"/>
      <c r="H612" s="12"/>
      <c r="I612" s="18"/>
      <c r="J612" s="16"/>
      <c r="K612" s="16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6"/>
      <c r="AH612" s="16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216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5"/>
      <c r="BG612" s="15"/>
    </row>
    <row r="613" spans="1:59" ht="15.75" customHeight="1">
      <c r="A613" s="216"/>
      <c r="B613" s="12"/>
      <c r="C613" s="12"/>
      <c r="D613" s="13"/>
      <c r="E613" s="12"/>
      <c r="F613" s="13"/>
      <c r="G613" s="13"/>
      <c r="H613" s="12"/>
      <c r="I613" s="18"/>
      <c r="J613" s="16"/>
      <c r="K613" s="16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6"/>
      <c r="AH613" s="16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216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5"/>
      <c r="BG613" s="15"/>
    </row>
    <row r="614" spans="1:59" ht="15.75" customHeight="1">
      <c r="A614" s="216"/>
      <c r="B614" s="12"/>
      <c r="C614" s="12"/>
      <c r="D614" s="13"/>
      <c r="E614" s="12"/>
      <c r="F614" s="13"/>
      <c r="G614" s="13"/>
      <c r="H614" s="12"/>
      <c r="I614" s="18"/>
      <c r="J614" s="16"/>
      <c r="K614" s="16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6"/>
      <c r="AH614" s="16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216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5"/>
      <c r="BG614" s="15"/>
    </row>
    <row r="615" spans="1:59" ht="15.75" customHeight="1">
      <c r="A615" s="216"/>
      <c r="B615" s="12"/>
      <c r="C615" s="12"/>
      <c r="D615" s="13"/>
      <c r="E615" s="12"/>
      <c r="F615" s="13"/>
      <c r="G615" s="13"/>
      <c r="H615" s="12"/>
      <c r="I615" s="18"/>
      <c r="J615" s="16"/>
      <c r="K615" s="16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6"/>
      <c r="AH615" s="16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216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5"/>
      <c r="BG615" s="15"/>
    </row>
    <row r="616" spans="1:59" ht="15.75" customHeight="1">
      <c r="A616" s="216"/>
      <c r="B616" s="12"/>
      <c r="C616" s="12"/>
      <c r="D616" s="13"/>
      <c r="E616" s="12"/>
      <c r="F616" s="13"/>
      <c r="G616" s="13"/>
      <c r="H616" s="12"/>
      <c r="I616" s="18"/>
      <c r="J616" s="16"/>
      <c r="K616" s="16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6"/>
      <c r="AH616" s="16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216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5"/>
      <c r="BG616" s="15"/>
    </row>
    <row r="617" spans="1:59" ht="15.75" customHeight="1">
      <c r="A617" s="216"/>
      <c r="B617" s="12"/>
      <c r="C617" s="12"/>
      <c r="D617" s="13"/>
      <c r="E617" s="12"/>
      <c r="F617" s="13"/>
      <c r="G617" s="13"/>
      <c r="H617" s="12"/>
      <c r="I617" s="18"/>
      <c r="J617" s="16"/>
      <c r="K617" s="16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6"/>
      <c r="AH617" s="16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216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5"/>
      <c r="BG617" s="15"/>
    </row>
    <row r="618" spans="1:59" ht="15.75" customHeight="1">
      <c r="A618" s="216"/>
      <c r="B618" s="12"/>
      <c r="C618" s="12"/>
      <c r="D618" s="13"/>
      <c r="E618" s="12"/>
      <c r="F618" s="13"/>
      <c r="G618" s="13"/>
      <c r="H618" s="12"/>
      <c r="I618" s="18"/>
      <c r="J618" s="16"/>
      <c r="K618" s="16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6"/>
      <c r="AH618" s="16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216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5"/>
      <c r="BG618" s="15"/>
    </row>
    <row r="619" spans="1:59" ht="15.75" customHeight="1">
      <c r="A619" s="216"/>
      <c r="B619" s="12"/>
      <c r="C619" s="12"/>
      <c r="D619" s="13"/>
      <c r="E619" s="12"/>
      <c r="F619" s="13"/>
      <c r="G619" s="13"/>
      <c r="H619" s="12"/>
      <c r="I619" s="18"/>
      <c r="J619" s="16"/>
      <c r="K619" s="16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6"/>
      <c r="AH619" s="16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216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5"/>
      <c r="BG619" s="15"/>
    </row>
    <row r="620" spans="1:59" ht="15.75" customHeight="1">
      <c r="A620" s="216"/>
      <c r="B620" s="12"/>
      <c r="C620" s="12"/>
      <c r="D620" s="13"/>
      <c r="E620" s="12"/>
      <c r="F620" s="13"/>
      <c r="G620" s="13"/>
      <c r="H620" s="12"/>
      <c r="I620" s="18"/>
      <c r="J620" s="16"/>
      <c r="K620" s="16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6"/>
      <c r="AH620" s="16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216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5"/>
      <c r="BG620" s="15"/>
    </row>
    <row r="621" spans="1:59" ht="15.75" customHeight="1">
      <c r="A621" s="216"/>
      <c r="B621" s="12"/>
      <c r="C621" s="12"/>
      <c r="D621" s="13"/>
      <c r="E621" s="12"/>
      <c r="F621" s="13"/>
      <c r="G621" s="13"/>
      <c r="H621" s="12"/>
      <c r="I621" s="18"/>
      <c r="J621" s="16"/>
      <c r="K621" s="16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6"/>
      <c r="AH621" s="16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216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5"/>
      <c r="BG621" s="15"/>
    </row>
    <row r="622" spans="1:59" ht="15.75" customHeight="1">
      <c r="A622" s="216"/>
      <c r="B622" s="12"/>
      <c r="C622" s="12"/>
      <c r="D622" s="13"/>
      <c r="E622" s="12"/>
      <c r="F622" s="13"/>
      <c r="G622" s="13"/>
      <c r="H622" s="12"/>
      <c r="I622" s="18"/>
      <c r="J622" s="16"/>
      <c r="K622" s="16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6"/>
      <c r="AH622" s="16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216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5"/>
      <c r="BG622" s="15"/>
    </row>
    <row r="623" spans="1:59" ht="15.75" customHeight="1">
      <c r="A623" s="216"/>
      <c r="B623" s="12"/>
      <c r="C623" s="12"/>
      <c r="D623" s="13"/>
      <c r="E623" s="12"/>
      <c r="F623" s="13"/>
      <c r="G623" s="13"/>
      <c r="H623" s="12"/>
      <c r="I623" s="18"/>
      <c r="J623" s="16"/>
      <c r="K623" s="16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6"/>
      <c r="AH623" s="16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216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5"/>
      <c r="BG623" s="15"/>
    </row>
    <row r="624" spans="1:59" ht="15.75" customHeight="1">
      <c r="A624" s="216"/>
      <c r="B624" s="12"/>
      <c r="C624" s="12"/>
      <c r="D624" s="13"/>
      <c r="E624" s="12"/>
      <c r="F624" s="13"/>
      <c r="G624" s="13"/>
      <c r="H624" s="12"/>
      <c r="I624" s="18"/>
      <c r="J624" s="16"/>
      <c r="K624" s="16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6"/>
      <c r="AH624" s="16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216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5"/>
      <c r="BG624" s="15"/>
    </row>
    <row r="625" spans="1:59" ht="15.75" customHeight="1">
      <c r="A625" s="216"/>
      <c r="B625" s="12"/>
      <c r="C625" s="12"/>
      <c r="D625" s="13"/>
      <c r="E625" s="12"/>
      <c r="F625" s="13"/>
      <c r="G625" s="13"/>
      <c r="H625" s="12"/>
      <c r="I625" s="18"/>
      <c r="J625" s="16"/>
      <c r="K625" s="16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6"/>
      <c r="AH625" s="16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216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5"/>
      <c r="BG625" s="15"/>
    </row>
    <row r="626" spans="1:59" ht="15.75" customHeight="1">
      <c r="A626" s="216"/>
      <c r="B626" s="12"/>
      <c r="C626" s="12"/>
      <c r="D626" s="13"/>
      <c r="E626" s="12"/>
      <c r="F626" s="13"/>
      <c r="G626" s="13"/>
      <c r="H626" s="12"/>
      <c r="I626" s="18"/>
      <c r="J626" s="16"/>
      <c r="K626" s="16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6"/>
      <c r="AH626" s="16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216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5"/>
      <c r="BG626" s="15"/>
    </row>
    <row r="627" spans="1:59" ht="15.75" customHeight="1">
      <c r="A627" s="216"/>
      <c r="B627" s="12"/>
      <c r="C627" s="12"/>
      <c r="D627" s="13"/>
      <c r="E627" s="12"/>
      <c r="F627" s="13"/>
      <c r="G627" s="13"/>
      <c r="H627" s="12"/>
      <c r="I627" s="18"/>
      <c r="J627" s="16"/>
      <c r="K627" s="16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6"/>
      <c r="AH627" s="16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216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5"/>
      <c r="BG627" s="15"/>
    </row>
    <row r="628" spans="1:59" ht="15.75" customHeight="1">
      <c r="A628" s="216"/>
      <c r="B628" s="12"/>
      <c r="C628" s="12"/>
      <c r="D628" s="13"/>
      <c r="E628" s="12"/>
      <c r="F628" s="13"/>
      <c r="G628" s="13"/>
      <c r="H628" s="12"/>
      <c r="I628" s="18"/>
      <c r="J628" s="16"/>
      <c r="K628" s="16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6"/>
      <c r="AH628" s="16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216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5"/>
      <c r="BG628" s="15"/>
    </row>
    <row r="629" spans="1:59" ht="15.75" customHeight="1">
      <c r="A629" s="216"/>
      <c r="B629" s="12"/>
      <c r="C629" s="12"/>
      <c r="D629" s="13"/>
      <c r="E629" s="12"/>
      <c r="F629" s="13"/>
      <c r="G629" s="13"/>
      <c r="H629" s="12"/>
      <c r="I629" s="18"/>
      <c r="J629" s="16"/>
      <c r="K629" s="16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6"/>
      <c r="AH629" s="16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216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5"/>
      <c r="BG629" s="15"/>
    </row>
    <row r="630" spans="1:59" ht="15.75" customHeight="1">
      <c r="A630" s="216"/>
      <c r="B630" s="12"/>
      <c r="C630" s="12"/>
      <c r="D630" s="13"/>
      <c r="E630" s="12"/>
      <c r="F630" s="13"/>
      <c r="G630" s="13"/>
      <c r="H630" s="12"/>
      <c r="I630" s="18"/>
      <c r="J630" s="16"/>
      <c r="K630" s="16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6"/>
      <c r="AH630" s="16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216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5"/>
      <c r="BG630" s="15"/>
    </row>
    <row r="631" spans="1:59" ht="15.75" customHeight="1">
      <c r="A631" s="216"/>
      <c r="B631" s="12"/>
      <c r="C631" s="12"/>
      <c r="D631" s="13"/>
      <c r="E631" s="12"/>
      <c r="F631" s="13"/>
      <c r="G631" s="13"/>
      <c r="H631" s="12"/>
      <c r="I631" s="18"/>
      <c r="J631" s="16"/>
      <c r="K631" s="16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6"/>
      <c r="AH631" s="16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216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5"/>
      <c r="BG631" s="15"/>
    </row>
    <row r="632" spans="1:59" ht="15.75" customHeight="1">
      <c r="A632" s="216"/>
      <c r="B632" s="12"/>
      <c r="C632" s="12"/>
      <c r="D632" s="13"/>
      <c r="E632" s="12"/>
      <c r="F632" s="13"/>
      <c r="G632" s="13"/>
      <c r="H632" s="12"/>
      <c r="I632" s="18"/>
      <c r="J632" s="16"/>
      <c r="K632" s="16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6"/>
      <c r="AH632" s="16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216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5"/>
      <c r="BG632" s="15"/>
    </row>
    <row r="633" spans="1:59" ht="15.75" customHeight="1">
      <c r="A633" s="216"/>
      <c r="B633" s="12"/>
      <c r="C633" s="12"/>
      <c r="D633" s="13"/>
      <c r="E633" s="12"/>
      <c r="F633" s="13"/>
      <c r="G633" s="13"/>
      <c r="H633" s="12"/>
      <c r="I633" s="18"/>
      <c r="J633" s="16"/>
      <c r="K633" s="16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6"/>
      <c r="AH633" s="16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216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5"/>
      <c r="BG633" s="15"/>
    </row>
    <row r="634" spans="1:59" ht="15.75" customHeight="1">
      <c r="A634" s="216"/>
      <c r="B634" s="12"/>
      <c r="C634" s="12"/>
      <c r="D634" s="13"/>
      <c r="E634" s="12"/>
      <c r="F634" s="13"/>
      <c r="G634" s="13"/>
      <c r="H634" s="12"/>
      <c r="I634" s="18"/>
      <c r="J634" s="16"/>
      <c r="K634" s="16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6"/>
      <c r="AH634" s="16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216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5"/>
      <c r="BG634" s="15"/>
    </row>
    <row r="635" spans="1:59" ht="15.75" customHeight="1">
      <c r="A635" s="216"/>
      <c r="B635" s="12"/>
      <c r="C635" s="12"/>
      <c r="D635" s="13"/>
      <c r="E635" s="12"/>
      <c r="F635" s="13"/>
      <c r="G635" s="13"/>
      <c r="H635" s="12"/>
      <c r="I635" s="18"/>
      <c r="J635" s="16"/>
      <c r="K635" s="16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6"/>
      <c r="AH635" s="16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216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5"/>
      <c r="BG635" s="15"/>
    </row>
    <row r="636" spans="1:59" ht="15.75" customHeight="1">
      <c r="A636" s="216"/>
      <c r="B636" s="12"/>
      <c r="C636" s="12"/>
      <c r="D636" s="13"/>
      <c r="E636" s="12"/>
      <c r="F636" s="13"/>
      <c r="G636" s="13"/>
      <c r="H636" s="12"/>
      <c r="I636" s="18"/>
      <c r="J636" s="16"/>
      <c r="K636" s="16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6"/>
      <c r="AH636" s="16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216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5"/>
      <c r="BG636" s="15"/>
    </row>
    <row r="637" spans="1:59" ht="15.75" customHeight="1">
      <c r="A637" s="216"/>
      <c r="B637" s="12"/>
      <c r="C637" s="12"/>
      <c r="D637" s="13"/>
      <c r="E637" s="12"/>
      <c r="F637" s="13"/>
      <c r="G637" s="13"/>
      <c r="H637" s="12"/>
      <c r="I637" s="18"/>
      <c r="J637" s="16"/>
      <c r="K637" s="16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6"/>
      <c r="AH637" s="16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216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5"/>
      <c r="BG637" s="15"/>
    </row>
    <row r="638" spans="1:59" ht="15.75" customHeight="1">
      <c r="A638" s="216"/>
      <c r="B638" s="12"/>
      <c r="C638" s="12"/>
      <c r="D638" s="13"/>
      <c r="E638" s="12"/>
      <c r="F638" s="13"/>
      <c r="G638" s="13"/>
      <c r="H638" s="12"/>
      <c r="I638" s="18"/>
      <c r="J638" s="16"/>
      <c r="K638" s="16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6"/>
      <c r="AH638" s="16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216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5"/>
      <c r="BG638" s="15"/>
    </row>
    <row r="639" spans="1:59" ht="15.75" customHeight="1">
      <c r="A639" s="216"/>
      <c r="B639" s="12"/>
      <c r="C639" s="12"/>
      <c r="D639" s="13"/>
      <c r="E639" s="12"/>
      <c r="F639" s="13"/>
      <c r="G639" s="13"/>
      <c r="H639" s="12"/>
      <c r="I639" s="18"/>
      <c r="J639" s="16"/>
      <c r="K639" s="16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6"/>
      <c r="AH639" s="16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216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5"/>
      <c r="BG639" s="15"/>
    </row>
    <row r="640" spans="1:59" ht="15.75" customHeight="1">
      <c r="A640" s="216"/>
      <c r="B640" s="12"/>
      <c r="C640" s="12"/>
      <c r="D640" s="13"/>
      <c r="E640" s="12"/>
      <c r="F640" s="13"/>
      <c r="G640" s="13"/>
      <c r="H640" s="12"/>
      <c r="I640" s="18"/>
      <c r="J640" s="16"/>
      <c r="K640" s="16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6"/>
      <c r="AH640" s="16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216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5"/>
      <c r="BG640" s="15"/>
    </row>
    <row r="641" spans="1:59" ht="15.75" customHeight="1">
      <c r="A641" s="216"/>
      <c r="B641" s="12"/>
      <c r="C641" s="12"/>
      <c r="D641" s="13"/>
      <c r="E641" s="12"/>
      <c r="F641" s="13"/>
      <c r="G641" s="13"/>
      <c r="H641" s="12"/>
      <c r="I641" s="18"/>
      <c r="J641" s="16"/>
      <c r="K641" s="16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6"/>
      <c r="AH641" s="16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216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5"/>
      <c r="BG641" s="15"/>
    </row>
    <row r="642" spans="1:59" ht="15.75" customHeight="1">
      <c r="A642" s="216"/>
      <c r="B642" s="12"/>
      <c r="C642" s="12"/>
      <c r="D642" s="13"/>
      <c r="E642" s="12"/>
      <c r="F642" s="13"/>
      <c r="G642" s="13"/>
      <c r="H642" s="12"/>
      <c r="I642" s="18"/>
      <c r="J642" s="16"/>
      <c r="K642" s="16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6"/>
      <c r="AH642" s="16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216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5"/>
      <c r="BG642" s="15"/>
    </row>
    <row r="643" spans="1:59" ht="15.75" customHeight="1">
      <c r="A643" s="216"/>
      <c r="B643" s="12"/>
      <c r="C643" s="12"/>
      <c r="D643" s="13"/>
      <c r="E643" s="12"/>
      <c r="F643" s="13"/>
      <c r="G643" s="13"/>
      <c r="H643" s="12"/>
      <c r="I643" s="18"/>
      <c r="J643" s="16"/>
      <c r="K643" s="16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6"/>
      <c r="AH643" s="16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216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5"/>
      <c r="BG643" s="15"/>
    </row>
    <row r="644" spans="1:59" ht="15.75" customHeight="1">
      <c r="A644" s="216"/>
      <c r="B644" s="12"/>
      <c r="C644" s="12"/>
      <c r="D644" s="13"/>
      <c r="E644" s="12"/>
      <c r="F644" s="13"/>
      <c r="G644" s="13"/>
      <c r="H644" s="12"/>
      <c r="I644" s="18"/>
      <c r="J644" s="16"/>
      <c r="K644" s="16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6"/>
      <c r="AH644" s="16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216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5"/>
      <c r="BG644" s="15"/>
    </row>
    <row r="645" spans="1:59" ht="15.75" customHeight="1">
      <c r="A645" s="216"/>
      <c r="B645" s="12"/>
      <c r="C645" s="12"/>
      <c r="D645" s="13"/>
      <c r="E645" s="12"/>
      <c r="F645" s="13"/>
      <c r="G645" s="13"/>
      <c r="H645" s="12"/>
      <c r="I645" s="18"/>
      <c r="J645" s="16"/>
      <c r="K645" s="16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6"/>
      <c r="AH645" s="16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216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5"/>
      <c r="BG645" s="15"/>
    </row>
    <row r="646" spans="1:59" ht="15.75" customHeight="1">
      <c r="A646" s="216"/>
      <c r="B646" s="12"/>
      <c r="C646" s="12"/>
      <c r="D646" s="13"/>
      <c r="E646" s="12"/>
      <c r="F646" s="13"/>
      <c r="G646" s="13"/>
      <c r="H646" s="12"/>
      <c r="I646" s="18"/>
      <c r="J646" s="16"/>
      <c r="K646" s="16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6"/>
      <c r="AH646" s="16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216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5"/>
      <c r="BG646" s="15"/>
    </row>
    <row r="647" spans="1:59" ht="15.75" customHeight="1">
      <c r="A647" s="216"/>
      <c r="B647" s="12"/>
      <c r="C647" s="12"/>
      <c r="D647" s="13"/>
      <c r="E647" s="12"/>
      <c r="F647" s="13"/>
      <c r="G647" s="13"/>
      <c r="H647" s="12"/>
      <c r="I647" s="18"/>
      <c r="J647" s="16"/>
      <c r="K647" s="16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6"/>
      <c r="AH647" s="16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216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5"/>
      <c r="BG647" s="15"/>
    </row>
    <row r="648" spans="1:59" ht="15.75" customHeight="1">
      <c r="A648" s="216"/>
      <c r="B648" s="12"/>
      <c r="C648" s="12"/>
      <c r="D648" s="13"/>
      <c r="E648" s="12"/>
      <c r="F648" s="13"/>
      <c r="G648" s="13"/>
      <c r="H648" s="12"/>
      <c r="I648" s="18"/>
      <c r="J648" s="16"/>
      <c r="K648" s="16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6"/>
      <c r="AH648" s="16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216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5"/>
      <c r="BG648" s="15"/>
    </row>
    <row r="649" spans="1:59" ht="15.75" customHeight="1">
      <c r="A649" s="216"/>
      <c r="B649" s="12"/>
      <c r="C649" s="12"/>
      <c r="D649" s="13"/>
      <c r="E649" s="12"/>
      <c r="F649" s="13"/>
      <c r="G649" s="13"/>
      <c r="H649" s="12"/>
      <c r="I649" s="18"/>
      <c r="J649" s="16"/>
      <c r="K649" s="16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6"/>
      <c r="AH649" s="16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216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5"/>
      <c r="BG649" s="15"/>
    </row>
    <row r="650" spans="1:59" ht="15.75" customHeight="1">
      <c r="A650" s="216"/>
      <c r="B650" s="12"/>
      <c r="C650" s="12"/>
      <c r="D650" s="13"/>
      <c r="E650" s="12"/>
      <c r="F650" s="13"/>
      <c r="G650" s="13"/>
      <c r="H650" s="12"/>
      <c r="I650" s="18"/>
      <c r="J650" s="16"/>
      <c r="K650" s="16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6"/>
      <c r="AH650" s="16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216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5"/>
      <c r="BG650" s="15"/>
    </row>
    <row r="651" spans="1:59" ht="15.75" customHeight="1">
      <c r="A651" s="216"/>
      <c r="B651" s="12"/>
      <c r="C651" s="12"/>
      <c r="D651" s="13"/>
      <c r="E651" s="12"/>
      <c r="F651" s="13"/>
      <c r="G651" s="13"/>
      <c r="H651" s="12"/>
      <c r="I651" s="18"/>
      <c r="J651" s="16"/>
      <c r="K651" s="16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6"/>
      <c r="AH651" s="16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216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5"/>
      <c r="BG651" s="15"/>
    </row>
    <row r="652" spans="1:59" ht="15.75" customHeight="1">
      <c r="A652" s="216"/>
      <c r="B652" s="12"/>
      <c r="C652" s="12"/>
      <c r="D652" s="13"/>
      <c r="E652" s="12"/>
      <c r="F652" s="13"/>
      <c r="G652" s="13"/>
      <c r="H652" s="12"/>
      <c r="I652" s="18"/>
      <c r="J652" s="16"/>
      <c r="K652" s="16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6"/>
      <c r="AH652" s="16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216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5"/>
      <c r="BG652" s="15"/>
    </row>
    <row r="653" spans="1:59" ht="15.75" customHeight="1">
      <c r="A653" s="216"/>
      <c r="B653" s="12"/>
      <c r="C653" s="12"/>
      <c r="D653" s="13"/>
      <c r="E653" s="12"/>
      <c r="F653" s="13"/>
      <c r="G653" s="13"/>
      <c r="H653" s="12"/>
      <c r="I653" s="18"/>
      <c r="J653" s="16"/>
      <c r="K653" s="16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6"/>
      <c r="AH653" s="16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216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5"/>
      <c r="BG653" s="15"/>
    </row>
    <row r="654" spans="1:59" ht="15.75" customHeight="1">
      <c r="A654" s="216"/>
      <c r="B654" s="12"/>
      <c r="C654" s="12"/>
      <c r="D654" s="13"/>
      <c r="E654" s="12"/>
      <c r="F654" s="13"/>
      <c r="G654" s="13"/>
      <c r="H654" s="12"/>
      <c r="I654" s="18"/>
      <c r="J654" s="16"/>
      <c r="K654" s="16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6"/>
      <c r="AH654" s="16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216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5"/>
      <c r="BG654" s="15"/>
    </row>
    <row r="655" spans="1:59" ht="15.75" customHeight="1">
      <c r="A655" s="216"/>
      <c r="B655" s="12"/>
      <c r="C655" s="12"/>
      <c r="D655" s="13"/>
      <c r="E655" s="12"/>
      <c r="F655" s="13"/>
      <c r="G655" s="13"/>
      <c r="H655" s="12"/>
      <c r="I655" s="18"/>
      <c r="J655" s="16"/>
      <c r="K655" s="16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6"/>
      <c r="AH655" s="16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216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5"/>
      <c r="BG655" s="15"/>
    </row>
    <row r="656" spans="1:59" ht="15.75" customHeight="1">
      <c r="A656" s="216"/>
      <c r="B656" s="12"/>
      <c r="C656" s="12"/>
      <c r="D656" s="13"/>
      <c r="E656" s="12"/>
      <c r="F656" s="13"/>
      <c r="G656" s="13"/>
      <c r="H656" s="12"/>
      <c r="I656" s="18"/>
      <c r="J656" s="16"/>
      <c r="K656" s="16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6"/>
      <c r="AH656" s="16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216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5"/>
      <c r="BG656" s="15"/>
    </row>
    <row r="657" spans="1:59" ht="15.75" customHeight="1">
      <c r="A657" s="216"/>
      <c r="B657" s="12"/>
      <c r="C657" s="12"/>
      <c r="D657" s="13"/>
      <c r="E657" s="12"/>
      <c r="F657" s="13"/>
      <c r="G657" s="13"/>
      <c r="H657" s="12"/>
      <c r="I657" s="18"/>
      <c r="J657" s="16"/>
      <c r="K657" s="16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6"/>
      <c r="AH657" s="16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216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5"/>
      <c r="BG657" s="15"/>
    </row>
    <row r="658" spans="1:59" ht="15.75" customHeight="1">
      <c r="A658" s="216"/>
      <c r="B658" s="12"/>
      <c r="C658" s="12"/>
      <c r="D658" s="13"/>
      <c r="E658" s="12"/>
      <c r="F658" s="13"/>
      <c r="G658" s="13"/>
      <c r="H658" s="12"/>
      <c r="I658" s="18"/>
      <c r="J658" s="16"/>
      <c r="K658" s="16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6"/>
      <c r="AH658" s="16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216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5"/>
      <c r="BG658" s="15"/>
    </row>
    <row r="659" spans="1:59" ht="15.75" customHeight="1">
      <c r="A659" s="216"/>
      <c r="B659" s="12"/>
      <c r="C659" s="12"/>
      <c r="D659" s="13"/>
      <c r="E659" s="12"/>
      <c r="F659" s="13"/>
      <c r="G659" s="13"/>
      <c r="H659" s="12"/>
      <c r="I659" s="18"/>
      <c r="J659" s="16"/>
      <c r="K659" s="16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6"/>
      <c r="AH659" s="16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216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5"/>
      <c r="BG659" s="15"/>
    </row>
    <row r="660" spans="1:59" ht="15.75" customHeight="1">
      <c r="A660" s="216"/>
      <c r="B660" s="12"/>
      <c r="C660" s="12"/>
      <c r="D660" s="13"/>
      <c r="E660" s="12"/>
      <c r="F660" s="13"/>
      <c r="G660" s="13"/>
      <c r="H660" s="12"/>
      <c r="I660" s="18"/>
      <c r="J660" s="16"/>
      <c r="K660" s="16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6"/>
      <c r="AH660" s="16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216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5"/>
      <c r="BG660" s="15"/>
    </row>
    <row r="661" spans="1:59" ht="15.75" customHeight="1">
      <c r="A661" s="216"/>
      <c r="B661" s="12"/>
      <c r="C661" s="12"/>
      <c r="D661" s="13"/>
      <c r="E661" s="12"/>
      <c r="F661" s="13"/>
      <c r="G661" s="13"/>
      <c r="H661" s="12"/>
      <c r="I661" s="18"/>
      <c r="J661" s="16"/>
      <c r="K661" s="16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6"/>
      <c r="AH661" s="16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216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5"/>
      <c r="BG661" s="15"/>
    </row>
    <row r="662" spans="1:59" ht="15.75" customHeight="1">
      <c r="A662" s="216"/>
      <c r="B662" s="12"/>
      <c r="C662" s="12"/>
      <c r="D662" s="13"/>
      <c r="E662" s="12"/>
      <c r="F662" s="13"/>
      <c r="G662" s="13"/>
      <c r="H662" s="12"/>
      <c r="I662" s="18"/>
      <c r="J662" s="16"/>
      <c r="K662" s="16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6"/>
      <c r="AH662" s="16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216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5"/>
      <c r="BG662" s="15"/>
    </row>
    <row r="663" spans="1:59" ht="15.75" customHeight="1">
      <c r="A663" s="216"/>
      <c r="B663" s="12"/>
      <c r="C663" s="12"/>
      <c r="D663" s="13"/>
      <c r="E663" s="12"/>
      <c r="F663" s="13"/>
      <c r="G663" s="13"/>
      <c r="H663" s="12"/>
      <c r="I663" s="18"/>
      <c r="J663" s="16"/>
      <c r="K663" s="16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6"/>
      <c r="AH663" s="16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216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5"/>
      <c r="BG663" s="15"/>
    </row>
    <row r="664" spans="1:59" ht="15.75" customHeight="1">
      <c r="A664" s="216"/>
      <c r="B664" s="12"/>
      <c r="C664" s="12"/>
      <c r="D664" s="13"/>
      <c r="E664" s="12"/>
      <c r="F664" s="13"/>
      <c r="G664" s="13"/>
      <c r="H664" s="12"/>
      <c r="I664" s="18"/>
      <c r="J664" s="16"/>
      <c r="K664" s="16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6"/>
      <c r="AH664" s="16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216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5"/>
      <c r="BG664" s="15"/>
    </row>
    <row r="665" spans="1:59" ht="15.75" customHeight="1">
      <c r="A665" s="216"/>
      <c r="B665" s="12"/>
      <c r="C665" s="12"/>
      <c r="D665" s="13"/>
      <c r="E665" s="12"/>
      <c r="F665" s="13"/>
      <c r="G665" s="13"/>
      <c r="H665" s="12"/>
      <c r="I665" s="18"/>
      <c r="J665" s="16"/>
      <c r="K665" s="16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6"/>
      <c r="AH665" s="16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216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5"/>
      <c r="BG665" s="15"/>
    </row>
    <row r="666" spans="1:59" ht="15.75" customHeight="1">
      <c r="A666" s="216"/>
      <c r="B666" s="12"/>
      <c r="C666" s="12"/>
      <c r="D666" s="13"/>
      <c r="E666" s="12"/>
      <c r="F666" s="13"/>
      <c r="G666" s="13"/>
      <c r="H666" s="12"/>
      <c r="I666" s="18"/>
      <c r="J666" s="16"/>
      <c r="K666" s="16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6"/>
      <c r="AH666" s="16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216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5"/>
      <c r="BG666" s="15"/>
    </row>
    <row r="667" spans="1:59" ht="15.75" customHeight="1">
      <c r="A667" s="216"/>
      <c r="B667" s="12"/>
      <c r="C667" s="12"/>
      <c r="D667" s="13"/>
      <c r="E667" s="12"/>
      <c r="F667" s="13"/>
      <c r="G667" s="13"/>
      <c r="H667" s="12"/>
      <c r="I667" s="18"/>
      <c r="J667" s="16"/>
      <c r="K667" s="16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6"/>
      <c r="AH667" s="16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216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5"/>
      <c r="BG667" s="15"/>
    </row>
    <row r="668" spans="1:59" ht="15.75" customHeight="1">
      <c r="A668" s="216"/>
      <c r="B668" s="12"/>
      <c r="C668" s="12"/>
      <c r="D668" s="13"/>
      <c r="E668" s="12"/>
      <c r="F668" s="13"/>
      <c r="G668" s="13"/>
      <c r="H668" s="12"/>
      <c r="I668" s="18"/>
      <c r="J668" s="16"/>
      <c r="K668" s="16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6"/>
      <c r="AH668" s="16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216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5"/>
      <c r="BG668" s="15"/>
    </row>
    <row r="669" spans="1:59" ht="15.75" customHeight="1">
      <c r="A669" s="216"/>
      <c r="B669" s="12"/>
      <c r="C669" s="12"/>
      <c r="D669" s="13"/>
      <c r="E669" s="12"/>
      <c r="F669" s="13"/>
      <c r="G669" s="13"/>
      <c r="H669" s="12"/>
      <c r="I669" s="18"/>
      <c r="J669" s="16"/>
      <c r="K669" s="16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6"/>
      <c r="AH669" s="16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216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5"/>
      <c r="BG669" s="15"/>
    </row>
    <row r="670" spans="1:59" ht="15.75" customHeight="1">
      <c r="A670" s="216"/>
      <c r="B670" s="12"/>
      <c r="C670" s="12"/>
      <c r="D670" s="13"/>
      <c r="E670" s="12"/>
      <c r="F670" s="13"/>
      <c r="G670" s="13"/>
      <c r="H670" s="12"/>
      <c r="I670" s="18"/>
      <c r="J670" s="16"/>
      <c r="K670" s="16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6"/>
      <c r="AH670" s="16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216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5"/>
      <c r="BG670" s="15"/>
    </row>
    <row r="671" spans="1:59" ht="15.75" customHeight="1">
      <c r="A671" s="216"/>
      <c r="B671" s="12"/>
      <c r="C671" s="12"/>
      <c r="D671" s="13"/>
      <c r="E671" s="12"/>
      <c r="F671" s="13"/>
      <c r="G671" s="13"/>
      <c r="H671" s="12"/>
      <c r="I671" s="18"/>
      <c r="J671" s="16"/>
      <c r="K671" s="16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6"/>
      <c r="AH671" s="16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216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5"/>
      <c r="BG671" s="15"/>
    </row>
    <row r="672" spans="1:59" ht="15.75" customHeight="1">
      <c r="A672" s="216"/>
      <c r="B672" s="12"/>
      <c r="C672" s="12"/>
      <c r="D672" s="13"/>
      <c r="E672" s="12"/>
      <c r="F672" s="13"/>
      <c r="G672" s="13"/>
      <c r="H672" s="12"/>
      <c r="I672" s="18"/>
      <c r="J672" s="16"/>
      <c r="K672" s="16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6"/>
      <c r="AH672" s="16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216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5"/>
      <c r="BG672" s="15"/>
    </row>
    <row r="673" spans="1:59" ht="15.75" customHeight="1">
      <c r="A673" s="216"/>
      <c r="B673" s="12"/>
      <c r="C673" s="12"/>
      <c r="D673" s="13"/>
      <c r="E673" s="12"/>
      <c r="F673" s="13"/>
      <c r="G673" s="13"/>
      <c r="H673" s="12"/>
      <c r="I673" s="18"/>
      <c r="J673" s="16"/>
      <c r="K673" s="16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6"/>
      <c r="AH673" s="16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216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5"/>
      <c r="BG673" s="15"/>
    </row>
    <row r="674" spans="1:59" ht="15.75" customHeight="1">
      <c r="A674" s="216"/>
      <c r="B674" s="12"/>
      <c r="C674" s="12"/>
      <c r="D674" s="13"/>
      <c r="E674" s="12"/>
      <c r="F674" s="13"/>
      <c r="G674" s="13"/>
      <c r="H674" s="12"/>
      <c r="I674" s="18"/>
      <c r="J674" s="16"/>
      <c r="K674" s="16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6"/>
      <c r="AH674" s="16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216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5"/>
      <c r="BG674" s="15"/>
    </row>
    <row r="675" spans="1:59" ht="15.75" customHeight="1">
      <c r="A675" s="216"/>
      <c r="B675" s="12"/>
      <c r="C675" s="12"/>
      <c r="D675" s="13"/>
      <c r="E675" s="12"/>
      <c r="F675" s="13"/>
      <c r="G675" s="13"/>
      <c r="H675" s="12"/>
      <c r="I675" s="18"/>
      <c r="J675" s="16"/>
      <c r="K675" s="16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6"/>
      <c r="AH675" s="16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216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5"/>
      <c r="BG675" s="15"/>
    </row>
    <row r="676" spans="1:59" ht="15.75" customHeight="1">
      <c r="A676" s="216"/>
      <c r="B676" s="12"/>
      <c r="C676" s="12"/>
      <c r="D676" s="13"/>
      <c r="E676" s="12"/>
      <c r="F676" s="13"/>
      <c r="G676" s="13"/>
      <c r="H676" s="12"/>
      <c r="I676" s="18"/>
      <c r="J676" s="16"/>
      <c r="K676" s="16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6"/>
      <c r="AH676" s="16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216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5"/>
      <c r="BG676" s="15"/>
    </row>
    <row r="677" spans="1:59" ht="15.75" customHeight="1">
      <c r="A677" s="216"/>
      <c r="B677" s="12"/>
      <c r="C677" s="12"/>
      <c r="D677" s="13"/>
      <c r="E677" s="12"/>
      <c r="F677" s="13"/>
      <c r="G677" s="13"/>
      <c r="H677" s="12"/>
      <c r="I677" s="18"/>
      <c r="J677" s="16"/>
      <c r="K677" s="16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6"/>
      <c r="AH677" s="16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216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5"/>
      <c r="BG677" s="15"/>
    </row>
    <row r="678" spans="1:59" ht="15.75" customHeight="1">
      <c r="A678" s="216"/>
      <c r="B678" s="12"/>
      <c r="C678" s="12"/>
      <c r="D678" s="13"/>
      <c r="E678" s="12"/>
      <c r="F678" s="13"/>
      <c r="G678" s="13"/>
      <c r="H678" s="12"/>
      <c r="I678" s="18"/>
      <c r="J678" s="16"/>
      <c r="K678" s="16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6"/>
      <c r="AH678" s="16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216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5"/>
      <c r="BG678" s="15"/>
    </row>
    <row r="679" spans="1:59" ht="15.75" customHeight="1">
      <c r="A679" s="216"/>
      <c r="B679" s="12"/>
      <c r="C679" s="12"/>
      <c r="D679" s="13"/>
      <c r="E679" s="12"/>
      <c r="F679" s="13"/>
      <c r="G679" s="13"/>
      <c r="H679" s="12"/>
      <c r="I679" s="18"/>
      <c r="J679" s="16"/>
      <c r="K679" s="16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6"/>
      <c r="AH679" s="16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216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5"/>
      <c r="BG679" s="15"/>
    </row>
    <row r="680" spans="1:59" ht="15.75" customHeight="1">
      <c r="A680" s="216"/>
      <c r="B680" s="12"/>
      <c r="C680" s="12"/>
      <c r="D680" s="13"/>
      <c r="E680" s="12"/>
      <c r="F680" s="13"/>
      <c r="G680" s="13"/>
      <c r="H680" s="12"/>
      <c r="I680" s="18"/>
      <c r="J680" s="16"/>
      <c r="K680" s="16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6"/>
      <c r="AH680" s="16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216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5"/>
      <c r="BG680" s="15"/>
    </row>
    <row r="681" spans="1:59" ht="15.75" customHeight="1">
      <c r="A681" s="216"/>
      <c r="B681" s="12"/>
      <c r="C681" s="12"/>
      <c r="D681" s="13"/>
      <c r="E681" s="12"/>
      <c r="F681" s="13"/>
      <c r="G681" s="13"/>
      <c r="H681" s="12"/>
      <c r="I681" s="18"/>
      <c r="J681" s="16"/>
      <c r="K681" s="16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6"/>
      <c r="AH681" s="16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216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5"/>
      <c r="BG681" s="15"/>
    </row>
    <row r="682" spans="1:59" ht="15.75" customHeight="1">
      <c r="A682" s="216"/>
      <c r="B682" s="12"/>
      <c r="C682" s="12"/>
      <c r="D682" s="13"/>
      <c r="E682" s="12"/>
      <c r="F682" s="13"/>
      <c r="G682" s="13"/>
      <c r="H682" s="12"/>
      <c r="I682" s="18"/>
      <c r="J682" s="16"/>
      <c r="K682" s="16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6"/>
      <c r="AH682" s="16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216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5"/>
      <c r="BG682" s="15"/>
    </row>
    <row r="683" spans="1:59" ht="15.75" customHeight="1">
      <c r="A683" s="216"/>
      <c r="B683" s="12"/>
      <c r="C683" s="12"/>
      <c r="D683" s="13"/>
      <c r="E683" s="12"/>
      <c r="F683" s="13"/>
      <c r="G683" s="13"/>
      <c r="H683" s="12"/>
      <c r="I683" s="18"/>
      <c r="J683" s="16"/>
      <c r="K683" s="16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6"/>
      <c r="AH683" s="16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216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5"/>
      <c r="BG683" s="15"/>
    </row>
    <row r="684" spans="1:59" ht="15.75" customHeight="1">
      <c r="A684" s="216"/>
      <c r="B684" s="12"/>
      <c r="C684" s="12"/>
      <c r="D684" s="13"/>
      <c r="E684" s="12"/>
      <c r="F684" s="13"/>
      <c r="G684" s="13"/>
      <c r="H684" s="12"/>
      <c r="I684" s="18"/>
      <c r="J684" s="16"/>
      <c r="K684" s="16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6"/>
      <c r="AH684" s="16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216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5"/>
      <c r="BG684" s="15"/>
    </row>
    <row r="685" spans="1:59" ht="15.75" customHeight="1">
      <c r="A685" s="216"/>
      <c r="B685" s="12"/>
      <c r="C685" s="12"/>
      <c r="D685" s="13"/>
      <c r="E685" s="12"/>
      <c r="F685" s="13"/>
      <c r="G685" s="13"/>
      <c r="H685" s="12"/>
      <c r="I685" s="18"/>
      <c r="J685" s="16"/>
      <c r="K685" s="16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6"/>
      <c r="AH685" s="16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216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5"/>
      <c r="BG685" s="15"/>
    </row>
    <row r="686" spans="1:59" ht="15.75" customHeight="1">
      <c r="A686" s="216"/>
      <c r="B686" s="12"/>
      <c r="C686" s="12"/>
      <c r="D686" s="13"/>
      <c r="E686" s="12"/>
      <c r="F686" s="13"/>
      <c r="G686" s="13"/>
      <c r="H686" s="12"/>
      <c r="I686" s="18"/>
      <c r="J686" s="16"/>
      <c r="K686" s="16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6"/>
      <c r="AH686" s="16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216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5"/>
      <c r="BG686" s="15"/>
    </row>
    <row r="687" spans="1:59" ht="15.75" customHeight="1">
      <c r="A687" s="216"/>
      <c r="B687" s="12"/>
      <c r="C687" s="12"/>
      <c r="D687" s="13"/>
      <c r="E687" s="12"/>
      <c r="F687" s="13"/>
      <c r="G687" s="13"/>
      <c r="H687" s="12"/>
      <c r="I687" s="18"/>
      <c r="J687" s="16"/>
      <c r="K687" s="16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6"/>
      <c r="AH687" s="16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216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5"/>
      <c r="BG687" s="15"/>
    </row>
    <row r="688" spans="1:59" ht="15.75" customHeight="1">
      <c r="A688" s="216"/>
      <c r="B688" s="12"/>
      <c r="C688" s="12"/>
      <c r="D688" s="13"/>
      <c r="E688" s="12"/>
      <c r="F688" s="13"/>
      <c r="G688" s="13"/>
      <c r="H688" s="12"/>
      <c r="I688" s="18"/>
      <c r="J688" s="16"/>
      <c r="K688" s="16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6"/>
      <c r="AH688" s="16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216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5"/>
      <c r="BG688" s="15"/>
    </row>
    <row r="689" spans="1:59" ht="15.75" customHeight="1">
      <c r="A689" s="216"/>
      <c r="B689" s="12"/>
      <c r="C689" s="12"/>
      <c r="D689" s="13"/>
      <c r="E689" s="12"/>
      <c r="F689" s="13"/>
      <c r="G689" s="13"/>
      <c r="H689" s="12"/>
      <c r="I689" s="18"/>
      <c r="J689" s="16"/>
      <c r="K689" s="16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6"/>
      <c r="AH689" s="16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216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5"/>
      <c r="BG689" s="15"/>
    </row>
    <row r="690" spans="1:59" ht="15.75" customHeight="1">
      <c r="A690" s="216"/>
      <c r="B690" s="12"/>
      <c r="C690" s="12"/>
      <c r="D690" s="13"/>
      <c r="E690" s="12"/>
      <c r="F690" s="13"/>
      <c r="G690" s="13"/>
      <c r="H690" s="12"/>
      <c r="I690" s="18"/>
      <c r="J690" s="16"/>
      <c r="K690" s="16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6"/>
      <c r="AH690" s="16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216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5"/>
      <c r="BG690" s="15"/>
    </row>
    <row r="691" spans="1:59" ht="15.75" customHeight="1">
      <c r="A691" s="216"/>
      <c r="B691" s="12"/>
      <c r="C691" s="12"/>
      <c r="D691" s="13"/>
      <c r="E691" s="12"/>
      <c r="F691" s="13"/>
      <c r="G691" s="13"/>
      <c r="H691" s="12"/>
      <c r="I691" s="18"/>
      <c r="J691" s="16"/>
      <c r="K691" s="16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6"/>
      <c r="AH691" s="16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216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5"/>
      <c r="BG691" s="15"/>
    </row>
    <row r="692" spans="1:59" ht="15.75" customHeight="1">
      <c r="A692" s="216"/>
      <c r="B692" s="12"/>
      <c r="C692" s="12"/>
      <c r="D692" s="13"/>
      <c r="E692" s="12"/>
      <c r="F692" s="13"/>
      <c r="G692" s="13"/>
      <c r="H692" s="12"/>
      <c r="I692" s="18"/>
      <c r="J692" s="16"/>
      <c r="K692" s="16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6"/>
      <c r="AH692" s="16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216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5"/>
      <c r="BG692" s="15"/>
    </row>
    <row r="693" spans="1:59" ht="15.75" customHeight="1">
      <c r="A693" s="216"/>
      <c r="B693" s="12"/>
      <c r="C693" s="12"/>
      <c r="D693" s="13"/>
      <c r="E693" s="12"/>
      <c r="F693" s="13"/>
      <c r="G693" s="13"/>
      <c r="H693" s="12"/>
      <c r="I693" s="18"/>
      <c r="J693" s="16"/>
      <c r="K693" s="16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6"/>
      <c r="AH693" s="16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216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5"/>
      <c r="BG693" s="15"/>
    </row>
    <row r="694" spans="1:59" ht="15.75" customHeight="1">
      <c r="A694" s="216"/>
      <c r="B694" s="12"/>
      <c r="C694" s="12"/>
      <c r="D694" s="13"/>
      <c r="E694" s="12"/>
      <c r="F694" s="13"/>
      <c r="G694" s="13"/>
      <c r="H694" s="12"/>
      <c r="I694" s="18"/>
      <c r="J694" s="16"/>
      <c r="K694" s="16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6"/>
      <c r="AH694" s="16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216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5"/>
      <c r="BG694" s="15"/>
    </row>
    <row r="695" spans="1:59" ht="15.75" customHeight="1">
      <c r="A695" s="216"/>
      <c r="B695" s="12"/>
      <c r="C695" s="12"/>
      <c r="D695" s="13"/>
      <c r="E695" s="12"/>
      <c r="F695" s="13"/>
      <c r="G695" s="13"/>
      <c r="H695" s="12"/>
      <c r="I695" s="18"/>
      <c r="J695" s="16"/>
      <c r="K695" s="16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6"/>
      <c r="AH695" s="16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216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5"/>
      <c r="BG695" s="15"/>
    </row>
    <row r="696" spans="1:59" ht="15.75" customHeight="1">
      <c r="A696" s="216"/>
      <c r="B696" s="12"/>
      <c r="C696" s="12"/>
      <c r="D696" s="13"/>
      <c r="E696" s="12"/>
      <c r="F696" s="13"/>
      <c r="G696" s="13"/>
      <c r="H696" s="12"/>
      <c r="I696" s="18"/>
      <c r="J696" s="16"/>
      <c r="K696" s="16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6"/>
      <c r="AH696" s="16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216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5"/>
      <c r="BG696" s="15"/>
    </row>
    <row r="697" spans="1:59" ht="15.75" customHeight="1">
      <c r="A697" s="216"/>
      <c r="B697" s="12"/>
      <c r="C697" s="12"/>
      <c r="D697" s="13"/>
      <c r="E697" s="12"/>
      <c r="F697" s="13"/>
      <c r="G697" s="13"/>
      <c r="H697" s="12"/>
      <c r="I697" s="18"/>
      <c r="J697" s="16"/>
      <c r="K697" s="16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6"/>
      <c r="AH697" s="16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216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5"/>
      <c r="BG697" s="15"/>
    </row>
    <row r="698" spans="1:59" ht="15.75" customHeight="1">
      <c r="A698" s="216"/>
      <c r="B698" s="12"/>
      <c r="C698" s="12"/>
      <c r="D698" s="13"/>
      <c r="E698" s="12"/>
      <c r="F698" s="13"/>
      <c r="G698" s="13"/>
      <c r="H698" s="12"/>
      <c r="I698" s="18"/>
      <c r="J698" s="16"/>
      <c r="K698" s="16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6"/>
      <c r="AH698" s="16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216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5"/>
      <c r="BG698" s="15"/>
    </row>
    <row r="699" spans="1:59" ht="15.75" customHeight="1">
      <c r="A699" s="216"/>
      <c r="B699" s="12"/>
      <c r="C699" s="12"/>
      <c r="D699" s="13"/>
      <c r="E699" s="12"/>
      <c r="F699" s="13"/>
      <c r="G699" s="13"/>
      <c r="H699" s="12"/>
      <c r="I699" s="18"/>
      <c r="J699" s="16"/>
      <c r="K699" s="16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6"/>
      <c r="AH699" s="16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216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5"/>
      <c r="BG699" s="15"/>
    </row>
    <row r="700" spans="1:59" ht="15.75" customHeight="1">
      <c r="A700" s="216"/>
      <c r="B700" s="12"/>
      <c r="C700" s="12"/>
      <c r="D700" s="13"/>
      <c r="E700" s="12"/>
      <c r="F700" s="13"/>
      <c r="G700" s="13"/>
      <c r="H700" s="12"/>
      <c r="I700" s="18"/>
      <c r="J700" s="16"/>
      <c r="K700" s="16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6"/>
      <c r="AH700" s="16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216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5"/>
      <c r="BG700" s="15"/>
    </row>
    <row r="701" spans="1:59" ht="15.75" customHeight="1">
      <c r="A701" s="216"/>
      <c r="B701" s="12"/>
      <c r="C701" s="12"/>
      <c r="D701" s="13"/>
      <c r="E701" s="12"/>
      <c r="F701" s="13"/>
      <c r="G701" s="13"/>
      <c r="H701" s="12"/>
      <c r="I701" s="18"/>
      <c r="J701" s="16"/>
      <c r="K701" s="16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6"/>
      <c r="AH701" s="16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216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5"/>
      <c r="BG701" s="15"/>
    </row>
    <row r="702" spans="1:59" ht="15.75" customHeight="1">
      <c r="A702" s="216"/>
      <c r="B702" s="12"/>
      <c r="C702" s="12"/>
      <c r="D702" s="13"/>
      <c r="E702" s="12"/>
      <c r="F702" s="13"/>
      <c r="G702" s="13"/>
      <c r="H702" s="12"/>
      <c r="I702" s="18"/>
      <c r="J702" s="16"/>
      <c r="K702" s="16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6"/>
      <c r="AH702" s="16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216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5"/>
      <c r="BG702" s="15"/>
    </row>
    <row r="703" spans="1:59" ht="15.75" customHeight="1">
      <c r="A703" s="216"/>
      <c r="B703" s="12"/>
      <c r="C703" s="12"/>
      <c r="D703" s="13"/>
      <c r="E703" s="12"/>
      <c r="F703" s="13"/>
      <c r="G703" s="13"/>
      <c r="H703" s="12"/>
      <c r="I703" s="18"/>
      <c r="J703" s="16"/>
      <c r="K703" s="16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6"/>
      <c r="AH703" s="16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216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5"/>
      <c r="BG703" s="15"/>
    </row>
    <row r="704" spans="1:59" ht="15.75" customHeight="1">
      <c r="A704" s="216"/>
      <c r="B704" s="12"/>
      <c r="C704" s="12"/>
      <c r="D704" s="13"/>
      <c r="E704" s="12"/>
      <c r="F704" s="13"/>
      <c r="G704" s="13"/>
      <c r="H704" s="12"/>
      <c r="I704" s="18"/>
      <c r="J704" s="16"/>
      <c r="K704" s="16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6"/>
      <c r="AH704" s="16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216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5"/>
      <c r="BG704" s="15"/>
    </row>
    <row r="705" spans="1:59" ht="15.75" customHeight="1">
      <c r="A705" s="216"/>
      <c r="B705" s="12"/>
      <c r="C705" s="12"/>
      <c r="D705" s="13"/>
      <c r="E705" s="12"/>
      <c r="F705" s="13"/>
      <c r="G705" s="13"/>
      <c r="H705" s="12"/>
      <c r="I705" s="18"/>
      <c r="J705" s="16"/>
      <c r="K705" s="16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6"/>
      <c r="AH705" s="16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216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5"/>
      <c r="BG705" s="15"/>
    </row>
    <row r="706" spans="1:59" ht="15.75" customHeight="1">
      <c r="A706" s="216"/>
      <c r="B706" s="12"/>
      <c r="C706" s="12"/>
      <c r="D706" s="13"/>
      <c r="E706" s="12"/>
      <c r="F706" s="13"/>
      <c r="G706" s="13"/>
      <c r="H706" s="12"/>
      <c r="I706" s="18"/>
      <c r="J706" s="16"/>
      <c r="K706" s="16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6"/>
      <c r="AH706" s="16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216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5"/>
      <c r="BG706" s="15"/>
    </row>
    <row r="707" spans="1:59" ht="15.75" customHeight="1">
      <c r="A707" s="216"/>
      <c r="B707" s="12"/>
      <c r="C707" s="12"/>
      <c r="D707" s="13"/>
      <c r="E707" s="12"/>
      <c r="F707" s="13"/>
      <c r="G707" s="13"/>
      <c r="H707" s="12"/>
      <c r="I707" s="18"/>
      <c r="J707" s="16"/>
      <c r="K707" s="16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6"/>
      <c r="AH707" s="16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216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5"/>
      <c r="BG707" s="15"/>
    </row>
    <row r="708" spans="1:59" ht="15.75" customHeight="1">
      <c r="A708" s="216"/>
      <c r="B708" s="12"/>
      <c r="C708" s="12"/>
      <c r="D708" s="13"/>
      <c r="E708" s="12"/>
      <c r="F708" s="13"/>
      <c r="G708" s="13"/>
      <c r="H708" s="12"/>
      <c r="I708" s="18"/>
      <c r="J708" s="16"/>
      <c r="K708" s="16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6"/>
      <c r="AH708" s="16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216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5"/>
      <c r="BG708" s="15"/>
    </row>
    <row r="709" spans="1:59" ht="15.75" customHeight="1">
      <c r="A709" s="216"/>
      <c r="B709" s="12"/>
      <c r="C709" s="12"/>
      <c r="D709" s="13"/>
      <c r="E709" s="12"/>
      <c r="F709" s="13"/>
      <c r="G709" s="13"/>
      <c r="H709" s="12"/>
      <c r="I709" s="18"/>
      <c r="J709" s="16"/>
      <c r="K709" s="16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6"/>
      <c r="AH709" s="16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216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5"/>
      <c r="BG709" s="15"/>
    </row>
    <row r="710" spans="1:59" ht="15.75" customHeight="1">
      <c r="A710" s="216"/>
      <c r="B710" s="12"/>
      <c r="C710" s="12"/>
      <c r="D710" s="13"/>
      <c r="E710" s="12"/>
      <c r="F710" s="13"/>
      <c r="G710" s="13"/>
      <c r="H710" s="12"/>
      <c r="I710" s="18"/>
      <c r="J710" s="16"/>
      <c r="K710" s="16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6"/>
      <c r="AH710" s="16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216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5"/>
      <c r="BG710" s="15"/>
    </row>
    <row r="711" spans="1:59" ht="15.75" customHeight="1">
      <c r="A711" s="216"/>
      <c r="B711" s="12"/>
      <c r="C711" s="12"/>
      <c r="D711" s="13"/>
      <c r="E711" s="12"/>
      <c r="F711" s="13"/>
      <c r="G711" s="13"/>
      <c r="H711" s="12"/>
      <c r="I711" s="18"/>
      <c r="J711" s="16"/>
      <c r="K711" s="16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6"/>
      <c r="AH711" s="16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216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5"/>
      <c r="BG711" s="15"/>
    </row>
    <row r="712" spans="1:59" ht="15.75" customHeight="1">
      <c r="A712" s="216"/>
      <c r="B712" s="12"/>
      <c r="C712" s="12"/>
      <c r="D712" s="13"/>
      <c r="E712" s="12"/>
      <c r="F712" s="13"/>
      <c r="G712" s="13"/>
      <c r="H712" s="12"/>
      <c r="I712" s="18"/>
      <c r="J712" s="16"/>
      <c r="K712" s="16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6"/>
      <c r="AH712" s="16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216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5"/>
      <c r="BG712" s="15"/>
    </row>
    <row r="713" spans="1:59" ht="15.75" customHeight="1">
      <c r="A713" s="216"/>
      <c r="B713" s="12"/>
      <c r="C713" s="12"/>
      <c r="D713" s="13"/>
      <c r="E713" s="12"/>
      <c r="F713" s="13"/>
      <c r="G713" s="13"/>
      <c r="H713" s="12"/>
      <c r="I713" s="18"/>
      <c r="J713" s="16"/>
      <c r="K713" s="16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6"/>
      <c r="AH713" s="16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216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5"/>
      <c r="BG713" s="15"/>
    </row>
    <row r="714" spans="1:59" ht="15.75" customHeight="1">
      <c r="A714" s="216"/>
      <c r="B714" s="12"/>
      <c r="C714" s="12"/>
      <c r="D714" s="13"/>
      <c r="E714" s="12"/>
      <c r="F714" s="13"/>
      <c r="G714" s="13"/>
      <c r="H714" s="12"/>
      <c r="I714" s="18"/>
      <c r="J714" s="16"/>
      <c r="K714" s="16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6"/>
      <c r="AH714" s="16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216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5"/>
      <c r="BG714" s="15"/>
    </row>
    <row r="715" spans="1:59" ht="15.75" customHeight="1">
      <c r="A715" s="216"/>
      <c r="B715" s="12"/>
      <c r="C715" s="12"/>
      <c r="D715" s="13"/>
      <c r="E715" s="12"/>
      <c r="F715" s="13"/>
      <c r="G715" s="13"/>
      <c r="H715" s="12"/>
      <c r="I715" s="18"/>
      <c r="J715" s="16"/>
      <c r="K715" s="16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6"/>
      <c r="AH715" s="16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216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5"/>
      <c r="BG715" s="15"/>
    </row>
    <row r="716" spans="1:59" ht="15.75" customHeight="1">
      <c r="A716" s="216"/>
      <c r="B716" s="12"/>
      <c r="C716" s="12"/>
      <c r="D716" s="13"/>
      <c r="E716" s="12"/>
      <c r="F716" s="13"/>
      <c r="G716" s="13"/>
      <c r="H716" s="12"/>
      <c r="I716" s="18"/>
      <c r="J716" s="16"/>
      <c r="K716" s="16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6"/>
      <c r="AH716" s="16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216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5"/>
      <c r="BG716" s="15"/>
    </row>
    <row r="717" spans="1:59" ht="15.75" customHeight="1">
      <c r="A717" s="216"/>
      <c r="B717" s="12"/>
      <c r="C717" s="12"/>
      <c r="D717" s="13"/>
      <c r="E717" s="12"/>
      <c r="F717" s="13"/>
      <c r="G717" s="13"/>
      <c r="H717" s="12"/>
      <c r="I717" s="18"/>
      <c r="J717" s="16"/>
      <c r="K717" s="16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6"/>
      <c r="AH717" s="16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216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5"/>
      <c r="BG717" s="15"/>
    </row>
    <row r="718" spans="1:59" ht="15.75" customHeight="1">
      <c r="A718" s="216"/>
      <c r="B718" s="12"/>
      <c r="C718" s="12"/>
      <c r="D718" s="13"/>
      <c r="E718" s="12"/>
      <c r="F718" s="13"/>
      <c r="G718" s="13"/>
      <c r="H718" s="12"/>
      <c r="I718" s="18"/>
      <c r="J718" s="16"/>
      <c r="K718" s="16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6"/>
      <c r="AH718" s="16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216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5"/>
      <c r="BG718" s="15"/>
    </row>
    <row r="719" spans="1:59" ht="15.75" customHeight="1">
      <c r="A719" s="216"/>
      <c r="B719" s="12"/>
      <c r="C719" s="12"/>
      <c r="D719" s="13"/>
      <c r="E719" s="12"/>
      <c r="F719" s="13"/>
      <c r="G719" s="13"/>
      <c r="H719" s="12"/>
      <c r="I719" s="18"/>
      <c r="J719" s="16"/>
      <c r="K719" s="16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6"/>
      <c r="AH719" s="16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216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5"/>
      <c r="BG719" s="15"/>
    </row>
    <row r="720" spans="1:59" ht="15.75" customHeight="1">
      <c r="A720" s="216"/>
      <c r="B720" s="12"/>
      <c r="C720" s="12"/>
      <c r="D720" s="13"/>
      <c r="E720" s="12"/>
      <c r="F720" s="13"/>
      <c r="G720" s="13"/>
      <c r="H720" s="12"/>
      <c r="I720" s="18"/>
      <c r="J720" s="16"/>
      <c r="K720" s="16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6"/>
      <c r="AH720" s="16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216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5"/>
      <c r="BG720" s="15"/>
    </row>
    <row r="721" spans="1:59" ht="15.75" customHeight="1">
      <c r="A721" s="216"/>
      <c r="B721" s="12"/>
      <c r="C721" s="12"/>
      <c r="D721" s="13"/>
      <c r="E721" s="12"/>
      <c r="F721" s="13"/>
      <c r="G721" s="13"/>
      <c r="H721" s="12"/>
      <c r="I721" s="18"/>
      <c r="J721" s="16"/>
      <c r="K721" s="16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6"/>
      <c r="AH721" s="16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216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5"/>
      <c r="BG721" s="15"/>
    </row>
    <row r="722" spans="1:59" ht="15.75" customHeight="1">
      <c r="A722" s="216"/>
      <c r="B722" s="12"/>
      <c r="C722" s="12"/>
      <c r="D722" s="13"/>
      <c r="E722" s="12"/>
      <c r="F722" s="13"/>
      <c r="G722" s="13"/>
      <c r="H722" s="12"/>
      <c r="I722" s="18"/>
      <c r="J722" s="16"/>
      <c r="K722" s="16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6"/>
      <c r="AH722" s="16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216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5"/>
      <c r="BG722" s="15"/>
    </row>
    <row r="723" spans="1:59" ht="15.75" customHeight="1">
      <c r="A723" s="216"/>
      <c r="B723" s="12"/>
      <c r="C723" s="12"/>
      <c r="D723" s="13"/>
      <c r="E723" s="12"/>
      <c r="F723" s="13"/>
      <c r="G723" s="13"/>
      <c r="H723" s="12"/>
      <c r="I723" s="18"/>
      <c r="J723" s="16"/>
      <c r="K723" s="16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6"/>
      <c r="AH723" s="16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216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5"/>
      <c r="BG723" s="15"/>
    </row>
    <row r="724" spans="1:59" ht="15.75" customHeight="1">
      <c r="A724" s="216"/>
      <c r="B724" s="12"/>
      <c r="C724" s="12"/>
      <c r="D724" s="13"/>
      <c r="E724" s="12"/>
      <c r="F724" s="13"/>
      <c r="G724" s="13"/>
      <c r="H724" s="12"/>
      <c r="I724" s="18"/>
      <c r="J724" s="16"/>
      <c r="K724" s="16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6"/>
      <c r="AH724" s="16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216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5"/>
      <c r="BG724" s="15"/>
    </row>
    <row r="725" spans="1:59" ht="15.75" customHeight="1">
      <c r="A725" s="216"/>
      <c r="B725" s="12"/>
      <c r="C725" s="12"/>
      <c r="D725" s="13"/>
      <c r="E725" s="12"/>
      <c r="F725" s="13"/>
      <c r="G725" s="13"/>
      <c r="H725" s="12"/>
      <c r="I725" s="18"/>
      <c r="J725" s="16"/>
      <c r="K725" s="16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6"/>
      <c r="AH725" s="16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216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5"/>
      <c r="BG725" s="15"/>
    </row>
    <row r="726" spans="1:59" ht="15.75" customHeight="1">
      <c r="A726" s="216"/>
      <c r="B726" s="12"/>
      <c r="C726" s="12"/>
      <c r="D726" s="13"/>
      <c r="E726" s="12"/>
      <c r="F726" s="13"/>
      <c r="G726" s="13"/>
      <c r="H726" s="12"/>
      <c r="I726" s="18"/>
      <c r="J726" s="16"/>
      <c r="K726" s="16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6"/>
      <c r="AH726" s="16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216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5"/>
      <c r="BG726" s="15"/>
    </row>
    <row r="727" spans="1:59" ht="15.75" customHeight="1">
      <c r="A727" s="216"/>
      <c r="B727" s="12"/>
      <c r="C727" s="12"/>
      <c r="D727" s="13"/>
      <c r="E727" s="12"/>
      <c r="F727" s="13"/>
      <c r="G727" s="13"/>
      <c r="H727" s="12"/>
      <c r="I727" s="18"/>
      <c r="J727" s="16"/>
      <c r="K727" s="16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6"/>
      <c r="AH727" s="16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216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5"/>
      <c r="BG727" s="15"/>
    </row>
    <row r="728" spans="1:59" ht="15.75" customHeight="1">
      <c r="A728" s="216"/>
      <c r="B728" s="12"/>
      <c r="C728" s="12"/>
      <c r="D728" s="13"/>
      <c r="E728" s="12"/>
      <c r="F728" s="13"/>
      <c r="G728" s="13"/>
      <c r="H728" s="12"/>
      <c r="I728" s="18"/>
      <c r="J728" s="16"/>
      <c r="K728" s="16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6"/>
      <c r="AH728" s="16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216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5"/>
      <c r="BG728" s="15"/>
    </row>
    <row r="729" spans="1:59" ht="15.75" customHeight="1">
      <c r="A729" s="216"/>
      <c r="B729" s="12"/>
      <c r="C729" s="12"/>
      <c r="D729" s="13"/>
      <c r="E729" s="12"/>
      <c r="F729" s="13"/>
      <c r="G729" s="13"/>
      <c r="H729" s="12"/>
      <c r="I729" s="18"/>
      <c r="J729" s="16"/>
      <c r="K729" s="16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6"/>
      <c r="AH729" s="16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216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5"/>
      <c r="BG729" s="15"/>
    </row>
    <row r="730" spans="1:59" ht="15.75" customHeight="1">
      <c r="A730" s="216"/>
      <c r="B730" s="12"/>
      <c r="C730" s="12"/>
      <c r="D730" s="13"/>
      <c r="E730" s="12"/>
      <c r="F730" s="13"/>
      <c r="G730" s="13"/>
      <c r="H730" s="12"/>
      <c r="I730" s="18"/>
      <c r="J730" s="16"/>
      <c r="K730" s="16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6"/>
      <c r="AH730" s="16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216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5"/>
      <c r="BG730" s="15"/>
    </row>
    <row r="731" spans="1:59" ht="15.75" customHeight="1">
      <c r="A731" s="216"/>
      <c r="B731" s="12"/>
      <c r="C731" s="12"/>
      <c r="D731" s="13"/>
      <c r="E731" s="12"/>
      <c r="F731" s="13"/>
      <c r="G731" s="13"/>
      <c r="H731" s="12"/>
      <c r="I731" s="18"/>
      <c r="J731" s="16"/>
      <c r="K731" s="16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6"/>
      <c r="AH731" s="16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216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5"/>
      <c r="BG731" s="15"/>
    </row>
    <row r="732" spans="1:59" ht="15.75" customHeight="1">
      <c r="A732" s="216"/>
      <c r="B732" s="12"/>
      <c r="C732" s="12"/>
      <c r="D732" s="13"/>
      <c r="E732" s="12"/>
      <c r="F732" s="13"/>
      <c r="G732" s="13"/>
      <c r="H732" s="12"/>
      <c r="I732" s="18"/>
      <c r="J732" s="16"/>
      <c r="K732" s="16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6"/>
      <c r="AH732" s="16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216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5"/>
      <c r="BG732" s="15"/>
    </row>
    <row r="733" spans="1:59" ht="15.75" customHeight="1">
      <c r="A733" s="216"/>
      <c r="B733" s="12"/>
      <c r="C733" s="12"/>
      <c r="D733" s="13"/>
      <c r="E733" s="12"/>
      <c r="F733" s="13"/>
      <c r="G733" s="13"/>
      <c r="H733" s="12"/>
      <c r="I733" s="18"/>
      <c r="J733" s="16"/>
      <c r="K733" s="16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6"/>
      <c r="AH733" s="16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216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5"/>
      <c r="BG733" s="15"/>
    </row>
    <row r="734" spans="1:59" ht="15.75" customHeight="1">
      <c r="A734" s="216"/>
      <c r="B734" s="12"/>
      <c r="C734" s="12"/>
      <c r="D734" s="13"/>
      <c r="E734" s="12"/>
      <c r="F734" s="13"/>
      <c r="G734" s="13"/>
      <c r="H734" s="12"/>
      <c r="I734" s="18"/>
      <c r="J734" s="16"/>
      <c r="K734" s="16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6"/>
      <c r="AH734" s="16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216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5"/>
      <c r="BG734" s="15"/>
    </row>
    <row r="735" spans="1:59" ht="15.75" customHeight="1">
      <c r="A735" s="216"/>
      <c r="B735" s="12"/>
      <c r="C735" s="12"/>
      <c r="D735" s="13"/>
      <c r="E735" s="12"/>
      <c r="F735" s="13"/>
      <c r="G735" s="13"/>
      <c r="H735" s="12"/>
      <c r="I735" s="18"/>
      <c r="J735" s="16"/>
      <c r="K735" s="16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6"/>
      <c r="AH735" s="16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216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5"/>
      <c r="BG735" s="15"/>
    </row>
    <row r="736" spans="1:59" ht="15.75" customHeight="1">
      <c r="A736" s="216"/>
      <c r="B736" s="12"/>
      <c r="C736" s="12"/>
      <c r="D736" s="13"/>
      <c r="E736" s="12"/>
      <c r="F736" s="13"/>
      <c r="G736" s="13"/>
      <c r="H736" s="12"/>
      <c r="I736" s="18"/>
      <c r="J736" s="16"/>
      <c r="K736" s="16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6"/>
      <c r="AH736" s="16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216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5"/>
      <c r="BG736" s="15"/>
    </row>
    <row r="737" spans="1:59" ht="15.75" customHeight="1">
      <c r="A737" s="216"/>
      <c r="B737" s="12"/>
      <c r="C737" s="12"/>
      <c r="D737" s="13"/>
      <c r="E737" s="12"/>
      <c r="F737" s="13"/>
      <c r="G737" s="13"/>
      <c r="H737" s="12"/>
      <c r="I737" s="18"/>
      <c r="J737" s="16"/>
      <c r="K737" s="16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6"/>
      <c r="AH737" s="16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216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5"/>
      <c r="BG737" s="15"/>
    </row>
    <row r="738" spans="1:59" ht="15.75" customHeight="1">
      <c r="A738" s="216"/>
      <c r="B738" s="12"/>
      <c r="C738" s="12"/>
      <c r="D738" s="13"/>
      <c r="E738" s="12"/>
      <c r="F738" s="13"/>
      <c r="G738" s="13"/>
      <c r="H738" s="12"/>
      <c r="I738" s="18"/>
      <c r="J738" s="16"/>
      <c r="K738" s="16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6"/>
      <c r="AH738" s="16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216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5"/>
      <c r="BG738" s="15"/>
    </row>
    <row r="739" spans="1:59" ht="15.75" customHeight="1">
      <c r="A739" s="216"/>
      <c r="B739" s="12"/>
      <c r="C739" s="12"/>
      <c r="D739" s="13"/>
      <c r="E739" s="12"/>
      <c r="F739" s="13"/>
      <c r="G739" s="13"/>
      <c r="H739" s="12"/>
      <c r="I739" s="18"/>
      <c r="J739" s="16"/>
      <c r="K739" s="16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6"/>
      <c r="AH739" s="16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216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5"/>
      <c r="BG739" s="15"/>
    </row>
    <row r="740" spans="1:59" ht="15.75" customHeight="1">
      <c r="A740" s="216"/>
      <c r="B740" s="12"/>
      <c r="C740" s="12"/>
      <c r="D740" s="13"/>
      <c r="E740" s="12"/>
      <c r="F740" s="13"/>
      <c r="G740" s="13"/>
      <c r="H740" s="12"/>
      <c r="I740" s="18"/>
      <c r="J740" s="16"/>
      <c r="K740" s="16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6"/>
      <c r="AH740" s="16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216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5"/>
      <c r="BG740" s="15"/>
    </row>
    <row r="741" spans="1:59" ht="15.75" customHeight="1">
      <c r="A741" s="216"/>
      <c r="B741" s="12"/>
      <c r="C741" s="12"/>
      <c r="D741" s="13"/>
      <c r="E741" s="12"/>
      <c r="F741" s="13"/>
      <c r="G741" s="13"/>
      <c r="H741" s="12"/>
      <c r="I741" s="18"/>
      <c r="J741" s="16"/>
      <c r="K741" s="16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6"/>
      <c r="AH741" s="16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216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5"/>
      <c r="BG741" s="15"/>
    </row>
    <row r="742" spans="1:59" ht="15.75" customHeight="1">
      <c r="A742" s="216"/>
      <c r="B742" s="12"/>
      <c r="C742" s="12"/>
      <c r="D742" s="13"/>
      <c r="E742" s="12"/>
      <c r="F742" s="13"/>
      <c r="G742" s="13"/>
      <c r="H742" s="12"/>
      <c r="I742" s="18"/>
      <c r="J742" s="16"/>
      <c r="K742" s="16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6"/>
      <c r="AH742" s="16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216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5"/>
      <c r="BG742" s="15"/>
    </row>
    <row r="743" spans="1:59" ht="15.75" customHeight="1">
      <c r="A743" s="216"/>
      <c r="B743" s="12"/>
      <c r="C743" s="12"/>
      <c r="D743" s="13"/>
      <c r="E743" s="12"/>
      <c r="F743" s="13"/>
      <c r="G743" s="13"/>
      <c r="H743" s="12"/>
      <c r="I743" s="18"/>
      <c r="J743" s="16"/>
      <c r="K743" s="16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6"/>
      <c r="AH743" s="16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216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5"/>
      <c r="BG743" s="15"/>
    </row>
    <row r="744" spans="1:59" ht="15.75" customHeight="1">
      <c r="A744" s="216"/>
      <c r="B744" s="12"/>
      <c r="C744" s="12"/>
      <c r="D744" s="13"/>
      <c r="E744" s="12"/>
      <c r="F744" s="13"/>
      <c r="G744" s="13"/>
      <c r="H744" s="12"/>
      <c r="I744" s="18"/>
      <c r="J744" s="16"/>
      <c r="K744" s="16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6"/>
      <c r="AH744" s="16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216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5"/>
      <c r="BG744" s="15"/>
    </row>
    <row r="745" spans="1:59" ht="15.75" customHeight="1">
      <c r="A745" s="216"/>
      <c r="B745" s="12"/>
      <c r="C745" s="12"/>
      <c r="D745" s="13"/>
      <c r="E745" s="12"/>
      <c r="F745" s="13"/>
      <c r="G745" s="13"/>
      <c r="H745" s="12"/>
      <c r="I745" s="18"/>
      <c r="J745" s="16"/>
      <c r="K745" s="16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6"/>
      <c r="AH745" s="16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216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5"/>
      <c r="BG745" s="15"/>
    </row>
    <row r="746" spans="1:59" ht="15.75" customHeight="1">
      <c r="A746" s="216"/>
      <c r="B746" s="12"/>
      <c r="C746" s="12"/>
      <c r="D746" s="13"/>
      <c r="E746" s="12"/>
      <c r="F746" s="13"/>
      <c r="G746" s="13"/>
      <c r="H746" s="12"/>
      <c r="I746" s="18"/>
      <c r="J746" s="16"/>
      <c r="K746" s="16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6"/>
      <c r="AH746" s="16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216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5"/>
      <c r="BG746" s="15"/>
    </row>
    <row r="747" spans="1:59" ht="15.75" customHeight="1">
      <c r="A747" s="216"/>
      <c r="B747" s="12"/>
      <c r="C747" s="12"/>
      <c r="D747" s="13"/>
      <c r="E747" s="12"/>
      <c r="F747" s="13"/>
      <c r="G747" s="13"/>
      <c r="H747" s="12"/>
      <c r="I747" s="18"/>
      <c r="J747" s="16"/>
      <c r="K747" s="16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6"/>
      <c r="AH747" s="16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216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5"/>
      <c r="BG747" s="15"/>
    </row>
    <row r="748" spans="1:59" ht="15.75" customHeight="1">
      <c r="A748" s="216"/>
      <c r="B748" s="12"/>
      <c r="C748" s="12"/>
      <c r="D748" s="13"/>
      <c r="E748" s="12"/>
      <c r="F748" s="13"/>
      <c r="G748" s="13"/>
      <c r="H748" s="12"/>
      <c r="I748" s="18"/>
      <c r="J748" s="16"/>
      <c r="K748" s="16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6"/>
      <c r="AH748" s="16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216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5"/>
      <c r="BG748" s="15"/>
    </row>
    <row r="749" spans="1:59" ht="15.75" customHeight="1">
      <c r="A749" s="216"/>
      <c r="B749" s="12"/>
      <c r="C749" s="12"/>
      <c r="D749" s="13"/>
      <c r="E749" s="12"/>
      <c r="F749" s="13"/>
      <c r="G749" s="13"/>
      <c r="H749" s="12"/>
      <c r="I749" s="18"/>
      <c r="J749" s="16"/>
      <c r="K749" s="16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6"/>
      <c r="AH749" s="16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216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5"/>
      <c r="BG749" s="15"/>
    </row>
    <row r="750" spans="1:59" ht="15.75" customHeight="1">
      <c r="A750" s="216"/>
      <c r="B750" s="12"/>
      <c r="C750" s="12"/>
      <c r="D750" s="13"/>
      <c r="E750" s="12"/>
      <c r="F750" s="13"/>
      <c r="G750" s="13"/>
      <c r="H750" s="12"/>
      <c r="I750" s="18"/>
      <c r="J750" s="16"/>
      <c r="K750" s="16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6"/>
      <c r="AH750" s="16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216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5"/>
      <c r="BG750" s="15"/>
    </row>
    <row r="751" spans="1:59" ht="15.75" customHeight="1">
      <c r="A751" s="216"/>
      <c r="B751" s="12"/>
      <c r="C751" s="12"/>
      <c r="D751" s="13"/>
      <c r="E751" s="12"/>
      <c r="F751" s="13"/>
      <c r="G751" s="13"/>
      <c r="H751" s="12"/>
      <c r="I751" s="18"/>
      <c r="J751" s="16"/>
      <c r="K751" s="16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6"/>
      <c r="AH751" s="16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216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5"/>
      <c r="BG751" s="15"/>
    </row>
    <row r="752" spans="1:59" ht="15.75" customHeight="1">
      <c r="A752" s="216"/>
      <c r="B752" s="12"/>
      <c r="C752" s="12"/>
      <c r="D752" s="13"/>
      <c r="E752" s="12"/>
      <c r="F752" s="13"/>
      <c r="G752" s="13"/>
      <c r="H752" s="12"/>
      <c r="I752" s="18"/>
      <c r="J752" s="16"/>
      <c r="K752" s="16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6"/>
      <c r="AH752" s="16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216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5"/>
      <c r="BG752" s="15"/>
    </row>
    <row r="753" spans="1:59" ht="15.75" customHeight="1">
      <c r="A753" s="216"/>
      <c r="B753" s="12"/>
      <c r="C753" s="12"/>
      <c r="D753" s="13"/>
      <c r="E753" s="12"/>
      <c r="F753" s="13"/>
      <c r="G753" s="13"/>
      <c r="H753" s="12"/>
      <c r="I753" s="18"/>
      <c r="J753" s="16"/>
      <c r="K753" s="16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6"/>
      <c r="AH753" s="16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216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5"/>
      <c r="BG753" s="15"/>
    </row>
    <row r="754" spans="1:59" ht="15.75" customHeight="1">
      <c r="A754" s="216"/>
      <c r="B754" s="12"/>
      <c r="C754" s="12"/>
      <c r="D754" s="13"/>
      <c r="E754" s="12"/>
      <c r="F754" s="13"/>
      <c r="G754" s="13"/>
      <c r="H754" s="12"/>
      <c r="I754" s="18"/>
      <c r="J754" s="16"/>
      <c r="K754" s="16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6"/>
      <c r="AH754" s="16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216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5"/>
      <c r="BG754" s="15"/>
    </row>
    <row r="755" spans="1:59" ht="15.75" customHeight="1">
      <c r="A755" s="216"/>
      <c r="B755" s="12"/>
      <c r="C755" s="12"/>
      <c r="D755" s="13"/>
      <c r="E755" s="12"/>
      <c r="F755" s="13"/>
      <c r="G755" s="13"/>
      <c r="H755" s="12"/>
      <c r="I755" s="18"/>
      <c r="J755" s="16"/>
      <c r="K755" s="16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6"/>
      <c r="AH755" s="16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216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5"/>
      <c r="BG755" s="15"/>
    </row>
    <row r="756" spans="1:59" ht="15.75" customHeight="1">
      <c r="A756" s="216"/>
      <c r="B756" s="12"/>
      <c r="C756" s="12"/>
      <c r="D756" s="13"/>
      <c r="E756" s="12"/>
      <c r="F756" s="13"/>
      <c r="G756" s="13"/>
      <c r="H756" s="12"/>
      <c r="I756" s="18"/>
      <c r="J756" s="16"/>
      <c r="K756" s="16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6"/>
      <c r="AH756" s="16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216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5"/>
      <c r="BG756" s="15"/>
    </row>
    <row r="757" spans="1:59" ht="15.75" customHeight="1">
      <c r="A757" s="216"/>
      <c r="B757" s="12"/>
      <c r="C757" s="12"/>
      <c r="D757" s="13"/>
      <c r="E757" s="12"/>
      <c r="F757" s="13"/>
      <c r="G757" s="13"/>
      <c r="H757" s="12"/>
      <c r="I757" s="18"/>
      <c r="J757" s="16"/>
      <c r="K757" s="16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6"/>
      <c r="AH757" s="16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216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5"/>
      <c r="BG757" s="15"/>
    </row>
    <row r="758" spans="1:59" ht="15.75" customHeight="1">
      <c r="A758" s="216"/>
      <c r="B758" s="12"/>
      <c r="C758" s="12"/>
      <c r="D758" s="13"/>
      <c r="E758" s="12"/>
      <c r="F758" s="13"/>
      <c r="G758" s="13"/>
      <c r="H758" s="12"/>
      <c r="I758" s="18"/>
      <c r="J758" s="16"/>
      <c r="K758" s="16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6"/>
      <c r="AH758" s="16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216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5"/>
      <c r="BG758" s="15"/>
    </row>
    <row r="759" spans="1:59" ht="15.75" customHeight="1">
      <c r="A759" s="216"/>
      <c r="B759" s="12"/>
      <c r="C759" s="12"/>
      <c r="D759" s="13"/>
      <c r="E759" s="12"/>
      <c r="F759" s="13"/>
      <c r="G759" s="13"/>
      <c r="H759" s="12"/>
      <c r="I759" s="18"/>
      <c r="J759" s="16"/>
      <c r="K759" s="16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6"/>
      <c r="AH759" s="16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216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5"/>
      <c r="BG759" s="15"/>
    </row>
    <row r="760" spans="1:59" ht="15.75" customHeight="1">
      <c r="A760" s="216"/>
      <c r="B760" s="12"/>
      <c r="C760" s="12"/>
      <c r="D760" s="13"/>
      <c r="E760" s="12"/>
      <c r="F760" s="13"/>
      <c r="G760" s="13"/>
      <c r="H760" s="12"/>
      <c r="I760" s="18"/>
      <c r="J760" s="16"/>
      <c r="K760" s="16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6"/>
      <c r="AH760" s="16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216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5"/>
      <c r="BG760" s="15"/>
    </row>
    <row r="761" spans="1:59" ht="15.75" customHeight="1">
      <c r="A761" s="216"/>
      <c r="B761" s="12"/>
      <c r="C761" s="12"/>
      <c r="D761" s="13"/>
      <c r="E761" s="12"/>
      <c r="F761" s="13"/>
      <c r="G761" s="13"/>
      <c r="H761" s="12"/>
      <c r="I761" s="18"/>
      <c r="J761" s="16"/>
      <c r="K761" s="16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6"/>
      <c r="AH761" s="16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216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5"/>
      <c r="BG761" s="15"/>
    </row>
    <row r="762" spans="1:59" ht="15.75" customHeight="1">
      <c r="A762" s="216"/>
      <c r="B762" s="12"/>
      <c r="C762" s="12"/>
      <c r="D762" s="13"/>
      <c r="E762" s="12"/>
      <c r="F762" s="13"/>
      <c r="G762" s="13"/>
      <c r="H762" s="12"/>
      <c r="I762" s="18"/>
      <c r="J762" s="16"/>
      <c r="K762" s="16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6"/>
      <c r="AH762" s="16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216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5"/>
      <c r="BG762" s="15"/>
    </row>
    <row r="763" spans="1:59" ht="15.75" customHeight="1">
      <c r="A763" s="216"/>
      <c r="B763" s="12"/>
      <c r="C763" s="12"/>
      <c r="D763" s="13"/>
      <c r="E763" s="12"/>
      <c r="F763" s="13"/>
      <c r="G763" s="13"/>
      <c r="H763" s="12"/>
      <c r="I763" s="18"/>
      <c r="J763" s="16"/>
      <c r="K763" s="16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6"/>
      <c r="AH763" s="16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216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5"/>
      <c r="BG763" s="15"/>
    </row>
    <row r="764" spans="1:59" ht="15.75" customHeight="1">
      <c r="A764" s="216"/>
      <c r="B764" s="12"/>
      <c r="C764" s="12"/>
      <c r="D764" s="13"/>
      <c r="E764" s="12"/>
      <c r="F764" s="13"/>
      <c r="G764" s="13"/>
      <c r="H764" s="12"/>
      <c r="I764" s="18"/>
      <c r="J764" s="16"/>
      <c r="K764" s="16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6"/>
      <c r="AH764" s="16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216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5"/>
      <c r="BG764" s="15"/>
    </row>
    <row r="765" spans="1:59" ht="15.75" customHeight="1">
      <c r="A765" s="216"/>
      <c r="B765" s="12"/>
      <c r="C765" s="12"/>
      <c r="D765" s="13"/>
      <c r="E765" s="12"/>
      <c r="F765" s="13"/>
      <c r="G765" s="13"/>
      <c r="H765" s="12"/>
      <c r="I765" s="18"/>
      <c r="J765" s="16"/>
      <c r="K765" s="16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6"/>
      <c r="AH765" s="16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216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5"/>
      <c r="BG765" s="15"/>
    </row>
    <row r="766" spans="1:59" ht="15.75" customHeight="1">
      <c r="A766" s="216"/>
      <c r="B766" s="12"/>
      <c r="C766" s="12"/>
      <c r="D766" s="13"/>
      <c r="E766" s="12"/>
      <c r="F766" s="13"/>
      <c r="G766" s="13"/>
      <c r="H766" s="12"/>
      <c r="I766" s="18"/>
      <c r="J766" s="16"/>
      <c r="K766" s="16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6"/>
      <c r="AH766" s="16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216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5"/>
      <c r="BG766" s="15"/>
    </row>
    <row r="767" spans="1:59" ht="15.75" customHeight="1">
      <c r="A767" s="216"/>
      <c r="B767" s="12"/>
      <c r="C767" s="12"/>
      <c r="D767" s="13"/>
      <c r="E767" s="12"/>
      <c r="F767" s="13"/>
      <c r="G767" s="13"/>
      <c r="H767" s="12"/>
      <c r="I767" s="18"/>
      <c r="J767" s="16"/>
      <c r="K767" s="16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6"/>
      <c r="AH767" s="16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216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5"/>
      <c r="BG767" s="15"/>
    </row>
    <row r="768" spans="1:59" ht="15.75" customHeight="1">
      <c r="A768" s="216"/>
      <c r="B768" s="12"/>
      <c r="C768" s="12"/>
      <c r="D768" s="13"/>
      <c r="E768" s="12"/>
      <c r="F768" s="13"/>
      <c r="G768" s="13"/>
      <c r="H768" s="12"/>
      <c r="I768" s="18"/>
      <c r="J768" s="16"/>
      <c r="K768" s="16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6"/>
      <c r="AH768" s="16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216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5"/>
      <c r="BG768" s="15"/>
    </row>
    <row r="769" spans="1:59" ht="15.75" customHeight="1">
      <c r="A769" s="216"/>
      <c r="B769" s="12"/>
      <c r="C769" s="12"/>
      <c r="D769" s="13"/>
      <c r="E769" s="12"/>
      <c r="F769" s="13"/>
      <c r="G769" s="13"/>
      <c r="H769" s="12"/>
      <c r="I769" s="18"/>
      <c r="J769" s="16"/>
      <c r="K769" s="16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6"/>
      <c r="AH769" s="16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216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5"/>
      <c r="BG769" s="15"/>
    </row>
    <row r="770" spans="1:59" ht="15.75" customHeight="1">
      <c r="A770" s="216"/>
      <c r="B770" s="12"/>
      <c r="C770" s="12"/>
      <c r="D770" s="13"/>
      <c r="E770" s="12"/>
      <c r="F770" s="13"/>
      <c r="G770" s="13"/>
      <c r="H770" s="12"/>
      <c r="I770" s="18"/>
      <c r="J770" s="16"/>
      <c r="K770" s="16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6"/>
      <c r="AH770" s="16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216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5"/>
      <c r="BG770" s="15"/>
    </row>
    <row r="771" spans="1:59" ht="15.75" customHeight="1">
      <c r="A771" s="216"/>
      <c r="B771" s="12"/>
      <c r="C771" s="12"/>
      <c r="D771" s="13"/>
      <c r="E771" s="12"/>
      <c r="F771" s="13"/>
      <c r="G771" s="13"/>
      <c r="H771" s="12"/>
      <c r="I771" s="18"/>
      <c r="J771" s="16"/>
      <c r="K771" s="16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6"/>
      <c r="AH771" s="16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216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5"/>
      <c r="BG771" s="15"/>
    </row>
    <row r="772" spans="1:59" ht="15.75" customHeight="1">
      <c r="A772" s="216"/>
      <c r="B772" s="12"/>
      <c r="C772" s="12"/>
      <c r="D772" s="13"/>
      <c r="E772" s="12"/>
      <c r="F772" s="13"/>
      <c r="G772" s="13"/>
      <c r="H772" s="12"/>
      <c r="I772" s="18"/>
      <c r="J772" s="16"/>
      <c r="K772" s="16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6"/>
      <c r="AH772" s="16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216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5"/>
      <c r="BG772" s="15"/>
    </row>
    <row r="773" spans="1:59" ht="15.75" customHeight="1">
      <c r="A773" s="216"/>
      <c r="B773" s="12"/>
      <c r="C773" s="12"/>
      <c r="D773" s="13"/>
      <c r="E773" s="12"/>
      <c r="F773" s="13"/>
      <c r="G773" s="13"/>
      <c r="H773" s="12"/>
      <c r="I773" s="18"/>
      <c r="J773" s="16"/>
      <c r="K773" s="16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6"/>
      <c r="AH773" s="16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216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5"/>
      <c r="BG773" s="15"/>
    </row>
    <row r="774" spans="1:59" ht="15.75" customHeight="1">
      <c r="A774" s="216"/>
      <c r="B774" s="12"/>
      <c r="C774" s="12"/>
      <c r="D774" s="13"/>
      <c r="E774" s="12"/>
      <c r="F774" s="13"/>
      <c r="G774" s="13"/>
      <c r="H774" s="12"/>
      <c r="I774" s="18"/>
      <c r="J774" s="16"/>
      <c r="K774" s="16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6"/>
      <c r="AH774" s="16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216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5"/>
      <c r="BG774" s="15"/>
    </row>
    <row r="775" spans="1:59" ht="15.75" customHeight="1">
      <c r="A775" s="216"/>
      <c r="B775" s="12"/>
      <c r="C775" s="12"/>
      <c r="D775" s="13"/>
      <c r="E775" s="12"/>
      <c r="F775" s="13"/>
      <c r="G775" s="13"/>
      <c r="H775" s="12"/>
      <c r="I775" s="18"/>
      <c r="J775" s="16"/>
      <c r="K775" s="16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6"/>
      <c r="AH775" s="16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216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5"/>
      <c r="BG775" s="15"/>
    </row>
    <row r="776" spans="1:59" ht="15.75" customHeight="1">
      <c r="A776" s="216"/>
      <c r="B776" s="12"/>
      <c r="C776" s="12"/>
      <c r="D776" s="13"/>
      <c r="E776" s="12"/>
      <c r="F776" s="13"/>
      <c r="G776" s="13"/>
      <c r="H776" s="12"/>
      <c r="I776" s="18"/>
      <c r="J776" s="16"/>
      <c r="K776" s="16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6"/>
      <c r="AH776" s="16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216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5"/>
      <c r="BG776" s="15"/>
    </row>
    <row r="777" spans="1:59" ht="15.75" customHeight="1">
      <c r="A777" s="216"/>
      <c r="B777" s="12"/>
      <c r="C777" s="12"/>
      <c r="D777" s="13"/>
      <c r="E777" s="12"/>
      <c r="F777" s="13"/>
      <c r="G777" s="13"/>
      <c r="H777" s="12"/>
      <c r="I777" s="18"/>
      <c r="J777" s="16"/>
      <c r="K777" s="16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6"/>
      <c r="AH777" s="16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216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5"/>
      <c r="BG777" s="15"/>
    </row>
    <row r="778" spans="1:59" ht="15.75" customHeight="1">
      <c r="A778" s="216"/>
      <c r="B778" s="12"/>
      <c r="C778" s="12"/>
      <c r="D778" s="13"/>
      <c r="E778" s="12"/>
      <c r="F778" s="13"/>
      <c r="G778" s="13"/>
      <c r="H778" s="12"/>
      <c r="I778" s="18"/>
      <c r="J778" s="16"/>
      <c r="K778" s="16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6"/>
      <c r="AH778" s="16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216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5"/>
      <c r="BG778" s="15"/>
    </row>
    <row r="779" spans="1:59" ht="15.75" customHeight="1">
      <c r="A779" s="216"/>
      <c r="B779" s="12"/>
      <c r="C779" s="12"/>
      <c r="D779" s="13"/>
      <c r="E779" s="12"/>
      <c r="F779" s="13"/>
      <c r="G779" s="13"/>
      <c r="H779" s="12"/>
      <c r="I779" s="18"/>
      <c r="J779" s="16"/>
      <c r="K779" s="16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6"/>
      <c r="AH779" s="16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216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5"/>
      <c r="BG779" s="15"/>
    </row>
    <row r="780" spans="1:59" ht="15.75" customHeight="1">
      <c r="A780" s="216"/>
      <c r="B780" s="12"/>
      <c r="C780" s="12"/>
      <c r="D780" s="13"/>
      <c r="E780" s="12"/>
      <c r="F780" s="13"/>
      <c r="G780" s="13"/>
      <c r="H780" s="12"/>
      <c r="I780" s="18"/>
      <c r="J780" s="16"/>
      <c r="K780" s="16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6"/>
      <c r="AH780" s="16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216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5"/>
      <c r="BG780" s="15"/>
    </row>
    <row r="781" spans="1:59" ht="15.75" customHeight="1">
      <c r="A781" s="216"/>
      <c r="B781" s="12"/>
      <c r="C781" s="12"/>
      <c r="D781" s="13"/>
      <c r="E781" s="12"/>
      <c r="F781" s="13"/>
      <c r="G781" s="13"/>
      <c r="H781" s="12"/>
      <c r="I781" s="18"/>
      <c r="J781" s="16"/>
      <c r="K781" s="16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6"/>
      <c r="AH781" s="16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216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5"/>
      <c r="BG781" s="15"/>
    </row>
    <row r="782" spans="1:59" ht="15.75" customHeight="1">
      <c r="A782" s="216"/>
      <c r="B782" s="12"/>
      <c r="C782" s="12"/>
      <c r="D782" s="13"/>
      <c r="E782" s="12"/>
      <c r="F782" s="13"/>
      <c r="G782" s="13"/>
      <c r="H782" s="12"/>
      <c r="I782" s="18"/>
      <c r="J782" s="16"/>
      <c r="K782" s="16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6"/>
      <c r="AH782" s="16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216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5"/>
      <c r="BG782" s="15"/>
    </row>
    <row r="783" spans="1:59" ht="15.75" customHeight="1">
      <c r="A783" s="216"/>
      <c r="B783" s="12"/>
      <c r="C783" s="12"/>
      <c r="D783" s="13"/>
      <c r="E783" s="12"/>
      <c r="F783" s="13"/>
      <c r="G783" s="13"/>
      <c r="H783" s="12"/>
      <c r="I783" s="18"/>
      <c r="J783" s="16"/>
      <c r="K783" s="16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6"/>
      <c r="AH783" s="16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216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5"/>
      <c r="BG783" s="15"/>
    </row>
    <row r="784" spans="1:59" ht="15.75" customHeight="1">
      <c r="A784" s="216"/>
      <c r="B784" s="12"/>
      <c r="C784" s="12"/>
      <c r="D784" s="13"/>
      <c r="E784" s="12"/>
      <c r="F784" s="13"/>
      <c r="G784" s="13"/>
      <c r="H784" s="12"/>
      <c r="I784" s="18"/>
      <c r="J784" s="16"/>
      <c r="K784" s="16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6"/>
      <c r="AH784" s="16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216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5"/>
      <c r="BG784" s="15"/>
    </row>
    <row r="785" spans="1:59" ht="15.75" customHeight="1">
      <c r="A785" s="216"/>
      <c r="B785" s="12"/>
      <c r="C785" s="12"/>
      <c r="D785" s="13"/>
      <c r="E785" s="12"/>
      <c r="F785" s="13"/>
      <c r="G785" s="13"/>
      <c r="H785" s="12"/>
      <c r="I785" s="18"/>
      <c r="J785" s="16"/>
      <c r="K785" s="16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6"/>
      <c r="AH785" s="16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216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5"/>
      <c r="BG785" s="15"/>
    </row>
    <row r="786" spans="1:59" ht="15.75" customHeight="1">
      <c r="A786" s="216"/>
      <c r="B786" s="12"/>
      <c r="C786" s="12"/>
      <c r="D786" s="13"/>
      <c r="E786" s="12"/>
      <c r="F786" s="13"/>
      <c r="G786" s="13"/>
      <c r="H786" s="12"/>
      <c r="I786" s="18"/>
      <c r="J786" s="16"/>
      <c r="K786" s="16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6"/>
      <c r="AH786" s="16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216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5"/>
      <c r="BG786" s="15"/>
    </row>
    <row r="787" spans="1:59" ht="15.75" customHeight="1">
      <c r="A787" s="216"/>
      <c r="B787" s="12"/>
      <c r="C787" s="12"/>
      <c r="D787" s="13"/>
      <c r="E787" s="12"/>
      <c r="F787" s="13"/>
      <c r="G787" s="13"/>
      <c r="H787" s="12"/>
      <c r="I787" s="18"/>
      <c r="J787" s="16"/>
      <c r="K787" s="16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6"/>
      <c r="AH787" s="16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216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5"/>
      <c r="BG787" s="15"/>
    </row>
    <row r="788" spans="1:59" ht="15.75" customHeight="1">
      <c r="A788" s="216"/>
      <c r="B788" s="12"/>
      <c r="C788" s="12"/>
      <c r="D788" s="13"/>
      <c r="E788" s="12"/>
      <c r="F788" s="13"/>
      <c r="G788" s="13"/>
      <c r="H788" s="12"/>
      <c r="I788" s="18"/>
      <c r="J788" s="16"/>
      <c r="K788" s="16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6"/>
      <c r="AH788" s="16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216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5"/>
      <c r="BG788" s="15"/>
    </row>
    <row r="789" spans="1:59" ht="15.75" customHeight="1">
      <c r="A789" s="216"/>
      <c r="B789" s="12"/>
      <c r="C789" s="12"/>
      <c r="D789" s="13"/>
      <c r="E789" s="12"/>
      <c r="F789" s="13"/>
      <c r="G789" s="13"/>
      <c r="H789" s="12"/>
      <c r="I789" s="18"/>
      <c r="J789" s="16"/>
      <c r="K789" s="16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6"/>
      <c r="AH789" s="16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216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5"/>
      <c r="BG789" s="15"/>
    </row>
    <row r="790" spans="1:59" ht="15.75" customHeight="1">
      <c r="A790" s="216"/>
      <c r="B790" s="12"/>
      <c r="C790" s="12"/>
      <c r="D790" s="13"/>
      <c r="E790" s="12"/>
      <c r="F790" s="13"/>
      <c r="G790" s="13"/>
      <c r="H790" s="12"/>
      <c r="I790" s="18"/>
      <c r="J790" s="16"/>
      <c r="K790" s="16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6"/>
      <c r="AH790" s="16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216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5"/>
      <c r="BG790" s="15"/>
    </row>
    <row r="791" spans="1:59" ht="15.75" customHeight="1">
      <c r="A791" s="216"/>
      <c r="B791" s="12"/>
      <c r="C791" s="12"/>
      <c r="D791" s="13"/>
      <c r="E791" s="12"/>
      <c r="F791" s="13"/>
      <c r="G791" s="13"/>
      <c r="H791" s="12"/>
      <c r="I791" s="18"/>
      <c r="J791" s="16"/>
      <c r="K791" s="16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6"/>
      <c r="AH791" s="16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216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5"/>
      <c r="BG791" s="15"/>
    </row>
    <row r="792" spans="1:59" ht="15.75" customHeight="1">
      <c r="A792" s="216"/>
      <c r="B792" s="12"/>
      <c r="C792" s="12"/>
      <c r="D792" s="13"/>
      <c r="E792" s="12"/>
      <c r="F792" s="13"/>
      <c r="G792" s="13"/>
      <c r="H792" s="12"/>
      <c r="I792" s="18"/>
      <c r="J792" s="16"/>
      <c r="K792" s="16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6"/>
      <c r="AH792" s="16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216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5"/>
      <c r="BG792" s="15"/>
    </row>
    <row r="793" spans="1:59" ht="15.75" customHeight="1">
      <c r="A793" s="216"/>
      <c r="B793" s="12"/>
      <c r="C793" s="12"/>
      <c r="D793" s="13"/>
      <c r="E793" s="12"/>
      <c r="F793" s="13"/>
      <c r="G793" s="13"/>
      <c r="H793" s="12"/>
      <c r="I793" s="18"/>
      <c r="J793" s="16"/>
      <c r="K793" s="16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6"/>
      <c r="AH793" s="16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216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5"/>
      <c r="BG793" s="15"/>
    </row>
    <row r="794" spans="1:59" ht="15.75" customHeight="1">
      <c r="A794" s="216"/>
      <c r="B794" s="12"/>
      <c r="C794" s="12"/>
      <c r="D794" s="13"/>
      <c r="E794" s="12"/>
      <c r="F794" s="13"/>
      <c r="G794" s="13"/>
      <c r="H794" s="12"/>
      <c r="I794" s="18"/>
      <c r="J794" s="16"/>
      <c r="K794" s="16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6"/>
      <c r="AH794" s="16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216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5"/>
      <c r="BG794" s="15"/>
    </row>
    <row r="795" spans="1:59" ht="15.75" customHeight="1">
      <c r="A795" s="216"/>
      <c r="B795" s="12"/>
      <c r="C795" s="12"/>
      <c r="D795" s="13"/>
      <c r="E795" s="12"/>
      <c r="F795" s="13"/>
      <c r="G795" s="13"/>
      <c r="H795" s="12"/>
      <c r="I795" s="18"/>
      <c r="J795" s="16"/>
      <c r="K795" s="16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6"/>
      <c r="AH795" s="16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216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5"/>
      <c r="BG795" s="15"/>
    </row>
    <row r="796" spans="1:59" ht="15.75" customHeight="1">
      <c r="A796" s="216"/>
      <c r="B796" s="12"/>
      <c r="C796" s="12"/>
      <c r="D796" s="13"/>
      <c r="E796" s="12"/>
      <c r="F796" s="13"/>
      <c r="G796" s="13"/>
      <c r="H796" s="12"/>
      <c r="I796" s="18"/>
      <c r="J796" s="16"/>
      <c r="K796" s="16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6"/>
      <c r="AH796" s="16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216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5"/>
      <c r="BG796" s="15"/>
    </row>
    <row r="797" spans="1:59" ht="15.75" customHeight="1">
      <c r="A797" s="216"/>
      <c r="B797" s="12"/>
      <c r="C797" s="12"/>
      <c r="D797" s="13"/>
      <c r="E797" s="12"/>
      <c r="F797" s="13"/>
      <c r="G797" s="13"/>
      <c r="H797" s="12"/>
      <c r="I797" s="18"/>
      <c r="J797" s="16"/>
      <c r="K797" s="16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6"/>
      <c r="AH797" s="16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216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5"/>
      <c r="BG797" s="15"/>
    </row>
    <row r="798" spans="1:59" ht="15.75" customHeight="1">
      <c r="A798" s="216"/>
      <c r="B798" s="12"/>
      <c r="C798" s="12"/>
      <c r="D798" s="13"/>
      <c r="E798" s="12"/>
      <c r="F798" s="13"/>
      <c r="G798" s="13"/>
      <c r="H798" s="12"/>
      <c r="I798" s="18"/>
      <c r="J798" s="16"/>
      <c r="K798" s="16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6"/>
      <c r="AH798" s="16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216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5"/>
      <c r="BG798" s="15"/>
    </row>
    <row r="799" spans="1:59" ht="15.75" customHeight="1">
      <c r="A799" s="216"/>
      <c r="B799" s="12"/>
      <c r="C799" s="12"/>
      <c r="D799" s="13"/>
      <c r="E799" s="12"/>
      <c r="F799" s="13"/>
      <c r="G799" s="13"/>
      <c r="H799" s="12"/>
      <c r="I799" s="18"/>
      <c r="J799" s="16"/>
      <c r="K799" s="16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6"/>
      <c r="AH799" s="16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216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5"/>
      <c r="BG799" s="15"/>
    </row>
    <row r="800" spans="1:59" ht="15.75" customHeight="1">
      <c r="A800" s="216"/>
      <c r="B800" s="12"/>
      <c r="C800" s="12"/>
      <c r="D800" s="13"/>
      <c r="E800" s="12"/>
      <c r="F800" s="13"/>
      <c r="G800" s="13"/>
      <c r="H800" s="12"/>
      <c r="I800" s="18"/>
      <c r="J800" s="16"/>
      <c r="K800" s="16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6"/>
      <c r="AH800" s="16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216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5"/>
      <c r="BG800" s="15"/>
    </row>
    <row r="801" spans="1:59" ht="15.75" customHeight="1">
      <c r="A801" s="216"/>
      <c r="B801" s="12"/>
      <c r="C801" s="12"/>
      <c r="D801" s="13"/>
      <c r="E801" s="12"/>
      <c r="F801" s="13"/>
      <c r="G801" s="13"/>
      <c r="H801" s="12"/>
      <c r="I801" s="18"/>
      <c r="J801" s="16"/>
      <c r="K801" s="16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6"/>
      <c r="AH801" s="16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216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5"/>
      <c r="BG801" s="15"/>
    </row>
    <row r="802" spans="1:59" ht="15.75" customHeight="1">
      <c r="A802" s="216"/>
      <c r="B802" s="12"/>
      <c r="C802" s="12"/>
      <c r="D802" s="13"/>
      <c r="E802" s="12"/>
      <c r="F802" s="13"/>
      <c r="G802" s="13"/>
      <c r="H802" s="12"/>
      <c r="I802" s="18"/>
      <c r="J802" s="16"/>
      <c r="K802" s="16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6"/>
      <c r="AH802" s="16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216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5"/>
      <c r="BG802" s="15"/>
    </row>
    <row r="803" spans="1:59" ht="15.75" customHeight="1">
      <c r="A803" s="216"/>
      <c r="B803" s="12"/>
      <c r="C803" s="12"/>
      <c r="D803" s="13"/>
      <c r="E803" s="12"/>
      <c r="F803" s="13"/>
      <c r="G803" s="13"/>
      <c r="H803" s="12"/>
      <c r="I803" s="18"/>
      <c r="J803" s="16"/>
      <c r="K803" s="16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6"/>
      <c r="AH803" s="16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216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5"/>
      <c r="BG803" s="15"/>
    </row>
    <row r="804" spans="1:59" ht="15.75" customHeight="1">
      <c r="A804" s="216"/>
      <c r="B804" s="12"/>
      <c r="C804" s="12"/>
      <c r="D804" s="13"/>
      <c r="E804" s="12"/>
      <c r="F804" s="13"/>
      <c r="G804" s="13"/>
      <c r="H804" s="12"/>
      <c r="I804" s="18"/>
      <c r="J804" s="16"/>
      <c r="K804" s="16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6"/>
      <c r="AH804" s="16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216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5"/>
      <c r="BG804" s="15"/>
    </row>
    <row r="805" spans="1:59" ht="15.75" customHeight="1">
      <c r="A805" s="216"/>
      <c r="B805" s="12"/>
      <c r="C805" s="12"/>
      <c r="D805" s="13"/>
      <c r="E805" s="12"/>
      <c r="F805" s="13"/>
      <c r="G805" s="13"/>
      <c r="H805" s="12"/>
      <c r="I805" s="18"/>
      <c r="J805" s="16"/>
      <c r="K805" s="16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6"/>
      <c r="AH805" s="16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216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5"/>
      <c r="BG805" s="15"/>
    </row>
    <row r="806" spans="1:59" ht="15.75" customHeight="1">
      <c r="A806" s="216"/>
      <c r="B806" s="12"/>
      <c r="C806" s="12"/>
      <c r="D806" s="13"/>
      <c r="E806" s="12"/>
      <c r="F806" s="13"/>
      <c r="G806" s="13"/>
      <c r="H806" s="12"/>
      <c r="I806" s="18"/>
      <c r="J806" s="16"/>
      <c r="K806" s="16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6"/>
      <c r="AH806" s="16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216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5"/>
      <c r="BG806" s="15"/>
    </row>
    <row r="807" spans="1:59" ht="15.75" customHeight="1">
      <c r="A807" s="216"/>
      <c r="B807" s="12"/>
      <c r="C807" s="12"/>
      <c r="D807" s="13"/>
      <c r="E807" s="12"/>
      <c r="F807" s="13"/>
      <c r="G807" s="13"/>
      <c r="H807" s="12"/>
      <c r="I807" s="18"/>
      <c r="J807" s="16"/>
      <c r="K807" s="16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6"/>
      <c r="AH807" s="16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216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5"/>
      <c r="BG807" s="15"/>
    </row>
    <row r="808" spans="1:59" ht="15.75" customHeight="1">
      <c r="A808" s="216"/>
      <c r="B808" s="12"/>
      <c r="C808" s="12"/>
      <c r="D808" s="13"/>
      <c r="E808" s="12"/>
      <c r="F808" s="13"/>
      <c r="G808" s="13"/>
      <c r="H808" s="12"/>
      <c r="I808" s="18"/>
      <c r="J808" s="16"/>
      <c r="K808" s="16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6"/>
      <c r="AH808" s="16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216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5"/>
      <c r="BG808" s="15"/>
    </row>
    <row r="809" spans="1:59" ht="15.75" customHeight="1">
      <c r="A809" s="216"/>
      <c r="B809" s="12"/>
      <c r="C809" s="12"/>
      <c r="D809" s="13"/>
      <c r="E809" s="12"/>
      <c r="F809" s="13"/>
      <c r="G809" s="13"/>
      <c r="H809" s="12"/>
      <c r="I809" s="18"/>
      <c r="J809" s="16"/>
      <c r="K809" s="16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6"/>
      <c r="AH809" s="16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216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5"/>
      <c r="BG809" s="15"/>
    </row>
    <row r="810" spans="1:59" ht="15.75" customHeight="1">
      <c r="A810" s="216"/>
      <c r="B810" s="12"/>
      <c r="C810" s="12"/>
      <c r="D810" s="13"/>
      <c r="E810" s="12"/>
      <c r="F810" s="13"/>
      <c r="G810" s="13"/>
      <c r="H810" s="12"/>
      <c r="I810" s="18"/>
      <c r="J810" s="16"/>
      <c r="K810" s="16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6"/>
      <c r="AH810" s="16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216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5"/>
      <c r="BG810" s="15"/>
    </row>
    <row r="811" spans="1:59" ht="15.75" customHeight="1">
      <c r="A811" s="216"/>
      <c r="B811" s="12"/>
      <c r="C811" s="12"/>
      <c r="D811" s="13"/>
      <c r="E811" s="12"/>
      <c r="F811" s="13"/>
      <c r="G811" s="13"/>
      <c r="H811" s="12"/>
      <c r="I811" s="18"/>
      <c r="J811" s="16"/>
      <c r="K811" s="16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6"/>
      <c r="AH811" s="16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216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5"/>
      <c r="BG811" s="15"/>
    </row>
    <row r="812" spans="1:59" ht="15.75" customHeight="1">
      <c r="A812" s="216"/>
      <c r="B812" s="12"/>
      <c r="C812" s="12"/>
      <c r="D812" s="13"/>
      <c r="E812" s="12"/>
      <c r="F812" s="13"/>
      <c r="G812" s="13"/>
      <c r="H812" s="12"/>
      <c r="I812" s="18"/>
      <c r="J812" s="16"/>
      <c r="K812" s="16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6"/>
      <c r="AH812" s="16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216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5"/>
      <c r="BG812" s="15"/>
    </row>
    <row r="813" spans="1:59" ht="15.75" customHeight="1">
      <c r="A813" s="216"/>
      <c r="B813" s="12"/>
      <c r="C813" s="12"/>
      <c r="D813" s="13"/>
      <c r="E813" s="12"/>
      <c r="F813" s="13"/>
      <c r="G813" s="13"/>
      <c r="H813" s="12"/>
      <c r="I813" s="18"/>
      <c r="J813" s="16"/>
      <c r="K813" s="16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6"/>
      <c r="AH813" s="16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216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5"/>
      <c r="BG813" s="15"/>
    </row>
    <row r="814" spans="1:59" ht="15.75" customHeight="1">
      <c r="A814" s="216"/>
      <c r="B814" s="12"/>
      <c r="C814" s="12"/>
      <c r="D814" s="13"/>
      <c r="E814" s="12"/>
      <c r="F814" s="13"/>
      <c r="G814" s="13"/>
      <c r="H814" s="12"/>
      <c r="I814" s="18"/>
      <c r="J814" s="16"/>
      <c r="K814" s="16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6"/>
      <c r="AH814" s="16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216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5"/>
      <c r="BG814" s="15"/>
    </row>
    <row r="815" spans="1:59" ht="15.75" customHeight="1">
      <c r="A815" s="216"/>
      <c r="B815" s="12"/>
      <c r="C815" s="12"/>
      <c r="D815" s="13"/>
      <c r="E815" s="12"/>
      <c r="F815" s="13"/>
      <c r="G815" s="13"/>
      <c r="H815" s="12"/>
      <c r="I815" s="18"/>
      <c r="J815" s="16"/>
      <c r="K815" s="16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6"/>
      <c r="AH815" s="16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216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5"/>
      <c r="BG815" s="15"/>
    </row>
    <row r="816" spans="1:59" ht="15.75" customHeight="1">
      <c r="A816" s="216"/>
      <c r="B816" s="12"/>
      <c r="C816" s="12"/>
      <c r="D816" s="13"/>
      <c r="E816" s="12"/>
      <c r="F816" s="13"/>
      <c r="G816" s="13"/>
      <c r="H816" s="12"/>
      <c r="I816" s="18"/>
      <c r="J816" s="16"/>
      <c r="K816" s="16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6"/>
      <c r="AH816" s="16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216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5"/>
      <c r="BG816" s="15"/>
    </row>
    <row r="817" spans="1:59" ht="15.75" customHeight="1">
      <c r="A817" s="216"/>
      <c r="B817" s="12"/>
      <c r="C817" s="12"/>
      <c r="D817" s="13"/>
      <c r="E817" s="12"/>
      <c r="F817" s="13"/>
      <c r="G817" s="13"/>
      <c r="H817" s="12"/>
      <c r="I817" s="18"/>
      <c r="J817" s="16"/>
      <c r="K817" s="16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6"/>
      <c r="AH817" s="16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216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5"/>
      <c r="BG817" s="15"/>
    </row>
    <row r="818" spans="1:59" ht="15.75" customHeight="1">
      <c r="A818" s="216"/>
      <c r="B818" s="12"/>
      <c r="C818" s="12"/>
      <c r="D818" s="13"/>
      <c r="E818" s="12"/>
      <c r="F818" s="13"/>
      <c r="G818" s="13"/>
      <c r="H818" s="12"/>
      <c r="I818" s="18"/>
      <c r="J818" s="16"/>
      <c r="K818" s="16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6"/>
      <c r="AH818" s="16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216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5"/>
      <c r="BG818" s="15"/>
    </row>
    <row r="819" spans="1:59" ht="15.75" customHeight="1">
      <c r="A819" s="216"/>
      <c r="B819" s="12"/>
      <c r="C819" s="12"/>
      <c r="D819" s="13"/>
      <c r="E819" s="12"/>
      <c r="F819" s="13"/>
      <c r="G819" s="13"/>
      <c r="H819" s="12"/>
      <c r="I819" s="18"/>
      <c r="J819" s="16"/>
      <c r="K819" s="16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6"/>
      <c r="AH819" s="16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216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5"/>
      <c r="BG819" s="15"/>
    </row>
    <row r="820" spans="1:59" ht="15.75" customHeight="1">
      <c r="A820" s="216"/>
      <c r="B820" s="12"/>
      <c r="C820" s="12"/>
      <c r="D820" s="13"/>
      <c r="E820" s="12"/>
      <c r="F820" s="13"/>
      <c r="G820" s="13"/>
      <c r="H820" s="12"/>
      <c r="I820" s="18"/>
      <c r="J820" s="16"/>
      <c r="K820" s="16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6"/>
      <c r="AH820" s="16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216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5"/>
      <c r="BG820" s="15"/>
    </row>
    <row r="821" spans="1:59" ht="15.75" customHeight="1">
      <c r="A821" s="216"/>
      <c r="B821" s="12"/>
      <c r="C821" s="12"/>
      <c r="D821" s="13"/>
      <c r="E821" s="12"/>
      <c r="F821" s="13"/>
      <c r="G821" s="13"/>
      <c r="H821" s="12"/>
      <c r="I821" s="18"/>
      <c r="J821" s="16"/>
      <c r="K821" s="16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6"/>
      <c r="AH821" s="16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216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5"/>
      <c r="BG821" s="15"/>
    </row>
    <row r="822" spans="1:59" ht="15.75" customHeight="1">
      <c r="A822" s="216"/>
      <c r="B822" s="12"/>
      <c r="C822" s="12"/>
      <c r="D822" s="13"/>
      <c r="E822" s="12"/>
      <c r="F822" s="13"/>
      <c r="G822" s="13"/>
      <c r="H822" s="12"/>
      <c r="I822" s="18"/>
      <c r="J822" s="16"/>
      <c r="K822" s="16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6"/>
      <c r="AH822" s="16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216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5"/>
      <c r="BG822" s="15"/>
    </row>
    <row r="823" spans="1:59" ht="15.75" customHeight="1">
      <c r="A823" s="216"/>
      <c r="B823" s="12"/>
      <c r="C823" s="12"/>
      <c r="D823" s="13"/>
      <c r="E823" s="12"/>
      <c r="F823" s="13"/>
      <c r="G823" s="13"/>
      <c r="H823" s="12"/>
      <c r="I823" s="18"/>
      <c r="J823" s="16"/>
      <c r="K823" s="16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6"/>
      <c r="AH823" s="16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216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5"/>
      <c r="BG823" s="15"/>
    </row>
    <row r="824" spans="1:59" ht="15.75" customHeight="1">
      <c r="A824" s="216"/>
      <c r="B824" s="12"/>
      <c r="C824" s="12"/>
      <c r="D824" s="13"/>
      <c r="E824" s="12"/>
      <c r="F824" s="13"/>
      <c r="G824" s="13"/>
      <c r="H824" s="12"/>
      <c r="I824" s="18"/>
      <c r="J824" s="16"/>
      <c r="K824" s="16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6"/>
      <c r="AH824" s="16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216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5"/>
      <c r="BG824" s="15"/>
    </row>
    <row r="825" spans="1:59" ht="15.75" customHeight="1">
      <c r="A825" s="216"/>
      <c r="B825" s="12"/>
      <c r="C825" s="12"/>
      <c r="D825" s="13"/>
      <c r="E825" s="12"/>
      <c r="F825" s="13"/>
      <c r="G825" s="13"/>
      <c r="H825" s="12"/>
      <c r="I825" s="18"/>
      <c r="J825" s="16"/>
      <c r="K825" s="16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6"/>
      <c r="AH825" s="16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216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5"/>
      <c r="BG825" s="15"/>
    </row>
    <row r="826" spans="1:59" ht="15.75" customHeight="1">
      <c r="A826" s="216"/>
      <c r="B826" s="12"/>
      <c r="C826" s="12"/>
      <c r="D826" s="13"/>
      <c r="E826" s="12"/>
      <c r="F826" s="13"/>
      <c r="G826" s="13"/>
      <c r="H826" s="12"/>
      <c r="I826" s="18"/>
      <c r="J826" s="16"/>
      <c r="K826" s="16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6"/>
      <c r="AH826" s="16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216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5"/>
      <c r="BG826" s="15"/>
    </row>
    <row r="827" spans="1:59" ht="15.75" customHeight="1">
      <c r="A827" s="216"/>
      <c r="B827" s="12"/>
      <c r="C827" s="12"/>
      <c r="D827" s="13"/>
      <c r="E827" s="12"/>
      <c r="F827" s="13"/>
      <c r="G827" s="13"/>
      <c r="H827" s="12"/>
      <c r="I827" s="18"/>
      <c r="J827" s="16"/>
      <c r="K827" s="16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6"/>
      <c r="AH827" s="16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216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5"/>
      <c r="BG827" s="15"/>
    </row>
    <row r="828" spans="1:59" ht="15.75" customHeight="1">
      <c r="A828" s="216"/>
      <c r="B828" s="12"/>
      <c r="C828" s="12"/>
      <c r="D828" s="13"/>
      <c r="E828" s="12"/>
      <c r="F828" s="13"/>
      <c r="G828" s="13"/>
      <c r="H828" s="12"/>
      <c r="I828" s="18"/>
      <c r="J828" s="16"/>
      <c r="K828" s="16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6"/>
      <c r="AH828" s="16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216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5"/>
      <c r="BG828" s="15"/>
    </row>
    <row r="829" spans="1:59" ht="15.75" customHeight="1">
      <c r="A829" s="216"/>
      <c r="B829" s="12"/>
      <c r="C829" s="12"/>
      <c r="D829" s="13"/>
      <c r="E829" s="12"/>
      <c r="F829" s="13"/>
      <c r="G829" s="13"/>
      <c r="H829" s="12"/>
      <c r="I829" s="18"/>
      <c r="J829" s="16"/>
      <c r="K829" s="16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6"/>
      <c r="AH829" s="16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216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5"/>
      <c r="BG829" s="15"/>
    </row>
    <row r="830" spans="1:59" ht="15.75" customHeight="1">
      <c r="A830" s="216"/>
      <c r="B830" s="12"/>
      <c r="C830" s="12"/>
      <c r="D830" s="13"/>
      <c r="E830" s="12"/>
      <c r="F830" s="13"/>
      <c r="G830" s="13"/>
      <c r="H830" s="12"/>
      <c r="I830" s="18"/>
      <c r="J830" s="16"/>
      <c r="K830" s="16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6"/>
      <c r="AH830" s="16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216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5"/>
      <c r="BG830" s="15"/>
    </row>
    <row r="831" spans="1:59" ht="15.75" customHeight="1">
      <c r="A831" s="216"/>
      <c r="B831" s="12"/>
      <c r="C831" s="12"/>
      <c r="D831" s="13"/>
      <c r="E831" s="12"/>
      <c r="F831" s="13"/>
      <c r="G831" s="13"/>
      <c r="H831" s="12"/>
      <c r="I831" s="18"/>
      <c r="J831" s="16"/>
      <c r="K831" s="16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6"/>
      <c r="AH831" s="16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216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5"/>
      <c r="BG831" s="15"/>
    </row>
    <row r="832" spans="1:59" ht="15.75" customHeight="1">
      <c r="A832" s="216"/>
      <c r="B832" s="12"/>
      <c r="C832" s="12"/>
      <c r="D832" s="13"/>
      <c r="E832" s="12"/>
      <c r="F832" s="13"/>
      <c r="G832" s="13"/>
      <c r="H832" s="12"/>
      <c r="I832" s="18"/>
      <c r="J832" s="16"/>
      <c r="K832" s="16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6"/>
      <c r="AH832" s="16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216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5"/>
      <c r="BG832" s="15"/>
    </row>
    <row r="833" spans="1:59" ht="15.75" customHeight="1">
      <c r="A833" s="216"/>
      <c r="B833" s="12"/>
      <c r="C833" s="12"/>
      <c r="D833" s="13"/>
      <c r="E833" s="12"/>
      <c r="F833" s="13"/>
      <c r="G833" s="13"/>
      <c r="H833" s="12"/>
      <c r="I833" s="18"/>
      <c r="J833" s="16"/>
      <c r="K833" s="16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6"/>
      <c r="AH833" s="16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216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5"/>
      <c r="BG833" s="15"/>
    </row>
    <row r="834" spans="1:59" ht="15.75" customHeight="1">
      <c r="A834" s="216"/>
      <c r="B834" s="12"/>
      <c r="C834" s="12"/>
      <c r="D834" s="13"/>
      <c r="E834" s="12"/>
      <c r="F834" s="13"/>
      <c r="G834" s="13"/>
      <c r="H834" s="12"/>
      <c r="I834" s="18"/>
      <c r="J834" s="16"/>
      <c r="K834" s="16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6"/>
      <c r="AH834" s="16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216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5"/>
      <c r="BG834" s="15"/>
    </row>
    <row r="835" spans="1:59" ht="15.75" customHeight="1">
      <c r="A835" s="216"/>
      <c r="B835" s="12"/>
      <c r="C835" s="12"/>
      <c r="D835" s="13"/>
      <c r="E835" s="12"/>
      <c r="F835" s="13"/>
      <c r="G835" s="13"/>
      <c r="H835" s="12"/>
      <c r="I835" s="18"/>
      <c r="J835" s="16"/>
      <c r="K835" s="16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6"/>
      <c r="AH835" s="16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216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5"/>
      <c r="BG835" s="15"/>
    </row>
    <row r="836" spans="1:59" ht="15.75" customHeight="1">
      <c r="A836" s="216"/>
      <c r="B836" s="12"/>
      <c r="C836" s="12"/>
      <c r="D836" s="13"/>
      <c r="E836" s="12"/>
      <c r="F836" s="13"/>
      <c r="G836" s="13"/>
      <c r="H836" s="12"/>
      <c r="I836" s="18"/>
      <c r="J836" s="16"/>
      <c r="K836" s="16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6"/>
      <c r="AH836" s="16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216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5"/>
      <c r="BG836" s="15"/>
    </row>
    <row r="837" spans="1:59" ht="15.75" customHeight="1">
      <c r="A837" s="216"/>
      <c r="B837" s="12"/>
      <c r="C837" s="12"/>
      <c r="D837" s="13"/>
      <c r="E837" s="12"/>
      <c r="F837" s="13"/>
      <c r="G837" s="13"/>
      <c r="H837" s="12"/>
      <c r="I837" s="18"/>
      <c r="J837" s="16"/>
      <c r="K837" s="16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6"/>
      <c r="AH837" s="16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216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5"/>
      <c r="BG837" s="15"/>
    </row>
    <row r="838" spans="1:59" ht="15.75" customHeight="1">
      <c r="A838" s="216"/>
      <c r="B838" s="12"/>
      <c r="C838" s="12"/>
      <c r="D838" s="13"/>
      <c r="E838" s="12"/>
      <c r="F838" s="13"/>
      <c r="G838" s="13"/>
      <c r="H838" s="12"/>
      <c r="I838" s="18"/>
      <c r="J838" s="16"/>
      <c r="K838" s="16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6"/>
      <c r="AH838" s="16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216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5"/>
      <c r="BG838" s="15"/>
    </row>
    <row r="839" spans="1:59" ht="15.75" customHeight="1">
      <c r="A839" s="216"/>
      <c r="B839" s="12"/>
      <c r="C839" s="12"/>
      <c r="D839" s="13"/>
      <c r="E839" s="12"/>
      <c r="F839" s="13"/>
      <c r="G839" s="13"/>
      <c r="H839" s="12"/>
      <c r="I839" s="18"/>
      <c r="J839" s="16"/>
      <c r="K839" s="16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6"/>
      <c r="AH839" s="16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216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5"/>
      <c r="BG839" s="15"/>
    </row>
    <row r="840" spans="1:59" ht="15.75" customHeight="1">
      <c r="A840" s="216"/>
      <c r="B840" s="12"/>
      <c r="C840" s="12"/>
      <c r="D840" s="13"/>
      <c r="E840" s="12"/>
      <c r="F840" s="13"/>
      <c r="G840" s="13"/>
      <c r="H840" s="12"/>
      <c r="I840" s="18"/>
      <c r="J840" s="16"/>
      <c r="K840" s="16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6"/>
      <c r="AH840" s="16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216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5"/>
      <c r="BG840" s="15"/>
    </row>
    <row r="841" spans="1:59" ht="15.75" customHeight="1">
      <c r="A841" s="216"/>
      <c r="B841" s="12"/>
      <c r="C841" s="12"/>
      <c r="D841" s="13"/>
      <c r="E841" s="12"/>
      <c r="F841" s="13"/>
      <c r="G841" s="13"/>
      <c r="H841" s="12"/>
      <c r="I841" s="18"/>
      <c r="J841" s="16"/>
      <c r="K841" s="16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6"/>
      <c r="AH841" s="16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216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5"/>
      <c r="BG841" s="15"/>
    </row>
    <row r="842" spans="1:59" ht="15.75" customHeight="1">
      <c r="A842" s="216"/>
      <c r="B842" s="12"/>
      <c r="C842" s="12"/>
      <c r="D842" s="13"/>
      <c r="E842" s="12"/>
      <c r="F842" s="13"/>
      <c r="G842" s="13"/>
      <c r="H842" s="12"/>
      <c r="I842" s="18"/>
      <c r="J842" s="16"/>
      <c r="K842" s="16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6"/>
      <c r="AH842" s="16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216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5"/>
      <c r="BG842" s="15"/>
    </row>
    <row r="843" spans="1:59" ht="15.75" customHeight="1">
      <c r="A843" s="216"/>
      <c r="B843" s="12"/>
      <c r="C843" s="12"/>
      <c r="D843" s="13"/>
      <c r="E843" s="12"/>
      <c r="F843" s="13"/>
      <c r="G843" s="13"/>
      <c r="H843" s="12"/>
      <c r="I843" s="18"/>
      <c r="J843" s="16"/>
      <c r="K843" s="16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6"/>
      <c r="AH843" s="16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216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5"/>
      <c r="BG843" s="15"/>
    </row>
    <row r="844" spans="1:59" ht="15.75" customHeight="1">
      <c r="A844" s="216"/>
      <c r="B844" s="12"/>
      <c r="C844" s="12"/>
      <c r="D844" s="13"/>
      <c r="E844" s="12"/>
      <c r="F844" s="13"/>
      <c r="G844" s="13"/>
      <c r="H844" s="12"/>
      <c r="I844" s="18"/>
      <c r="J844" s="16"/>
      <c r="K844" s="16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6"/>
      <c r="AH844" s="16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216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5"/>
      <c r="BG844" s="15"/>
    </row>
    <row r="845" spans="1:59" ht="15.75" customHeight="1">
      <c r="A845" s="216"/>
      <c r="B845" s="12"/>
      <c r="C845" s="12"/>
      <c r="D845" s="13"/>
      <c r="E845" s="12"/>
      <c r="F845" s="13"/>
      <c r="G845" s="13"/>
      <c r="H845" s="12"/>
      <c r="I845" s="18"/>
      <c r="J845" s="16"/>
      <c r="K845" s="16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6"/>
      <c r="AH845" s="16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216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5"/>
      <c r="BG845" s="15"/>
    </row>
    <row r="846" spans="1:59" ht="15.75" customHeight="1">
      <c r="A846" s="216"/>
      <c r="B846" s="12"/>
      <c r="C846" s="12"/>
      <c r="D846" s="13"/>
      <c r="E846" s="12"/>
      <c r="F846" s="13"/>
      <c r="G846" s="13"/>
      <c r="H846" s="12"/>
      <c r="I846" s="18"/>
      <c r="J846" s="16"/>
      <c r="K846" s="16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6"/>
      <c r="AH846" s="16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216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5"/>
      <c r="BG846" s="15"/>
    </row>
    <row r="847" spans="1:59" ht="15.75" customHeight="1">
      <c r="A847" s="216"/>
      <c r="B847" s="12"/>
      <c r="C847" s="12"/>
      <c r="D847" s="13"/>
      <c r="E847" s="12"/>
      <c r="F847" s="13"/>
      <c r="G847" s="13"/>
      <c r="H847" s="12"/>
      <c r="I847" s="18"/>
      <c r="J847" s="16"/>
      <c r="K847" s="16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6"/>
      <c r="AH847" s="16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216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5"/>
      <c r="BG847" s="15"/>
    </row>
    <row r="848" spans="1:59" ht="15.75" customHeight="1">
      <c r="A848" s="216"/>
      <c r="B848" s="12"/>
      <c r="C848" s="12"/>
      <c r="D848" s="13"/>
      <c r="E848" s="12"/>
      <c r="F848" s="13"/>
      <c r="G848" s="13"/>
      <c r="H848" s="12"/>
      <c r="I848" s="18"/>
      <c r="J848" s="16"/>
      <c r="K848" s="16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6"/>
      <c r="AH848" s="16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216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5"/>
      <c r="BG848" s="15"/>
    </row>
    <row r="849" spans="1:59" ht="15.75" customHeight="1">
      <c r="A849" s="216"/>
      <c r="B849" s="12"/>
      <c r="C849" s="12"/>
      <c r="D849" s="13"/>
      <c r="E849" s="12"/>
      <c r="F849" s="13"/>
      <c r="G849" s="13"/>
      <c r="H849" s="12"/>
      <c r="I849" s="18"/>
      <c r="J849" s="16"/>
      <c r="K849" s="16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6"/>
      <c r="AH849" s="16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216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5"/>
      <c r="BG849" s="15"/>
    </row>
    <row r="850" spans="1:59" ht="15.75" customHeight="1">
      <c r="A850" s="216"/>
      <c r="B850" s="12"/>
      <c r="C850" s="12"/>
      <c r="D850" s="13"/>
      <c r="E850" s="12"/>
      <c r="F850" s="13"/>
      <c r="G850" s="13"/>
      <c r="H850" s="12"/>
      <c r="I850" s="18"/>
      <c r="J850" s="16"/>
      <c r="K850" s="16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6"/>
      <c r="AH850" s="16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216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5"/>
      <c r="BG850" s="15"/>
    </row>
    <row r="851" spans="1:59" ht="15.75" customHeight="1">
      <c r="A851" s="216"/>
      <c r="B851" s="12"/>
      <c r="C851" s="12"/>
      <c r="D851" s="13"/>
      <c r="E851" s="12"/>
      <c r="F851" s="13"/>
      <c r="G851" s="13"/>
      <c r="H851" s="12"/>
      <c r="I851" s="18"/>
      <c r="J851" s="16"/>
      <c r="K851" s="16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6"/>
      <c r="AH851" s="16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216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5"/>
      <c r="BG851" s="15"/>
    </row>
    <row r="852" spans="1:59" ht="15.75" customHeight="1">
      <c r="A852" s="216"/>
      <c r="B852" s="12"/>
      <c r="C852" s="12"/>
      <c r="D852" s="13"/>
      <c r="E852" s="12"/>
      <c r="F852" s="13"/>
      <c r="G852" s="13"/>
      <c r="H852" s="12"/>
      <c r="I852" s="18"/>
      <c r="J852" s="16"/>
      <c r="K852" s="16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6"/>
      <c r="AH852" s="16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216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5"/>
      <c r="BG852" s="15"/>
    </row>
    <row r="853" spans="1:59" ht="15.75" customHeight="1">
      <c r="A853" s="216"/>
      <c r="B853" s="12"/>
      <c r="C853" s="12"/>
      <c r="D853" s="13"/>
      <c r="E853" s="12"/>
      <c r="F853" s="13"/>
      <c r="G853" s="13"/>
      <c r="H853" s="12"/>
      <c r="I853" s="18"/>
      <c r="J853" s="16"/>
      <c r="K853" s="16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6"/>
      <c r="AH853" s="16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216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5"/>
      <c r="BG853" s="15"/>
    </row>
    <row r="854" spans="1:59" ht="15.75" customHeight="1">
      <c r="A854" s="216"/>
      <c r="B854" s="12"/>
      <c r="C854" s="12"/>
      <c r="D854" s="13"/>
      <c r="E854" s="12"/>
      <c r="F854" s="13"/>
      <c r="G854" s="13"/>
      <c r="H854" s="12"/>
      <c r="I854" s="18"/>
      <c r="J854" s="16"/>
      <c r="K854" s="16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6"/>
      <c r="AH854" s="16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216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5"/>
      <c r="BG854" s="15"/>
    </row>
    <row r="855" spans="1:59" ht="15.75" customHeight="1">
      <c r="A855" s="216"/>
      <c r="B855" s="12"/>
      <c r="C855" s="12"/>
      <c r="D855" s="13"/>
      <c r="E855" s="12"/>
      <c r="F855" s="13"/>
      <c r="G855" s="13"/>
      <c r="H855" s="12"/>
      <c r="I855" s="18"/>
      <c r="J855" s="16"/>
      <c r="K855" s="16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6"/>
      <c r="AH855" s="16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216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5"/>
      <c r="BG855" s="15"/>
    </row>
    <row r="856" spans="1:59" ht="15.75" customHeight="1">
      <c r="A856" s="216"/>
      <c r="B856" s="12"/>
      <c r="C856" s="12"/>
      <c r="D856" s="13"/>
      <c r="E856" s="12"/>
      <c r="F856" s="13"/>
      <c r="G856" s="13"/>
      <c r="H856" s="12"/>
      <c r="I856" s="18"/>
      <c r="J856" s="16"/>
      <c r="K856" s="16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6"/>
      <c r="AH856" s="16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216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5"/>
      <c r="BG856" s="15"/>
    </row>
    <row r="857" spans="1:59" ht="15.75" customHeight="1">
      <c r="A857" s="216"/>
      <c r="B857" s="12"/>
      <c r="C857" s="12"/>
      <c r="D857" s="13"/>
      <c r="E857" s="12"/>
      <c r="F857" s="13"/>
      <c r="G857" s="13"/>
      <c r="H857" s="12"/>
      <c r="I857" s="18"/>
      <c r="J857" s="16"/>
      <c r="K857" s="16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6"/>
      <c r="AH857" s="16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216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5"/>
      <c r="BG857" s="15"/>
    </row>
    <row r="858" spans="1:59" ht="15.75" customHeight="1">
      <c r="A858" s="216"/>
      <c r="B858" s="12"/>
      <c r="C858" s="12"/>
      <c r="D858" s="13"/>
      <c r="E858" s="12"/>
      <c r="F858" s="13"/>
      <c r="G858" s="13"/>
      <c r="H858" s="12"/>
      <c r="I858" s="18"/>
      <c r="J858" s="16"/>
      <c r="K858" s="16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6"/>
      <c r="AH858" s="16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216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5"/>
      <c r="BG858" s="15"/>
    </row>
    <row r="859" spans="1:59" ht="15.75" customHeight="1">
      <c r="A859" s="216"/>
      <c r="B859" s="12"/>
      <c r="C859" s="12"/>
      <c r="D859" s="13"/>
      <c r="E859" s="12"/>
      <c r="F859" s="13"/>
      <c r="G859" s="13"/>
      <c r="H859" s="12"/>
      <c r="I859" s="18"/>
      <c r="J859" s="16"/>
      <c r="K859" s="16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6"/>
      <c r="AH859" s="16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216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5"/>
      <c r="BG859" s="15"/>
    </row>
    <row r="860" spans="1:59" ht="15.75" customHeight="1">
      <c r="A860" s="216"/>
      <c r="B860" s="12"/>
      <c r="C860" s="12"/>
      <c r="D860" s="13"/>
      <c r="E860" s="12"/>
      <c r="F860" s="13"/>
      <c r="G860" s="13"/>
      <c r="H860" s="12"/>
      <c r="I860" s="18"/>
      <c r="J860" s="16"/>
      <c r="K860" s="16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6"/>
      <c r="AH860" s="16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216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5"/>
      <c r="BG860" s="15"/>
    </row>
    <row r="861" spans="1:59" ht="15.75" customHeight="1">
      <c r="A861" s="216"/>
      <c r="B861" s="12"/>
      <c r="C861" s="12"/>
      <c r="D861" s="13"/>
      <c r="E861" s="12"/>
      <c r="F861" s="13"/>
      <c r="G861" s="13"/>
      <c r="H861" s="12"/>
      <c r="I861" s="18"/>
      <c r="J861" s="16"/>
      <c r="K861" s="16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6"/>
      <c r="AH861" s="16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216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5"/>
      <c r="BG861" s="15"/>
    </row>
    <row r="862" spans="1:59" ht="15.75" customHeight="1">
      <c r="A862" s="216"/>
      <c r="B862" s="12"/>
      <c r="C862" s="12"/>
      <c r="D862" s="13"/>
      <c r="E862" s="12"/>
      <c r="F862" s="13"/>
      <c r="G862" s="13"/>
      <c r="H862" s="12"/>
      <c r="I862" s="18"/>
      <c r="J862" s="16"/>
      <c r="K862" s="16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6"/>
      <c r="AH862" s="16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216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5"/>
      <c r="BG862" s="15"/>
    </row>
    <row r="863" spans="1:59" ht="15.75" customHeight="1">
      <c r="A863" s="216"/>
      <c r="B863" s="12"/>
      <c r="C863" s="12"/>
      <c r="D863" s="13"/>
      <c r="E863" s="12"/>
      <c r="F863" s="13"/>
      <c r="G863" s="13"/>
      <c r="H863" s="12"/>
      <c r="I863" s="18"/>
      <c r="J863" s="16"/>
      <c r="K863" s="16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6"/>
      <c r="AH863" s="16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216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5"/>
      <c r="BG863" s="15"/>
    </row>
    <row r="864" spans="1:59" ht="15.75" customHeight="1">
      <c r="A864" s="216"/>
      <c r="B864" s="12"/>
      <c r="C864" s="12"/>
      <c r="D864" s="13"/>
      <c r="E864" s="12"/>
      <c r="F864" s="13"/>
      <c r="G864" s="13"/>
      <c r="H864" s="12"/>
      <c r="I864" s="18"/>
      <c r="J864" s="16"/>
      <c r="K864" s="16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6"/>
      <c r="AH864" s="16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216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5"/>
      <c r="BG864" s="15"/>
    </row>
    <row r="865" spans="1:59" ht="15.75" customHeight="1">
      <c r="A865" s="216"/>
      <c r="B865" s="12"/>
      <c r="C865" s="12"/>
      <c r="D865" s="13"/>
      <c r="E865" s="12"/>
      <c r="F865" s="13"/>
      <c r="G865" s="13"/>
      <c r="H865" s="12"/>
      <c r="I865" s="18"/>
      <c r="J865" s="16"/>
      <c r="K865" s="16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6"/>
      <c r="AH865" s="16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216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5"/>
      <c r="BG865" s="15"/>
    </row>
    <row r="866" spans="1:59" ht="15.75" customHeight="1">
      <c r="A866" s="216"/>
      <c r="B866" s="12"/>
      <c r="C866" s="12"/>
      <c r="D866" s="13"/>
      <c r="E866" s="12"/>
      <c r="F866" s="13"/>
      <c r="G866" s="13"/>
      <c r="H866" s="12"/>
      <c r="I866" s="18"/>
      <c r="J866" s="16"/>
      <c r="K866" s="16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6"/>
      <c r="AH866" s="16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216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5"/>
      <c r="BG866" s="15"/>
    </row>
    <row r="867" spans="1:59" ht="15.75" customHeight="1">
      <c r="A867" s="216"/>
      <c r="B867" s="12"/>
      <c r="C867" s="12"/>
      <c r="D867" s="13"/>
      <c r="E867" s="12"/>
      <c r="F867" s="13"/>
      <c r="G867" s="13"/>
      <c r="H867" s="12"/>
      <c r="I867" s="18"/>
      <c r="J867" s="16"/>
      <c r="K867" s="16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6"/>
      <c r="AH867" s="16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216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5"/>
      <c r="BG867" s="15"/>
    </row>
    <row r="868" spans="1:59" ht="15.75" customHeight="1">
      <c r="A868" s="216"/>
      <c r="B868" s="12"/>
      <c r="C868" s="12"/>
      <c r="D868" s="13"/>
      <c r="E868" s="12"/>
      <c r="F868" s="13"/>
      <c r="G868" s="13"/>
      <c r="H868" s="12"/>
      <c r="I868" s="18"/>
      <c r="J868" s="16"/>
      <c r="K868" s="16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6"/>
      <c r="AH868" s="16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216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5"/>
      <c r="BG868" s="15"/>
    </row>
    <row r="869" spans="1:59" ht="15.75" customHeight="1">
      <c r="A869" s="216"/>
      <c r="B869" s="12"/>
      <c r="C869" s="12"/>
      <c r="D869" s="13"/>
      <c r="E869" s="12"/>
      <c r="F869" s="13"/>
      <c r="G869" s="13"/>
      <c r="H869" s="12"/>
      <c r="I869" s="18"/>
      <c r="J869" s="16"/>
      <c r="K869" s="16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6"/>
      <c r="AH869" s="16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216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5"/>
      <c r="BG869" s="15"/>
    </row>
    <row r="870" spans="1:59" ht="15.75" customHeight="1">
      <c r="A870" s="216"/>
      <c r="B870" s="12"/>
      <c r="C870" s="12"/>
      <c r="D870" s="13"/>
      <c r="E870" s="12"/>
      <c r="F870" s="13"/>
      <c r="G870" s="13"/>
      <c r="H870" s="12"/>
      <c r="I870" s="18"/>
      <c r="J870" s="16"/>
      <c r="K870" s="16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6"/>
      <c r="AH870" s="16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216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5"/>
      <c r="BG870" s="15"/>
    </row>
    <row r="871" spans="1:59" ht="15.75" customHeight="1">
      <c r="A871" s="216"/>
      <c r="B871" s="12"/>
      <c r="C871" s="12"/>
      <c r="D871" s="13"/>
      <c r="E871" s="12"/>
      <c r="F871" s="13"/>
      <c r="G871" s="13"/>
      <c r="H871" s="12"/>
      <c r="I871" s="18"/>
      <c r="J871" s="16"/>
      <c r="K871" s="16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6"/>
      <c r="AH871" s="16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216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5"/>
      <c r="BG871" s="15"/>
    </row>
    <row r="872" spans="1:59" ht="15.75" customHeight="1">
      <c r="A872" s="216"/>
      <c r="B872" s="12"/>
      <c r="C872" s="12"/>
      <c r="D872" s="13"/>
      <c r="E872" s="12"/>
      <c r="F872" s="13"/>
      <c r="G872" s="13"/>
      <c r="H872" s="12"/>
      <c r="I872" s="18"/>
      <c r="J872" s="16"/>
      <c r="K872" s="16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6"/>
      <c r="AH872" s="16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216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5"/>
      <c r="BG872" s="15"/>
    </row>
    <row r="873" spans="1:59" ht="15.75" customHeight="1">
      <c r="A873" s="216"/>
      <c r="B873" s="12"/>
      <c r="C873" s="12"/>
      <c r="D873" s="13"/>
      <c r="E873" s="12"/>
      <c r="F873" s="13"/>
      <c r="G873" s="13"/>
      <c r="H873" s="12"/>
      <c r="I873" s="18"/>
      <c r="J873" s="16"/>
      <c r="K873" s="16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6"/>
      <c r="AH873" s="16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216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5"/>
      <c r="BG873" s="15"/>
    </row>
    <row r="874" spans="1:59" ht="15.75" customHeight="1">
      <c r="A874" s="216"/>
      <c r="B874" s="12"/>
      <c r="C874" s="12"/>
      <c r="D874" s="13"/>
      <c r="E874" s="12"/>
      <c r="F874" s="13"/>
      <c r="G874" s="13"/>
      <c r="H874" s="12"/>
      <c r="I874" s="18"/>
      <c r="J874" s="16"/>
      <c r="K874" s="16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6"/>
      <c r="AH874" s="16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216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5"/>
      <c r="BG874" s="15"/>
    </row>
    <row r="875" spans="1:59" ht="15.75" customHeight="1">
      <c r="A875" s="216"/>
      <c r="B875" s="12"/>
      <c r="C875" s="12"/>
      <c r="D875" s="13"/>
      <c r="E875" s="12"/>
      <c r="F875" s="13"/>
      <c r="G875" s="13"/>
      <c r="H875" s="12"/>
      <c r="I875" s="18"/>
      <c r="J875" s="16"/>
      <c r="K875" s="16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6"/>
      <c r="AH875" s="16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216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5"/>
      <c r="BG875" s="15"/>
    </row>
    <row r="876" spans="1:59" ht="15.75" customHeight="1">
      <c r="A876" s="216"/>
      <c r="B876" s="12"/>
      <c r="C876" s="12"/>
      <c r="D876" s="13"/>
      <c r="E876" s="12"/>
      <c r="F876" s="13"/>
      <c r="G876" s="13"/>
      <c r="H876" s="12"/>
      <c r="I876" s="18"/>
      <c r="J876" s="16"/>
      <c r="K876" s="16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6"/>
      <c r="AH876" s="16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216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5"/>
      <c r="BG876" s="15"/>
    </row>
    <row r="877" spans="1:59" ht="15.75" customHeight="1">
      <c r="A877" s="216"/>
      <c r="B877" s="12"/>
      <c r="C877" s="12"/>
      <c r="D877" s="13"/>
      <c r="E877" s="12"/>
      <c r="F877" s="13"/>
      <c r="G877" s="13"/>
      <c r="H877" s="12"/>
      <c r="I877" s="18"/>
      <c r="J877" s="16"/>
      <c r="K877" s="16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6"/>
      <c r="AH877" s="16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216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5"/>
      <c r="BG877" s="15"/>
    </row>
    <row r="878" spans="1:59" ht="15.75" customHeight="1">
      <c r="A878" s="216"/>
      <c r="B878" s="12"/>
      <c r="C878" s="12"/>
      <c r="D878" s="13"/>
      <c r="E878" s="12"/>
      <c r="F878" s="13"/>
      <c r="G878" s="13"/>
      <c r="H878" s="12"/>
      <c r="I878" s="18"/>
      <c r="J878" s="16"/>
      <c r="K878" s="16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6"/>
      <c r="AH878" s="16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216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5"/>
      <c r="BG878" s="15"/>
    </row>
    <row r="879" spans="1:59" ht="15.75" customHeight="1">
      <c r="A879" s="216"/>
      <c r="B879" s="12"/>
      <c r="C879" s="12"/>
      <c r="D879" s="13"/>
      <c r="E879" s="12"/>
      <c r="F879" s="13"/>
      <c r="G879" s="13"/>
      <c r="H879" s="12"/>
      <c r="I879" s="18"/>
      <c r="J879" s="16"/>
      <c r="K879" s="16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6"/>
      <c r="AH879" s="16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216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5"/>
      <c r="BG879" s="15"/>
    </row>
    <row r="880" spans="1:59" ht="15.75" customHeight="1">
      <c r="A880" s="216"/>
      <c r="B880" s="12"/>
      <c r="C880" s="12"/>
      <c r="D880" s="13"/>
      <c r="E880" s="12"/>
      <c r="F880" s="13"/>
      <c r="G880" s="13"/>
      <c r="H880" s="12"/>
      <c r="I880" s="18"/>
      <c r="J880" s="16"/>
      <c r="K880" s="16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6"/>
      <c r="AH880" s="16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216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5"/>
      <c r="BG880" s="15"/>
    </row>
    <row r="881" spans="1:59" ht="15.75" customHeight="1">
      <c r="A881" s="216"/>
      <c r="B881" s="12"/>
      <c r="C881" s="12"/>
      <c r="D881" s="13"/>
      <c r="E881" s="12"/>
      <c r="F881" s="13"/>
      <c r="G881" s="13"/>
      <c r="H881" s="12"/>
      <c r="I881" s="18"/>
      <c r="J881" s="16"/>
      <c r="K881" s="16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6"/>
      <c r="AH881" s="16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216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5"/>
      <c r="BG881" s="15"/>
    </row>
    <row r="882" spans="1:59" ht="15.75" customHeight="1">
      <c r="A882" s="216"/>
      <c r="B882" s="12"/>
      <c r="C882" s="12"/>
      <c r="D882" s="13"/>
      <c r="E882" s="12"/>
      <c r="F882" s="13"/>
      <c r="G882" s="13"/>
      <c r="H882" s="12"/>
      <c r="I882" s="18"/>
      <c r="J882" s="16"/>
      <c r="K882" s="16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6"/>
      <c r="AH882" s="16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216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5"/>
      <c r="BG882" s="15"/>
    </row>
    <row r="883" spans="1:59" ht="15.75" customHeight="1">
      <c r="A883" s="216"/>
      <c r="B883" s="12"/>
      <c r="C883" s="12"/>
      <c r="D883" s="13"/>
      <c r="E883" s="12"/>
      <c r="F883" s="13"/>
      <c r="G883" s="13"/>
      <c r="H883" s="12"/>
      <c r="I883" s="18"/>
      <c r="J883" s="16"/>
      <c r="K883" s="16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6"/>
      <c r="AH883" s="16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216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5"/>
      <c r="BG883" s="15"/>
    </row>
    <row r="884" spans="1:59" ht="15.75" customHeight="1">
      <c r="A884" s="216"/>
      <c r="B884" s="12"/>
      <c r="C884" s="12"/>
      <c r="D884" s="13"/>
      <c r="E884" s="12"/>
      <c r="F884" s="13"/>
      <c r="G884" s="13"/>
      <c r="H884" s="12"/>
      <c r="I884" s="18"/>
      <c r="J884" s="16"/>
      <c r="K884" s="16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6"/>
      <c r="AH884" s="16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216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5"/>
      <c r="BG884" s="15"/>
    </row>
    <row r="885" spans="1:59" ht="15.75" customHeight="1">
      <c r="A885" s="216"/>
      <c r="B885" s="12"/>
      <c r="C885" s="12"/>
      <c r="D885" s="13"/>
      <c r="E885" s="12"/>
      <c r="F885" s="13"/>
      <c r="G885" s="13"/>
      <c r="H885" s="12"/>
      <c r="I885" s="18"/>
      <c r="J885" s="16"/>
      <c r="K885" s="16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6"/>
      <c r="AH885" s="16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216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5"/>
      <c r="BG885" s="15"/>
    </row>
    <row r="886" spans="1:59" ht="15.75" customHeight="1">
      <c r="A886" s="216"/>
      <c r="B886" s="12"/>
      <c r="C886" s="12"/>
      <c r="D886" s="13"/>
      <c r="E886" s="12"/>
      <c r="F886" s="13"/>
      <c r="G886" s="13"/>
      <c r="H886" s="12"/>
      <c r="I886" s="18"/>
      <c r="J886" s="16"/>
      <c r="K886" s="16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6"/>
      <c r="AH886" s="16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216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5"/>
      <c r="BG886" s="15"/>
    </row>
    <row r="887" spans="1:59" ht="15.75" customHeight="1">
      <c r="A887" s="216"/>
      <c r="B887" s="12"/>
      <c r="C887" s="12"/>
      <c r="D887" s="13"/>
      <c r="E887" s="12"/>
      <c r="F887" s="13"/>
      <c r="G887" s="13"/>
      <c r="H887" s="12"/>
      <c r="I887" s="18"/>
      <c r="J887" s="16"/>
      <c r="K887" s="16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6"/>
      <c r="AH887" s="16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216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5"/>
      <c r="BG887" s="15"/>
    </row>
    <row r="888" spans="1:59" ht="15.75" customHeight="1">
      <c r="A888" s="216"/>
      <c r="B888" s="12"/>
      <c r="C888" s="12"/>
      <c r="D888" s="13"/>
      <c r="E888" s="12"/>
      <c r="F888" s="13"/>
      <c r="G888" s="13"/>
      <c r="H888" s="12"/>
      <c r="I888" s="18"/>
      <c r="J888" s="16"/>
      <c r="K888" s="16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6"/>
      <c r="AH888" s="16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216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5"/>
      <c r="BG888" s="15"/>
    </row>
    <row r="889" spans="1:59" ht="15.75" customHeight="1">
      <c r="A889" s="216"/>
      <c r="B889" s="12"/>
      <c r="C889" s="12"/>
      <c r="D889" s="13"/>
      <c r="E889" s="12"/>
      <c r="F889" s="13"/>
      <c r="G889" s="13"/>
      <c r="H889" s="12"/>
      <c r="I889" s="18"/>
      <c r="J889" s="16"/>
      <c r="K889" s="16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6"/>
      <c r="AH889" s="16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216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5"/>
      <c r="BG889" s="15"/>
    </row>
    <row r="890" spans="1:59" ht="15.75" customHeight="1">
      <c r="A890" s="216"/>
      <c r="B890" s="12"/>
      <c r="C890" s="12"/>
      <c r="D890" s="13"/>
      <c r="E890" s="12"/>
      <c r="F890" s="13"/>
      <c r="G890" s="13"/>
      <c r="H890" s="12"/>
      <c r="I890" s="18"/>
      <c r="J890" s="16"/>
      <c r="K890" s="16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6"/>
      <c r="AH890" s="16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216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5"/>
      <c r="BG890" s="15"/>
    </row>
    <row r="891" spans="1:59" ht="15.75" customHeight="1">
      <c r="A891" s="216"/>
      <c r="B891" s="12"/>
      <c r="C891" s="12"/>
      <c r="D891" s="13"/>
      <c r="E891" s="12"/>
      <c r="F891" s="13"/>
      <c r="G891" s="13"/>
      <c r="H891" s="12"/>
      <c r="I891" s="18"/>
      <c r="J891" s="16"/>
      <c r="K891" s="16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6"/>
      <c r="AH891" s="16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216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5"/>
      <c r="BG891" s="15"/>
    </row>
    <row r="892" spans="1:59" ht="15.75" customHeight="1">
      <c r="A892" s="216"/>
      <c r="B892" s="12"/>
      <c r="C892" s="12"/>
      <c r="D892" s="13"/>
      <c r="E892" s="12"/>
      <c r="F892" s="13"/>
      <c r="G892" s="13"/>
      <c r="H892" s="12"/>
      <c r="I892" s="18"/>
      <c r="J892" s="16"/>
      <c r="K892" s="16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6"/>
      <c r="AH892" s="16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216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5"/>
      <c r="BG892" s="15"/>
    </row>
    <row r="893" spans="1:59" ht="15.75" customHeight="1">
      <c r="A893" s="216"/>
      <c r="B893" s="12"/>
      <c r="C893" s="12"/>
      <c r="D893" s="13"/>
      <c r="E893" s="12"/>
      <c r="F893" s="13"/>
      <c r="G893" s="13"/>
      <c r="H893" s="12"/>
      <c r="I893" s="18"/>
      <c r="J893" s="16"/>
      <c r="K893" s="16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6"/>
      <c r="AH893" s="16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216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5"/>
      <c r="BG893" s="15"/>
    </row>
    <row r="894" spans="1:59" ht="15.75" customHeight="1">
      <c r="A894" s="216"/>
      <c r="B894" s="12"/>
      <c r="C894" s="12"/>
      <c r="D894" s="13"/>
      <c r="E894" s="12"/>
      <c r="F894" s="13"/>
      <c r="G894" s="13"/>
      <c r="H894" s="12"/>
      <c r="I894" s="18"/>
      <c r="J894" s="16"/>
      <c r="K894" s="16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6"/>
      <c r="AH894" s="16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216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5"/>
      <c r="BG894" s="15"/>
    </row>
    <row r="895" spans="1:59" ht="15.75" customHeight="1">
      <c r="A895" s="216"/>
      <c r="B895" s="12"/>
      <c r="C895" s="12"/>
      <c r="D895" s="13"/>
      <c r="E895" s="12"/>
      <c r="F895" s="13"/>
      <c r="G895" s="13"/>
      <c r="H895" s="12"/>
      <c r="I895" s="18"/>
      <c r="J895" s="16"/>
      <c r="K895" s="16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6"/>
      <c r="AH895" s="16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216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5"/>
      <c r="BG895" s="15"/>
    </row>
    <row r="896" spans="1:59" ht="15.75" customHeight="1">
      <c r="A896" s="216"/>
      <c r="B896" s="12"/>
      <c r="C896" s="12"/>
      <c r="D896" s="13"/>
      <c r="E896" s="12"/>
      <c r="F896" s="13"/>
      <c r="G896" s="13"/>
      <c r="H896" s="12"/>
      <c r="I896" s="18"/>
      <c r="J896" s="16"/>
      <c r="K896" s="16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6"/>
      <c r="AH896" s="16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216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5"/>
      <c r="BG896" s="15"/>
    </row>
    <row r="897" spans="1:59" ht="15.75" customHeight="1">
      <c r="A897" s="216"/>
      <c r="B897" s="12"/>
      <c r="C897" s="12"/>
      <c r="D897" s="13"/>
      <c r="E897" s="12"/>
      <c r="F897" s="13"/>
      <c r="G897" s="13"/>
      <c r="H897" s="12"/>
      <c r="I897" s="18"/>
      <c r="J897" s="16"/>
      <c r="K897" s="16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6"/>
      <c r="AH897" s="16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216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5"/>
      <c r="BG897" s="15"/>
    </row>
    <row r="898" spans="1:59" ht="15.75" customHeight="1">
      <c r="A898" s="216"/>
      <c r="B898" s="12"/>
      <c r="C898" s="12"/>
      <c r="D898" s="13"/>
      <c r="E898" s="12"/>
      <c r="F898" s="13"/>
      <c r="G898" s="13"/>
      <c r="H898" s="12"/>
      <c r="I898" s="18"/>
      <c r="J898" s="16"/>
      <c r="K898" s="16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6"/>
      <c r="AH898" s="16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216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5"/>
      <c r="BG898" s="15"/>
    </row>
    <row r="899" spans="1:59" ht="15.75" customHeight="1">
      <c r="A899" s="216"/>
      <c r="B899" s="12"/>
      <c r="C899" s="12"/>
      <c r="D899" s="13"/>
      <c r="E899" s="12"/>
      <c r="F899" s="13"/>
      <c r="G899" s="13"/>
      <c r="H899" s="12"/>
      <c r="I899" s="18"/>
      <c r="J899" s="16"/>
      <c r="K899" s="16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6"/>
      <c r="AH899" s="16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216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5"/>
      <c r="BG899" s="15"/>
    </row>
    <row r="900" spans="1:59" ht="15.75" customHeight="1">
      <c r="A900" s="216"/>
      <c r="B900" s="12"/>
      <c r="C900" s="12"/>
      <c r="D900" s="13"/>
      <c r="E900" s="12"/>
      <c r="F900" s="13"/>
      <c r="G900" s="13"/>
      <c r="H900" s="12"/>
      <c r="I900" s="18"/>
      <c r="J900" s="16"/>
      <c r="K900" s="16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6"/>
      <c r="AH900" s="16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216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5"/>
      <c r="BG900" s="15"/>
    </row>
    <row r="901" spans="1:59" ht="15.75" customHeight="1">
      <c r="A901" s="216"/>
      <c r="B901" s="12"/>
      <c r="C901" s="12"/>
      <c r="D901" s="13"/>
      <c r="E901" s="12"/>
      <c r="F901" s="13"/>
      <c r="G901" s="13"/>
      <c r="H901" s="12"/>
      <c r="I901" s="18"/>
      <c r="J901" s="16"/>
      <c r="K901" s="16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6"/>
      <c r="AH901" s="16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216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5"/>
      <c r="BG901" s="15"/>
    </row>
    <row r="902" spans="1:59" ht="15.75" customHeight="1">
      <c r="A902" s="216"/>
      <c r="B902" s="12"/>
      <c r="C902" s="12"/>
      <c r="D902" s="13"/>
      <c r="E902" s="12"/>
      <c r="F902" s="13"/>
      <c r="G902" s="13"/>
      <c r="H902" s="12"/>
      <c r="I902" s="18"/>
      <c r="J902" s="16"/>
      <c r="K902" s="16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6"/>
      <c r="AH902" s="16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216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5"/>
      <c r="BG902" s="15"/>
    </row>
    <row r="903" spans="1:59" ht="15.75" customHeight="1">
      <c r="A903" s="216"/>
      <c r="B903" s="12"/>
      <c r="C903" s="12"/>
      <c r="D903" s="13"/>
      <c r="E903" s="12"/>
      <c r="F903" s="13"/>
      <c r="G903" s="13"/>
      <c r="H903" s="12"/>
      <c r="I903" s="18"/>
      <c r="J903" s="16"/>
      <c r="K903" s="16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6"/>
      <c r="AH903" s="16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216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5"/>
      <c r="BG903" s="15"/>
    </row>
    <row r="904" spans="1:59" ht="15.75" customHeight="1">
      <c r="A904" s="216"/>
      <c r="B904" s="12"/>
      <c r="C904" s="12"/>
      <c r="D904" s="13"/>
      <c r="E904" s="12"/>
      <c r="F904" s="13"/>
      <c r="G904" s="13"/>
      <c r="H904" s="12"/>
      <c r="I904" s="18"/>
      <c r="J904" s="16"/>
      <c r="K904" s="16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6"/>
      <c r="AH904" s="16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216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5"/>
      <c r="BG904" s="15"/>
    </row>
    <row r="905" spans="1:59" ht="15.75" customHeight="1">
      <c r="A905" s="216"/>
      <c r="B905" s="12"/>
      <c r="C905" s="12"/>
      <c r="D905" s="13"/>
      <c r="E905" s="12"/>
      <c r="F905" s="13"/>
      <c r="G905" s="13"/>
      <c r="H905" s="12"/>
      <c r="I905" s="18"/>
      <c r="J905" s="16"/>
      <c r="K905" s="16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6"/>
      <c r="AH905" s="16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216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5"/>
      <c r="BG905" s="15"/>
    </row>
    <row r="906" spans="1:59" ht="15.75" customHeight="1">
      <c r="A906" s="216"/>
      <c r="B906" s="12"/>
      <c r="C906" s="12"/>
      <c r="D906" s="13"/>
      <c r="E906" s="12"/>
      <c r="F906" s="13"/>
      <c r="G906" s="13"/>
      <c r="H906" s="12"/>
      <c r="I906" s="18"/>
      <c r="J906" s="16"/>
      <c r="K906" s="16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6"/>
      <c r="AH906" s="16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216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5"/>
      <c r="BG906" s="15"/>
    </row>
    <row r="907" spans="1:59" ht="15.75" customHeight="1">
      <c r="A907" s="216"/>
      <c r="B907" s="12"/>
      <c r="C907" s="12"/>
      <c r="D907" s="13"/>
      <c r="E907" s="12"/>
      <c r="F907" s="13"/>
      <c r="G907" s="13"/>
      <c r="H907" s="12"/>
      <c r="I907" s="18"/>
      <c r="J907" s="16"/>
      <c r="K907" s="16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6"/>
      <c r="AH907" s="16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216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5"/>
      <c r="BG907" s="15"/>
    </row>
    <row r="908" spans="1:59" ht="15.75" customHeight="1">
      <c r="A908" s="216"/>
      <c r="B908" s="12"/>
      <c r="C908" s="12"/>
      <c r="D908" s="13"/>
      <c r="E908" s="12"/>
      <c r="F908" s="13"/>
      <c r="G908" s="13"/>
      <c r="H908" s="12"/>
      <c r="I908" s="18"/>
      <c r="J908" s="16"/>
      <c r="K908" s="16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6"/>
      <c r="AH908" s="16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216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5"/>
      <c r="BG908" s="15"/>
    </row>
    <row r="909" spans="1:59" ht="15.75" customHeight="1">
      <c r="A909" s="216"/>
      <c r="B909" s="12"/>
      <c r="C909" s="12"/>
      <c r="D909" s="13"/>
      <c r="E909" s="12"/>
      <c r="F909" s="13"/>
      <c r="G909" s="13"/>
      <c r="H909" s="12"/>
      <c r="I909" s="18"/>
      <c r="J909" s="16"/>
      <c r="K909" s="16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6"/>
      <c r="AH909" s="16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216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5"/>
      <c r="BG909" s="15"/>
    </row>
    <row r="910" spans="1:59" ht="15.75" customHeight="1">
      <c r="A910" s="216"/>
      <c r="B910" s="12"/>
      <c r="C910" s="12"/>
      <c r="D910" s="13"/>
      <c r="E910" s="12"/>
      <c r="F910" s="13"/>
      <c r="G910" s="13"/>
      <c r="H910" s="12"/>
      <c r="I910" s="18"/>
      <c r="J910" s="16"/>
      <c r="K910" s="16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6"/>
      <c r="AH910" s="16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216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5"/>
      <c r="BG910" s="15"/>
    </row>
    <row r="911" spans="1:59" ht="15.75" customHeight="1">
      <c r="A911" s="216"/>
      <c r="B911" s="12"/>
      <c r="C911" s="12"/>
      <c r="D911" s="13"/>
      <c r="E911" s="12"/>
      <c r="F911" s="13"/>
      <c r="G911" s="13"/>
      <c r="H911" s="12"/>
      <c r="I911" s="18"/>
      <c r="J911" s="16"/>
      <c r="K911" s="16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6"/>
      <c r="AH911" s="16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216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5"/>
      <c r="BG911" s="15"/>
    </row>
    <row r="912" spans="1:59" ht="15.75" customHeight="1">
      <c r="A912" s="216"/>
      <c r="B912" s="12"/>
      <c r="C912" s="12"/>
      <c r="D912" s="13"/>
      <c r="E912" s="12"/>
      <c r="F912" s="13"/>
      <c r="G912" s="13"/>
      <c r="H912" s="12"/>
      <c r="I912" s="18"/>
      <c r="J912" s="16"/>
      <c r="K912" s="16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6"/>
      <c r="AH912" s="16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216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5"/>
      <c r="BG912" s="15"/>
    </row>
    <row r="913" spans="1:59" ht="15.75" customHeight="1">
      <c r="A913" s="216"/>
      <c r="B913" s="12"/>
      <c r="C913" s="12"/>
      <c r="D913" s="13"/>
      <c r="E913" s="12"/>
      <c r="F913" s="13"/>
      <c r="G913" s="13"/>
      <c r="H913" s="12"/>
      <c r="I913" s="18"/>
      <c r="J913" s="16"/>
      <c r="K913" s="16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6"/>
      <c r="AH913" s="16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216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5"/>
      <c r="BG913" s="15"/>
    </row>
    <row r="914" spans="1:59" ht="15.75" customHeight="1">
      <c r="A914" s="216"/>
      <c r="B914" s="12"/>
      <c r="C914" s="12"/>
      <c r="D914" s="13"/>
      <c r="E914" s="12"/>
      <c r="F914" s="13"/>
      <c r="G914" s="13"/>
      <c r="H914" s="12"/>
      <c r="I914" s="18"/>
      <c r="J914" s="16"/>
      <c r="K914" s="16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6"/>
      <c r="AH914" s="16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216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5"/>
      <c r="BG914" s="15"/>
    </row>
    <row r="915" spans="1:59" ht="15.75" customHeight="1">
      <c r="A915" s="216"/>
      <c r="B915" s="12"/>
      <c r="C915" s="12"/>
      <c r="D915" s="13"/>
      <c r="E915" s="12"/>
      <c r="F915" s="13"/>
      <c r="G915" s="13"/>
      <c r="H915" s="12"/>
      <c r="I915" s="18"/>
      <c r="J915" s="16"/>
      <c r="K915" s="16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6"/>
      <c r="AH915" s="16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216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5"/>
      <c r="BG915" s="15"/>
    </row>
    <row r="916" spans="1:59" ht="15.75" customHeight="1">
      <c r="A916" s="216"/>
      <c r="B916" s="12"/>
      <c r="C916" s="12"/>
      <c r="D916" s="13"/>
      <c r="E916" s="12"/>
      <c r="F916" s="13"/>
      <c r="G916" s="13"/>
      <c r="H916" s="12"/>
      <c r="I916" s="18"/>
      <c r="J916" s="16"/>
      <c r="K916" s="16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6"/>
      <c r="AH916" s="16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216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5"/>
      <c r="BG916" s="15"/>
    </row>
    <row r="917" spans="1:59" ht="15.75" customHeight="1">
      <c r="A917" s="216"/>
      <c r="B917" s="12"/>
      <c r="C917" s="12"/>
      <c r="D917" s="13"/>
      <c r="E917" s="12"/>
      <c r="F917" s="13"/>
      <c r="G917" s="13"/>
      <c r="H917" s="12"/>
      <c r="I917" s="18"/>
      <c r="J917" s="16"/>
      <c r="K917" s="16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6"/>
      <c r="AH917" s="16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216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5"/>
      <c r="BG917" s="15"/>
    </row>
    <row r="918" spans="1:59" ht="15.75" customHeight="1">
      <c r="A918" s="216"/>
      <c r="B918" s="12"/>
      <c r="C918" s="12"/>
      <c r="D918" s="13"/>
      <c r="E918" s="12"/>
      <c r="F918" s="13"/>
      <c r="G918" s="13"/>
      <c r="H918" s="12"/>
      <c r="I918" s="18"/>
      <c r="J918" s="16"/>
      <c r="K918" s="16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6"/>
      <c r="AH918" s="16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216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5"/>
      <c r="BG918" s="15"/>
    </row>
    <row r="919" spans="1:59" ht="15.75" customHeight="1">
      <c r="A919" s="216"/>
      <c r="B919" s="12"/>
      <c r="C919" s="12"/>
      <c r="D919" s="13"/>
      <c r="E919" s="12"/>
      <c r="F919" s="13"/>
      <c r="G919" s="13"/>
      <c r="H919" s="12"/>
      <c r="I919" s="18"/>
      <c r="J919" s="16"/>
      <c r="K919" s="16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6"/>
      <c r="AH919" s="16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216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5"/>
      <c r="BG919" s="15"/>
    </row>
    <row r="920" spans="1:59" ht="15.75" customHeight="1">
      <c r="A920" s="216"/>
      <c r="B920" s="12"/>
      <c r="C920" s="12"/>
      <c r="D920" s="13"/>
      <c r="E920" s="12"/>
      <c r="F920" s="13"/>
      <c r="G920" s="13"/>
      <c r="H920" s="12"/>
      <c r="I920" s="18"/>
      <c r="J920" s="16"/>
      <c r="K920" s="16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6"/>
      <c r="AH920" s="16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216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5"/>
      <c r="BG920" s="15"/>
    </row>
    <row r="921" spans="1:59" ht="15.75" customHeight="1">
      <c r="A921" s="216"/>
      <c r="B921" s="12"/>
      <c r="C921" s="12"/>
      <c r="D921" s="13"/>
      <c r="E921" s="12"/>
      <c r="F921" s="13"/>
      <c r="G921" s="13"/>
      <c r="H921" s="12"/>
      <c r="I921" s="18"/>
      <c r="J921" s="16"/>
      <c r="K921" s="16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6"/>
      <c r="AH921" s="16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216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5"/>
      <c r="BG921" s="15"/>
    </row>
    <row r="922" spans="1:59" ht="15.75" customHeight="1">
      <c r="A922" s="216"/>
      <c r="B922" s="12"/>
      <c r="C922" s="12"/>
      <c r="D922" s="13"/>
      <c r="E922" s="12"/>
      <c r="F922" s="13"/>
      <c r="G922" s="13"/>
      <c r="H922" s="12"/>
      <c r="I922" s="18"/>
      <c r="J922" s="16"/>
      <c r="K922" s="16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6"/>
      <c r="AH922" s="16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216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5"/>
      <c r="BG922" s="15"/>
    </row>
    <row r="923" spans="1:59" ht="15.75" customHeight="1">
      <c r="A923" s="216"/>
      <c r="B923" s="12"/>
      <c r="C923" s="12"/>
      <c r="D923" s="13"/>
      <c r="E923" s="12"/>
      <c r="F923" s="13"/>
      <c r="G923" s="13"/>
      <c r="H923" s="12"/>
      <c r="I923" s="18"/>
      <c r="J923" s="16"/>
      <c r="K923" s="16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6"/>
      <c r="AH923" s="16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216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5"/>
      <c r="BG923" s="15"/>
    </row>
    <row r="924" spans="1:59" ht="15.75" customHeight="1">
      <c r="A924" s="216"/>
      <c r="B924" s="12"/>
      <c r="C924" s="12"/>
      <c r="D924" s="13"/>
      <c r="E924" s="12"/>
      <c r="F924" s="13"/>
      <c r="G924" s="13"/>
      <c r="H924" s="12"/>
      <c r="I924" s="18"/>
      <c r="J924" s="16"/>
      <c r="K924" s="16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6"/>
      <c r="AH924" s="16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216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5"/>
      <c r="BG924" s="15"/>
    </row>
    <row r="925" spans="1:59" ht="15.75" customHeight="1">
      <c r="A925" s="216"/>
      <c r="B925" s="12"/>
      <c r="C925" s="12"/>
      <c r="D925" s="13"/>
      <c r="E925" s="12"/>
      <c r="F925" s="13"/>
      <c r="G925" s="13"/>
      <c r="H925" s="12"/>
      <c r="I925" s="18"/>
      <c r="J925" s="16"/>
      <c r="K925" s="16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6"/>
      <c r="AH925" s="16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216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5"/>
      <c r="BG925" s="15"/>
    </row>
    <row r="926" spans="1:59" ht="15.75" customHeight="1">
      <c r="A926" s="216"/>
      <c r="B926" s="12"/>
      <c r="C926" s="12"/>
      <c r="D926" s="13"/>
      <c r="E926" s="12"/>
      <c r="F926" s="13"/>
      <c r="G926" s="13"/>
      <c r="H926" s="12"/>
      <c r="I926" s="18"/>
      <c r="J926" s="16"/>
      <c r="K926" s="16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6"/>
      <c r="AH926" s="16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216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5"/>
      <c r="BG926" s="15"/>
    </row>
    <row r="927" spans="1:59" ht="15.75" customHeight="1">
      <c r="A927" s="216"/>
      <c r="B927" s="12"/>
      <c r="C927" s="12"/>
      <c r="D927" s="13"/>
      <c r="E927" s="12"/>
      <c r="F927" s="13"/>
      <c r="G927" s="13"/>
      <c r="H927" s="12"/>
      <c r="I927" s="18"/>
      <c r="J927" s="16"/>
      <c r="K927" s="16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6"/>
      <c r="AH927" s="16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216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5"/>
      <c r="BG927" s="15"/>
    </row>
    <row r="928" spans="1:59" ht="15.75" customHeight="1">
      <c r="A928" s="216"/>
      <c r="B928" s="12"/>
      <c r="C928" s="12"/>
      <c r="D928" s="13"/>
      <c r="E928" s="12"/>
      <c r="F928" s="13"/>
      <c r="G928" s="13"/>
      <c r="H928" s="12"/>
      <c r="I928" s="18"/>
      <c r="J928" s="16"/>
      <c r="K928" s="16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6"/>
      <c r="AH928" s="16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216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5"/>
      <c r="BG928" s="15"/>
    </row>
    <row r="929" spans="1:59" ht="15.75" customHeight="1">
      <c r="A929" s="216"/>
      <c r="B929" s="12"/>
      <c r="C929" s="12"/>
      <c r="D929" s="13"/>
      <c r="E929" s="12"/>
      <c r="F929" s="13"/>
      <c r="G929" s="13"/>
      <c r="H929" s="12"/>
      <c r="I929" s="18"/>
      <c r="J929" s="16"/>
      <c r="K929" s="16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6"/>
      <c r="AH929" s="16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216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5"/>
      <c r="BG929" s="15"/>
    </row>
    <row r="930" spans="1:59" ht="15.75" customHeight="1">
      <c r="A930" s="216"/>
      <c r="B930" s="12"/>
      <c r="C930" s="12"/>
      <c r="D930" s="13"/>
      <c r="E930" s="12"/>
      <c r="F930" s="13"/>
      <c r="G930" s="13"/>
      <c r="H930" s="12"/>
      <c r="I930" s="18"/>
      <c r="J930" s="16"/>
      <c r="K930" s="16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6"/>
      <c r="AH930" s="16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216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5"/>
      <c r="BG930" s="15"/>
    </row>
    <row r="931" spans="1:59" ht="15.75" customHeight="1">
      <c r="A931" s="216"/>
      <c r="B931" s="12"/>
      <c r="C931" s="12"/>
      <c r="D931" s="13"/>
      <c r="E931" s="12"/>
      <c r="F931" s="13"/>
      <c r="G931" s="13"/>
      <c r="H931" s="12"/>
      <c r="I931" s="18"/>
      <c r="J931" s="16"/>
      <c r="K931" s="16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6"/>
      <c r="AH931" s="16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216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5"/>
      <c r="BG931" s="15"/>
    </row>
    <row r="932" spans="1:59" ht="15.75" customHeight="1">
      <c r="A932" s="216"/>
      <c r="B932" s="12"/>
      <c r="C932" s="12"/>
      <c r="D932" s="13"/>
      <c r="E932" s="12"/>
      <c r="F932" s="13"/>
      <c r="G932" s="13"/>
      <c r="H932" s="12"/>
      <c r="I932" s="18"/>
      <c r="J932" s="16"/>
      <c r="K932" s="16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6"/>
      <c r="AH932" s="16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216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5"/>
      <c r="BG932" s="15"/>
    </row>
    <row r="933" spans="1:59" ht="15.75" customHeight="1">
      <c r="A933" s="216"/>
      <c r="B933" s="12"/>
      <c r="C933" s="12"/>
      <c r="D933" s="13"/>
      <c r="E933" s="12"/>
      <c r="F933" s="13"/>
      <c r="G933" s="13"/>
      <c r="H933" s="12"/>
      <c r="I933" s="18"/>
      <c r="J933" s="16"/>
      <c r="K933" s="16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6"/>
      <c r="AH933" s="16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216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5"/>
      <c r="BG933" s="15"/>
    </row>
    <row r="934" spans="1:59" ht="15.75" customHeight="1">
      <c r="A934" s="216"/>
      <c r="B934" s="12"/>
      <c r="C934" s="12"/>
      <c r="D934" s="13"/>
      <c r="E934" s="12"/>
      <c r="F934" s="13"/>
      <c r="G934" s="13"/>
      <c r="H934" s="12"/>
      <c r="I934" s="18"/>
      <c r="J934" s="16"/>
      <c r="K934" s="16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6"/>
      <c r="AH934" s="16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216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5"/>
      <c r="BG934" s="15"/>
    </row>
    <row r="935" spans="1:59" ht="15.75" customHeight="1">
      <c r="A935" s="216"/>
      <c r="B935" s="12"/>
      <c r="C935" s="12"/>
      <c r="D935" s="13"/>
      <c r="E935" s="12"/>
      <c r="F935" s="13"/>
      <c r="G935" s="13"/>
      <c r="H935" s="12"/>
      <c r="I935" s="18"/>
      <c r="J935" s="16"/>
      <c r="K935" s="16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6"/>
      <c r="AH935" s="16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216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5"/>
      <c r="BG935" s="15"/>
    </row>
    <row r="936" spans="1:59" ht="15.75" customHeight="1">
      <c r="A936" s="216"/>
      <c r="B936" s="12"/>
      <c r="C936" s="12"/>
      <c r="D936" s="13"/>
      <c r="E936" s="12"/>
      <c r="F936" s="13"/>
      <c r="G936" s="13"/>
      <c r="H936" s="12"/>
      <c r="I936" s="18"/>
      <c r="J936" s="16"/>
      <c r="K936" s="16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6"/>
      <c r="AH936" s="16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216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5"/>
      <c r="BG936" s="15"/>
    </row>
    <row r="937" spans="1:59" ht="15.75" customHeight="1">
      <c r="A937" s="216"/>
      <c r="B937" s="12"/>
      <c r="C937" s="12"/>
      <c r="D937" s="13"/>
      <c r="E937" s="12"/>
      <c r="F937" s="13"/>
      <c r="G937" s="13"/>
      <c r="H937" s="12"/>
      <c r="I937" s="18"/>
      <c r="J937" s="16"/>
      <c r="K937" s="16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6"/>
      <c r="AH937" s="16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216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5"/>
      <c r="BG937" s="15"/>
    </row>
    <row r="938" spans="1:59" ht="15.75" customHeight="1">
      <c r="A938" s="216"/>
      <c r="B938" s="12"/>
      <c r="C938" s="12"/>
      <c r="D938" s="13"/>
      <c r="E938" s="12"/>
      <c r="F938" s="13"/>
      <c r="G938" s="13"/>
      <c r="H938" s="12"/>
      <c r="I938" s="18"/>
      <c r="J938" s="16"/>
      <c r="K938" s="16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6"/>
      <c r="AH938" s="16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216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5"/>
      <c r="BG938" s="15"/>
    </row>
    <row r="939" spans="1:59" ht="15.75" customHeight="1">
      <c r="A939" s="216"/>
      <c r="B939" s="12"/>
      <c r="C939" s="12"/>
      <c r="D939" s="13"/>
      <c r="E939" s="12"/>
      <c r="F939" s="13"/>
      <c r="G939" s="13"/>
      <c r="H939" s="12"/>
      <c r="I939" s="18"/>
      <c r="J939" s="16"/>
      <c r="K939" s="16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6"/>
      <c r="AH939" s="16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216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5"/>
      <c r="BG939" s="15"/>
    </row>
    <row r="940" spans="1:59" ht="15.75" customHeight="1">
      <c r="A940" s="216"/>
      <c r="B940" s="12"/>
      <c r="C940" s="12"/>
      <c r="D940" s="13"/>
      <c r="E940" s="12"/>
      <c r="F940" s="13"/>
      <c r="G940" s="13"/>
      <c r="H940" s="12"/>
      <c r="I940" s="18"/>
      <c r="J940" s="16"/>
      <c r="K940" s="16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6"/>
      <c r="AH940" s="16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216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5"/>
      <c r="BG940" s="15"/>
    </row>
    <row r="941" spans="1:59" ht="15.75" customHeight="1">
      <c r="A941" s="216"/>
      <c r="B941" s="12"/>
      <c r="C941" s="12"/>
      <c r="D941" s="13"/>
      <c r="E941" s="12"/>
      <c r="F941" s="13"/>
      <c r="G941" s="13"/>
      <c r="H941" s="12"/>
      <c r="I941" s="18"/>
      <c r="J941" s="16"/>
      <c r="K941" s="16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6"/>
      <c r="AH941" s="16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216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5"/>
      <c r="BG941" s="15"/>
    </row>
    <row r="942" spans="1:59" ht="15.75" customHeight="1">
      <c r="A942" s="216"/>
      <c r="B942" s="12"/>
      <c r="C942" s="12"/>
      <c r="D942" s="13"/>
      <c r="E942" s="12"/>
      <c r="F942" s="13"/>
      <c r="G942" s="13"/>
      <c r="H942" s="12"/>
      <c r="I942" s="18"/>
      <c r="J942" s="16"/>
      <c r="K942" s="16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6"/>
      <c r="AH942" s="16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216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5"/>
      <c r="BG942" s="15"/>
    </row>
    <row r="943" spans="1:59" ht="15.75" customHeight="1">
      <c r="A943" s="216"/>
      <c r="B943" s="12"/>
      <c r="C943" s="12"/>
      <c r="D943" s="13"/>
      <c r="E943" s="12"/>
      <c r="F943" s="13"/>
      <c r="G943" s="13"/>
      <c r="H943" s="12"/>
      <c r="I943" s="18"/>
      <c r="J943" s="16"/>
      <c r="K943" s="16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6"/>
      <c r="AH943" s="16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216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5"/>
      <c r="BG943" s="15"/>
    </row>
    <row r="944" spans="1:59" ht="15.75" customHeight="1">
      <c r="A944" s="216"/>
      <c r="B944" s="12"/>
      <c r="C944" s="12"/>
      <c r="D944" s="13"/>
      <c r="E944" s="12"/>
      <c r="F944" s="13"/>
      <c r="G944" s="13"/>
      <c r="H944" s="12"/>
      <c r="I944" s="18"/>
      <c r="J944" s="16"/>
      <c r="K944" s="16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6"/>
      <c r="AH944" s="16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216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5"/>
      <c r="BG944" s="15"/>
    </row>
    <row r="945" spans="1:59" ht="15.75" customHeight="1">
      <c r="A945" s="216"/>
      <c r="B945" s="12"/>
      <c r="C945" s="12"/>
      <c r="D945" s="13"/>
      <c r="E945" s="12"/>
      <c r="F945" s="13"/>
      <c r="G945" s="13"/>
      <c r="H945" s="12"/>
      <c r="I945" s="18"/>
      <c r="J945" s="16"/>
      <c r="K945" s="16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6"/>
      <c r="AH945" s="16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216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5"/>
      <c r="BG945" s="15"/>
    </row>
    <row r="946" spans="1:59" ht="15.75" customHeight="1">
      <c r="A946" s="216"/>
      <c r="B946" s="12"/>
      <c r="C946" s="12"/>
      <c r="D946" s="13"/>
      <c r="E946" s="12"/>
      <c r="F946" s="13"/>
      <c r="G946" s="13"/>
      <c r="H946" s="12"/>
      <c r="I946" s="18"/>
      <c r="J946" s="16"/>
      <c r="K946" s="16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6"/>
      <c r="AH946" s="16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216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5"/>
      <c r="BG946" s="15"/>
    </row>
    <row r="947" spans="1:59" ht="15.75" customHeight="1">
      <c r="A947" s="216"/>
      <c r="B947" s="12"/>
      <c r="C947" s="12"/>
      <c r="D947" s="13"/>
      <c r="E947" s="12"/>
      <c r="F947" s="13"/>
      <c r="G947" s="13"/>
      <c r="H947" s="12"/>
      <c r="I947" s="18"/>
      <c r="J947" s="16"/>
      <c r="K947" s="16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6"/>
      <c r="AH947" s="16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216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5"/>
      <c r="BG947" s="15"/>
    </row>
    <row r="948" spans="1:59" ht="15.75" customHeight="1">
      <c r="A948" s="216"/>
      <c r="B948" s="12"/>
      <c r="C948" s="12"/>
      <c r="D948" s="13"/>
      <c r="E948" s="12"/>
      <c r="F948" s="13"/>
      <c r="G948" s="13"/>
      <c r="H948" s="12"/>
      <c r="I948" s="18"/>
      <c r="J948" s="16"/>
      <c r="K948" s="16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6"/>
      <c r="AH948" s="16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216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5"/>
      <c r="BG948" s="15"/>
    </row>
    <row r="949" spans="1:59" ht="15.75" customHeight="1">
      <c r="A949" s="216"/>
      <c r="B949" s="12"/>
      <c r="C949" s="12"/>
      <c r="D949" s="13"/>
      <c r="E949" s="12"/>
      <c r="F949" s="13"/>
      <c r="G949" s="13"/>
      <c r="H949" s="12"/>
      <c r="I949" s="18"/>
      <c r="J949" s="16"/>
      <c r="K949" s="16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6"/>
      <c r="AH949" s="16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216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5"/>
      <c r="BG949" s="15"/>
    </row>
    <row r="950" spans="1:59" ht="15.75" customHeight="1">
      <c r="A950" s="216"/>
      <c r="B950" s="12"/>
      <c r="C950" s="12"/>
      <c r="D950" s="13"/>
      <c r="E950" s="12"/>
      <c r="F950" s="13"/>
      <c r="G950" s="13"/>
      <c r="H950" s="12"/>
      <c r="I950" s="18"/>
      <c r="J950" s="16"/>
      <c r="K950" s="16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6"/>
      <c r="AH950" s="16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216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5"/>
      <c r="BG950" s="15"/>
    </row>
    <row r="951" spans="1:59" ht="15.75" customHeight="1">
      <c r="A951" s="216"/>
      <c r="B951" s="12"/>
      <c r="C951" s="12"/>
      <c r="D951" s="13"/>
      <c r="E951" s="12"/>
      <c r="F951" s="13"/>
      <c r="G951" s="13"/>
      <c r="H951" s="12"/>
      <c r="I951" s="18"/>
      <c r="J951" s="16"/>
      <c r="K951" s="16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6"/>
      <c r="AH951" s="16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216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5"/>
      <c r="BG951" s="15"/>
    </row>
    <row r="952" spans="1:59" ht="15.75" customHeight="1">
      <c r="A952" s="216"/>
      <c r="B952" s="12"/>
      <c r="C952" s="12"/>
      <c r="D952" s="13"/>
      <c r="E952" s="12"/>
      <c r="F952" s="13"/>
      <c r="G952" s="13"/>
      <c r="H952" s="12"/>
      <c r="I952" s="18"/>
      <c r="J952" s="16"/>
      <c r="K952" s="16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6"/>
      <c r="AH952" s="16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216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5"/>
      <c r="BG952" s="15"/>
    </row>
    <row r="953" spans="1:59" ht="15.75" customHeight="1">
      <c r="A953" s="216"/>
      <c r="B953" s="12"/>
      <c r="C953" s="12"/>
      <c r="D953" s="13"/>
      <c r="E953" s="12"/>
      <c r="F953" s="13"/>
      <c r="G953" s="13"/>
      <c r="H953" s="12"/>
      <c r="I953" s="18"/>
      <c r="J953" s="16"/>
      <c r="K953" s="16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6"/>
      <c r="AH953" s="16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216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5"/>
      <c r="BG953" s="15"/>
    </row>
    <row r="954" spans="1:59" ht="15.75" customHeight="1">
      <c r="A954" s="216"/>
      <c r="B954" s="12"/>
      <c r="C954" s="12"/>
      <c r="D954" s="13"/>
      <c r="E954" s="12"/>
      <c r="F954" s="13"/>
      <c r="G954" s="13"/>
      <c r="H954" s="12"/>
      <c r="I954" s="18"/>
      <c r="J954" s="16"/>
      <c r="K954" s="16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6"/>
      <c r="AH954" s="16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216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5"/>
      <c r="BG954" s="15"/>
    </row>
    <row r="955" spans="1:59" ht="15.75" customHeight="1">
      <c r="A955" s="216"/>
      <c r="B955" s="12"/>
      <c r="C955" s="12"/>
      <c r="D955" s="13"/>
      <c r="E955" s="12"/>
      <c r="F955" s="13"/>
      <c r="G955" s="13"/>
      <c r="H955" s="12"/>
      <c r="I955" s="18"/>
      <c r="J955" s="16"/>
      <c r="K955" s="16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6"/>
      <c r="AH955" s="16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216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5"/>
      <c r="BG955" s="15"/>
    </row>
    <row r="956" spans="1:59" ht="15.75" customHeight="1">
      <c r="A956" s="216"/>
      <c r="B956" s="12"/>
      <c r="C956" s="12"/>
      <c r="D956" s="13"/>
      <c r="E956" s="12"/>
      <c r="F956" s="13"/>
      <c r="G956" s="13"/>
      <c r="H956" s="12"/>
      <c r="I956" s="18"/>
      <c r="J956" s="16"/>
      <c r="K956" s="16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6"/>
      <c r="AH956" s="16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216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5"/>
      <c r="BG956" s="15"/>
    </row>
    <row r="957" spans="1:59" ht="15.75" customHeight="1">
      <c r="A957" s="216"/>
      <c r="B957" s="12"/>
      <c r="C957" s="12"/>
      <c r="D957" s="13"/>
      <c r="E957" s="12"/>
      <c r="F957" s="13"/>
      <c r="G957" s="13"/>
      <c r="H957" s="12"/>
      <c r="I957" s="18"/>
      <c r="J957" s="16"/>
      <c r="K957" s="16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6"/>
      <c r="AH957" s="16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216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5"/>
      <c r="BG957" s="15"/>
    </row>
    <row r="958" spans="1:59" ht="15.75" customHeight="1">
      <c r="A958" s="216"/>
      <c r="B958" s="12"/>
      <c r="C958" s="12"/>
      <c r="D958" s="13"/>
      <c r="E958" s="12"/>
      <c r="F958" s="13"/>
      <c r="G958" s="13"/>
      <c r="H958" s="12"/>
      <c r="I958" s="18"/>
      <c r="J958" s="16"/>
      <c r="K958" s="16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6"/>
      <c r="AH958" s="16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216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5"/>
      <c r="BG958" s="15"/>
    </row>
    <row r="959" spans="1:59" ht="15.75" customHeight="1">
      <c r="A959" s="216"/>
      <c r="B959" s="12"/>
      <c r="C959" s="12"/>
      <c r="D959" s="13"/>
      <c r="E959" s="12"/>
      <c r="F959" s="13"/>
      <c r="G959" s="13"/>
      <c r="H959" s="12"/>
      <c r="I959" s="18"/>
      <c r="J959" s="16"/>
      <c r="K959" s="16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6"/>
      <c r="AH959" s="16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216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5"/>
      <c r="BG959" s="15"/>
    </row>
    <row r="960" spans="1:59" ht="15.75" customHeight="1">
      <c r="A960" s="216"/>
      <c r="B960" s="12"/>
      <c r="C960" s="12"/>
      <c r="D960" s="13"/>
      <c r="E960" s="12"/>
      <c r="F960" s="13"/>
      <c r="G960" s="13"/>
      <c r="H960" s="12"/>
      <c r="I960" s="18"/>
      <c r="J960" s="16"/>
      <c r="K960" s="16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6"/>
      <c r="AH960" s="16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216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5"/>
      <c r="BG960" s="15"/>
    </row>
    <row r="961" spans="1:59" ht="15.75" customHeight="1">
      <c r="A961" s="216"/>
      <c r="B961" s="12"/>
      <c r="C961" s="12"/>
      <c r="D961" s="13"/>
      <c r="E961" s="12"/>
      <c r="F961" s="13"/>
      <c r="G961" s="13"/>
      <c r="H961" s="12"/>
      <c r="I961" s="18"/>
      <c r="J961" s="16"/>
      <c r="K961" s="16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6"/>
      <c r="AH961" s="16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216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5"/>
      <c r="BG961" s="15"/>
    </row>
    <row r="962" spans="1:59" ht="15.75" customHeight="1">
      <c r="A962" s="216"/>
      <c r="B962" s="12"/>
      <c r="C962" s="12"/>
      <c r="D962" s="13"/>
      <c r="E962" s="12"/>
      <c r="F962" s="13"/>
      <c r="G962" s="13"/>
      <c r="H962" s="12"/>
      <c r="I962" s="18"/>
      <c r="J962" s="16"/>
      <c r="K962" s="16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6"/>
      <c r="AH962" s="16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216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5"/>
      <c r="BG962" s="15"/>
    </row>
    <row r="963" spans="1:59" ht="15.75" customHeight="1">
      <c r="A963" s="216"/>
      <c r="B963" s="12"/>
      <c r="C963" s="12"/>
      <c r="D963" s="13"/>
      <c r="E963" s="12"/>
      <c r="F963" s="13"/>
      <c r="G963" s="13"/>
      <c r="H963" s="12"/>
      <c r="I963" s="18"/>
      <c r="J963" s="16"/>
      <c r="K963" s="16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6"/>
      <c r="AH963" s="16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216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5"/>
      <c r="BG963" s="15"/>
    </row>
    <row r="964" spans="1:59" ht="15.75" customHeight="1">
      <c r="A964" s="216"/>
      <c r="B964" s="12"/>
      <c r="C964" s="12"/>
      <c r="D964" s="13"/>
      <c r="E964" s="12"/>
      <c r="F964" s="13"/>
      <c r="G964" s="13"/>
      <c r="H964" s="12"/>
      <c r="I964" s="18"/>
      <c r="J964" s="16"/>
      <c r="K964" s="16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6"/>
      <c r="AH964" s="16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216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5"/>
      <c r="BG964" s="15"/>
    </row>
    <row r="965" spans="1:59" ht="15.75" customHeight="1">
      <c r="A965" s="216"/>
      <c r="B965" s="12"/>
      <c r="C965" s="12"/>
      <c r="D965" s="13"/>
      <c r="E965" s="12"/>
      <c r="F965" s="13"/>
      <c r="G965" s="13"/>
      <c r="H965" s="12"/>
      <c r="I965" s="18"/>
      <c r="J965" s="16"/>
      <c r="K965" s="16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6"/>
      <c r="AH965" s="16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216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5"/>
      <c r="BG965" s="15"/>
    </row>
    <row r="966" spans="1:59" ht="15.75" customHeight="1">
      <c r="A966" s="216"/>
      <c r="B966" s="12"/>
      <c r="C966" s="12"/>
      <c r="D966" s="13"/>
      <c r="E966" s="12"/>
      <c r="F966" s="13"/>
      <c r="G966" s="13"/>
      <c r="H966" s="12"/>
      <c r="I966" s="18"/>
      <c r="J966" s="16"/>
      <c r="K966" s="16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6"/>
      <c r="AH966" s="16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216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5"/>
      <c r="BG966" s="15"/>
    </row>
    <row r="967" spans="1:59" ht="15.75" customHeight="1">
      <c r="A967" s="216"/>
      <c r="B967" s="12"/>
      <c r="C967" s="12"/>
      <c r="D967" s="13"/>
      <c r="E967" s="12"/>
      <c r="F967" s="13"/>
      <c r="G967" s="13"/>
      <c r="H967" s="12"/>
      <c r="I967" s="18"/>
      <c r="J967" s="16"/>
      <c r="K967" s="16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6"/>
      <c r="AH967" s="16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216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5"/>
      <c r="BG967" s="15"/>
    </row>
    <row r="968" spans="1:59" ht="15.75" customHeight="1">
      <c r="A968" s="216"/>
      <c r="B968" s="12"/>
      <c r="C968" s="12"/>
      <c r="D968" s="13"/>
      <c r="E968" s="12"/>
      <c r="F968" s="13"/>
      <c r="G968" s="13"/>
      <c r="H968" s="12"/>
      <c r="I968" s="18"/>
      <c r="J968" s="16"/>
      <c r="K968" s="16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6"/>
      <c r="AH968" s="16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216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5"/>
      <c r="BG968" s="15"/>
    </row>
    <row r="969" spans="1:59" ht="15.75" customHeight="1">
      <c r="A969" s="216"/>
      <c r="B969" s="12"/>
      <c r="C969" s="12"/>
      <c r="D969" s="13"/>
      <c r="E969" s="12"/>
      <c r="F969" s="13"/>
      <c r="G969" s="13"/>
      <c r="H969" s="12"/>
      <c r="I969" s="18"/>
      <c r="J969" s="16"/>
      <c r="K969" s="16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6"/>
      <c r="AH969" s="16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216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5"/>
      <c r="BG969" s="15"/>
    </row>
    <row r="970" spans="1:59" ht="15.75" customHeight="1">
      <c r="A970" s="216"/>
      <c r="B970" s="12"/>
      <c r="C970" s="12"/>
      <c r="D970" s="13"/>
      <c r="E970" s="12"/>
      <c r="F970" s="13"/>
      <c r="G970" s="13"/>
      <c r="H970" s="12"/>
      <c r="I970" s="18"/>
      <c r="J970" s="16"/>
      <c r="K970" s="16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6"/>
      <c r="AH970" s="16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216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5"/>
      <c r="BG970" s="15"/>
    </row>
    <row r="971" spans="1:59" ht="15.75" customHeight="1">
      <c r="A971" s="216"/>
      <c r="B971" s="12"/>
      <c r="C971" s="12"/>
      <c r="D971" s="13"/>
      <c r="E971" s="12"/>
      <c r="F971" s="13"/>
      <c r="G971" s="13"/>
      <c r="H971" s="12"/>
      <c r="I971" s="18"/>
      <c r="J971" s="16"/>
      <c r="K971" s="16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6"/>
      <c r="AH971" s="16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216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5"/>
      <c r="BG971" s="15"/>
    </row>
    <row r="972" spans="1:59" ht="15.75" customHeight="1">
      <c r="A972" s="216"/>
      <c r="B972" s="12"/>
      <c r="C972" s="12"/>
      <c r="D972" s="13"/>
      <c r="E972" s="12"/>
      <c r="F972" s="13"/>
      <c r="G972" s="13"/>
      <c r="H972" s="12"/>
      <c r="I972" s="18"/>
      <c r="J972" s="16"/>
      <c r="K972" s="16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6"/>
      <c r="AH972" s="16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216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5"/>
      <c r="BG972" s="15"/>
    </row>
    <row r="973" spans="1:59" ht="15.75" customHeight="1">
      <c r="A973" s="216"/>
      <c r="B973" s="12"/>
      <c r="C973" s="12"/>
      <c r="D973" s="13"/>
      <c r="E973" s="12"/>
      <c r="F973" s="13"/>
      <c r="G973" s="13"/>
      <c r="H973" s="12"/>
      <c r="I973" s="18"/>
      <c r="J973" s="16"/>
      <c r="K973" s="16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6"/>
      <c r="AH973" s="16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216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5"/>
      <c r="BG973" s="15"/>
    </row>
    <row r="974" spans="1:59" ht="15.75" customHeight="1">
      <c r="A974" s="216"/>
      <c r="B974" s="12"/>
      <c r="C974" s="12"/>
      <c r="D974" s="13"/>
      <c r="E974" s="12"/>
      <c r="F974" s="13"/>
      <c r="G974" s="13"/>
      <c r="H974" s="12"/>
      <c r="I974" s="18"/>
      <c r="J974" s="16"/>
      <c r="K974" s="16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6"/>
      <c r="AH974" s="16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216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5"/>
      <c r="BG974" s="15"/>
    </row>
    <row r="975" spans="1:59" ht="15.75" customHeight="1">
      <c r="A975" s="216"/>
      <c r="B975" s="12"/>
      <c r="C975" s="12"/>
      <c r="D975" s="13"/>
      <c r="E975" s="12"/>
      <c r="F975" s="13"/>
      <c r="G975" s="13"/>
      <c r="H975" s="12"/>
      <c r="I975" s="18"/>
      <c r="J975" s="16"/>
      <c r="K975" s="16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6"/>
      <c r="AH975" s="16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216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5"/>
      <c r="BG975" s="15"/>
    </row>
    <row r="976" spans="1:59" ht="15.75" customHeight="1">
      <c r="A976" s="216"/>
      <c r="B976" s="12"/>
      <c r="C976" s="12"/>
      <c r="D976" s="13"/>
      <c r="E976" s="12"/>
      <c r="F976" s="13"/>
      <c r="G976" s="13"/>
      <c r="H976" s="12"/>
      <c r="I976" s="18"/>
      <c r="J976" s="16"/>
      <c r="K976" s="16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6"/>
      <c r="AH976" s="16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216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5"/>
      <c r="BG976" s="15"/>
    </row>
    <row r="977" spans="1:59" ht="15.75" customHeight="1">
      <c r="A977" s="216"/>
      <c r="B977" s="12"/>
      <c r="C977" s="12"/>
      <c r="D977" s="13"/>
      <c r="E977" s="12"/>
      <c r="F977" s="13"/>
      <c r="G977" s="13"/>
      <c r="H977" s="12"/>
      <c r="I977" s="18"/>
      <c r="J977" s="16"/>
      <c r="K977" s="16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6"/>
      <c r="AH977" s="16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216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5"/>
      <c r="BG977" s="15"/>
    </row>
    <row r="978" spans="1:59" ht="15.75" customHeight="1">
      <c r="A978" s="216"/>
      <c r="B978" s="12"/>
      <c r="C978" s="12"/>
      <c r="D978" s="13"/>
      <c r="E978" s="12"/>
      <c r="F978" s="13"/>
      <c r="G978" s="13"/>
      <c r="H978" s="12"/>
      <c r="I978" s="18"/>
      <c r="J978" s="16"/>
      <c r="K978" s="16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6"/>
      <c r="AH978" s="16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216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5"/>
      <c r="BG978" s="15"/>
    </row>
    <row r="979" spans="1:59" ht="15.75" customHeight="1">
      <c r="A979" s="216"/>
      <c r="B979" s="12"/>
      <c r="C979" s="12"/>
      <c r="D979" s="13"/>
      <c r="E979" s="12"/>
      <c r="F979" s="13"/>
      <c r="G979" s="13"/>
      <c r="H979" s="12"/>
      <c r="I979" s="18"/>
      <c r="J979" s="16"/>
      <c r="K979" s="16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6"/>
      <c r="AH979" s="16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216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5"/>
      <c r="BG979" s="15"/>
    </row>
    <row r="980" spans="1:59" ht="15.75" customHeight="1">
      <c r="A980" s="216"/>
      <c r="B980" s="12"/>
      <c r="C980" s="12"/>
      <c r="D980" s="13"/>
      <c r="E980" s="12"/>
      <c r="F980" s="13"/>
      <c r="G980" s="13"/>
      <c r="H980" s="12"/>
      <c r="I980" s="18"/>
      <c r="J980" s="16"/>
      <c r="K980" s="16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6"/>
      <c r="AH980" s="16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216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5"/>
      <c r="BG980" s="15"/>
    </row>
    <row r="981" spans="1:59" ht="15.75" customHeight="1">
      <c r="A981" s="216"/>
      <c r="B981" s="12"/>
      <c r="C981" s="12"/>
      <c r="D981" s="13"/>
      <c r="E981" s="12"/>
      <c r="F981" s="13"/>
      <c r="G981" s="13"/>
      <c r="H981" s="12"/>
      <c r="I981" s="18"/>
      <c r="J981" s="16"/>
      <c r="K981" s="16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6"/>
      <c r="AH981" s="16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216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5"/>
      <c r="BG981" s="15"/>
    </row>
    <row r="982" spans="1:59" ht="15.75" customHeight="1">
      <c r="A982" s="216"/>
      <c r="B982" s="12"/>
      <c r="C982" s="12"/>
      <c r="D982" s="13"/>
      <c r="E982" s="12"/>
      <c r="F982" s="13"/>
      <c r="G982" s="13"/>
      <c r="H982" s="12"/>
      <c r="I982" s="18"/>
      <c r="J982" s="16"/>
      <c r="K982" s="16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6"/>
      <c r="AH982" s="16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216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5"/>
      <c r="BG982" s="15"/>
    </row>
    <row r="983" spans="1:59" ht="15.75" customHeight="1">
      <c r="A983" s="216"/>
      <c r="B983" s="12"/>
      <c r="C983" s="12"/>
      <c r="D983" s="13"/>
      <c r="E983" s="12"/>
      <c r="F983" s="13"/>
      <c r="G983" s="13"/>
      <c r="H983" s="12"/>
      <c r="I983" s="18"/>
      <c r="J983" s="16"/>
      <c r="K983" s="16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6"/>
      <c r="AH983" s="16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216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5"/>
      <c r="BG983" s="15"/>
    </row>
    <row r="984" spans="1:59" ht="15.75" customHeight="1">
      <c r="A984" s="216"/>
      <c r="B984" s="12"/>
      <c r="C984" s="12"/>
      <c r="D984" s="13"/>
      <c r="E984" s="12"/>
      <c r="F984" s="13"/>
      <c r="G984" s="13"/>
      <c r="H984" s="12"/>
      <c r="I984" s="18"/>
      <c r="J984" s="16"/>
      <c r="K984" s="16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6"/>
      <c r="AH984" s="16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216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5"/>
      <c r="BG984" s="15"/>
    </row>
    <row r="985" spans="1:59" ht="15.75" customHeight="1">
      <c r="A985" s="216"/>
      <c r="B985" s="12"/>
      <c r="C985" s="12"/>
      <c r="D985" s="13"/>
      <c r="E985" s="12"/>
      <c r="F985" s="13"/>
      <c r="G985" s="13"/>
      <c r="H985" s="12"/>
      <c r="I985" s="18"/>
      <c r="J985" s="16"/>
      <c r="K985" s="16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6"/>
      <c r="AH985" s="16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216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5"/>
      <c r="BG985" s="15"/>
    </row>
    <row r="986" spans="1:59" ht="15.75" customHeight="1">
      <c r="A986" s="216"/>
      <c r="B986" s="12"/>
      <c r="C986" s="12"/>
      <c r="D986" s="13"/>
      <c r="E986" s="12"/>
      <c r="F986" s="13"/>
      <c r="G986" s="13"/>
      <c r="H986" s="12"/>
      <c r="I986" s="18"/>
      <c r="J986" s="16"/>
      <c r="K986" s="16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6"/>
      <c r="AH986" s="16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216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5"/>
      <c r="BG986" s="15"/>
    </row>
    <row r="987" spans="1:59" ht="15.75" customHeight="1">
      <c r="A987" s="216"/>
      <c r="B987" s="12"/>
      <c r="C987" s="12"/>
      <c r="D987" s="13"/>
      <c r="E987" s="12"/>
      <c r="F987" s="13"/>
      <c r="G987" s="13"/>
      <c r="H987" s="12"/>
      <c r="I987" s="18"/>
      <c r="J987" s="16"/>
      <c r="K987" s="16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6"/>
      <c r="AH987" s="16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216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5"/>
      <c r="BG987" s="15"/>
    </row>
    <row r="988" spans="1:59" ht="15.75" customHeight="1">
      <c r="A988" s="216"/>
      <c r="B988" s="12"/>
      <c r="C988" s="12"/>
      <c r="D988" s="13"/>
      <c r="E988" s="12"/>
      <c r="F988" s="13"/>
      <c r="G988" s="13"/>
      <c r="H988" s="12"/>
      <c r="I988" s="18"/>
      <c r="J988" s="16"/>
      <c r="K988" s="16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6"/>
      <c r="AH988" s="16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216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5"/>
      <c r="BG988" s="15"/>
    </row>
    <row r="989" spans="1:59" ht="15.75" customHeight="1">
      <c r="A989" s="216"/>
      <c r="B989" s="12"/>
      <c r="C989" s="12"/>
      <c r="D989" s="13"/>
      <c r="E989" s="12"/>
      <c r="F989" s="13"/>
      <c r="G989" s="13"/>
      <c r="H989" s="12"/>
      <c r="I989" s="18"/>
      <c r="J989" s="16"/>
      <c r="K989" s="16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6"/>
      <c r="AH989" s="16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216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5"/>
      <c r="BG989" s="15"/>
    </row>
    <row r="990" spans="1:59" ht="15.75" customHeight="1">
      <c r="A990" s="216"/>
      <c r="B990" s="12"/>
      <c r="C990" s="12"/>
      <c r="D990" s="13"/>
      <c r="E990" s="12"/>
      <c r="F990" s="13"/>
      <c r="G990" s="13"/>
      <c r="H990" s="12"/>
      <c r="I990" s="18"/>
      <c r="J990" s="16"/>
      <c r="K990" s="16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6"/>
      <c r="AH990" s="16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216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5"/>
      <c r="BG990" s="15"/>
    </row>
    <row r="991" spans="1:59" ht="15.75" customHeight="1">
      <c r="A991" s="216"/>
      <c r="B991" s="12"/>
      <c r="C991" s="12"/>
      <c r="D991" s="13"/>
      <c r="E991" s="12"/>
      <c r="F991" s="13"/>
      <c r="G991" s="13"/>
      <c r="H991" s="12"/>
      <c r="I991" s="18"/>
      <c r="J991" s="16"/>
      <c r="K991" s="16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6"/>
      <c r="AH991" s="16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216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5"/>
      <c r="BG991" s="15"/>
    </row>
    <row r="992" spans="1:59" ht="15.75" customHeight="1">
      <c r="A992" s="216"/>
      <c r="B992" s="12"/>
      <c r="C992" s="12"/>
      <c r="D992" s="13"/>
      <c r="E992" s="12"/>
      <c r="F992" s="13"/>
      <c r="G992" s="13"/>
      <c r="H992" s="12"/>
      <c r="I992" s="18"/>
      <c r="J992" s="16"/>
      <c r="K992" s="16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6"/>
      <c r="AH992" s="16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216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5"/>
      <c r="BG992" s="15"/>
    </row>
    <row r="993" spans="1:59" ht="15.75" customHeight="1">
      <c r="A993" s="216"/>
      <c r="B993" s="12"/>
      <c r="C993" s="12"/>
      <c r="D993" s="13"/>
      <c r="E993" s="12"/>
      <c r="F993" s="13"/>
      <c r="G993" s="13"/>
      <c r="H993" s="12"/>
      <c r="I993" s="18"/>
      <c r="J993" s="16"/>
      <c r="K993" s="16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6"/>
      <c r="AH993" s="16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216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5"/>
      <c r="BG993" s="15"/>
    </row>
    <row r="994" spans="1:59" ht="15.75" customHeight="1">
      <c r="A994" s="216"/>
      <c r="B994" s="12"/>
      <c r="C994" s="12"/>
      <c r="D994" s="13"/>
      <c r="E994" s="12"/>
      <c r="F994" s="13"/>
      <c r="G994" s="13"/>
      <c r="H994" s="12"/>
      <c r="I994" s="18"/>
      <c r="J994" s="16"/>
      <c r="K994" s="16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6"/>
      <c r="AH994" s="16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216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5"/>
      <c r="BG994" s="15"/>
    </row>
    <row r="995" spans="1:59" ht="15.75" customHeight="1">
      <c r="A995" s="216"/>
      <c r="B995" s="12"/>
      <c r="C995" s="12"/>
      <c r="D995" s="13"/>
      <c r="E995" s="12"/>
      <c r="F995" s="13"/>
      <c r="G995" s="13"/>
      <c r="H995" s="12"/>
      <c r="I995" s="18"/>
      <c r="J995" s="16"/>
      <c r="K995" s="16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6"/>
      <c r="AH995" s="16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216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5"/>
      <c r="BG995" s="15"/>
    </row>
    <row r="996" spans="1:59" ht="15.75" customHeight="1">
      <c r="A996" s="216"/>
      <c r="B996" s="12"/>
      <c r="C996" s="12"/>
      <c r="D996" s="13"/>
      <c r="E996" s="12"/>
      <c r="F996" s="13"/>
      <c r="G996" s="13"/>
      <c r="H996" s="12"/>
      <c r="I996" s="18"/>
      <c r="J996" s="16"/>
      <c r="K996" s="16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6"/>
      <c r="AH996" s="16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216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5"/>
      <c r="BG996" s="15"/>
    </row>
    <row r="997" spans="1:59" ht="15.75" customHeight="1">
      <c r="A997" s="216"/>
      <c r="B997" s="12"/>
      <c r="C997" s="12"/>
      <c r="D997" s="13"/>
      <c r="E997" s="12"/>
      <c r="F997" s="13"/>
      <c r="G997" s="13"/>
      <c r="H997" s="12"/>
      <c r="I997" s="18"/>
      <c r="J997" s="16"/>
      <c r="K997" s="16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6"/>
      <c r="AH997" s="16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216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5"/>
      <c r="BG997" s="15"/>
    </row>
    <row r="998" spans="1:59" ht="15.75" customHeight="1">
      <c r="A998" s="216"/>
      <c r="B998" s="12"/>
      <c r="C998" s="12"/>
      <c r="D998" s="13"/>
      <c r="E998" s="12"/>
      <c r="F998" s="13"/>
      <c r="G998" s="13"/>
      <c r="H998" s="12"/>
      <c r="I998" s="18"/>
      <c r="J998" s="16"/>
      <c r="K998" s="16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6"/>
      <c r="AH998" s="16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216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5"/>
      <c r="BG998" s="15"/>
    </row>
    <row r="999" spans="1:59" ht="15.75" customHeight="1">
      <c r="A999" s="216"/>
      <c r="B999" s="12"/>
      <c r="C999" s="12"/>
      <c r="D999" s="13"/>
      <c r="E999" s="12"/>
      <c r="F999" s="13"/>
      <c r="G999" s="13"/>
      <c r="H999" s="12"/>
      <c r="I999" s="18"/>
      <c r="J999" s="16"/>
      <c r="K999" s="16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6"/>
      <c r="AH999" s="16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216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5"/>
      <c r="BG999" s="15"/>
    </row>
    <row r="1000" spans="1:59" ht="15.75" customHeight="1">
      <c r="A1000" s="216"/>
      <c r="B1000" s="12"/>
      <c r="C1000" s="12"/>
      <c r="D1000" s="13"/>
      <c r="E1000" s="12"/>
      <c r="F1000" s="13"/>
      <c r="G1000" s="13"/>
      <c r="H1000" s="12"/>
      <c r="I1000" s="18"/>
      <c r="J1000" s="16"/>
      <c r="K1000" s="16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6"/>
      <c r="AH1000" s="16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216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5"/>
      <c r="BG1000" s="15"/>
    </row>
    <row r="1001" spans="1:59" ht="15.75" customHeight="1">
      <c r="A1001" s="216"/>
      <c r="B1001" s="12"/>
      <c r="C1001" s="12"/>
      <c r="D1001" s="13"/>
      <c r="E1001" s="12"/>
      <c r="F1001" s="13"/>
      <c r="G1001" s="13"/>
      <c r="H1001" s="12"/>
      <c r="I1001" s="18"/>
      <c r="J1001" s="16"/>
      <c r="K1001" s="16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6"/>
      <c r="AH1001" s="16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216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5"/>
      <c r="BG1001" s="15"/>
    </row>
    <row r="1002" spans="1:59" ht="15.75" customHeight="1">
      <c r="A1002" s="216"/>
      <c r="B1002" s="12"/>
      <c r="C1002" s="12"/>
      <c r="D1002" s="13"/>
      <c r="E1002" s="12"/>
      <c r="F1002" s="13"/>
      <c r="G1002" s="13"/>
      <c r="H1002" s="12"/>
      <c r="I1002" s="18"/>
      <c r="J1002" s="16"/>
      <c r="K1002" s="16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6"/>
      <c r="AH1002" s="16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216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5"/>
      <c r="BG1002" s="15"/>
    </row>
    <row r="1003" spans="1:59" ht="15.75" customHeight="1">
      <c r="A1003" s="216"/>
      <c r="B1003" s="12"/>
      <c r="C1003" s="12"/>
      <c r="D1003" s="13"/>
      <c r="E1003" s="12"/>
      <c r="F1003" s="13"/>
      <c r="G1003" s="13"/>
      <c r="H1003" s="12"/>
      <c r="I1003" s="18"/>
      <c r="J1003" s="16"/>
      <c r="K1003" s="16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6"/>
      <c r="AH1003" s="16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216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5"/>
      <c r="BG1003" s="15"/>
    </row>
    <row r="1004" spans="1:59" ht="15.75" customHeight="1">
      <c r="A1004" s="216"/>
      <c r="B1004" s="12"/>
      <c r="C1004" s="12"/>
      <c r="D1004" s="13"/>
      <c r="E1004" s="12"/>
      <c r="F1004" s="13"/>
      <c r="G1004" s="13"/>
      <c r="H1004" s="12"/>
      <c r="I1004" s="18"/>
      <c r="J1004" s="16"/>
      <c r="K1004" s="16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6"/>
      <c r="AH1004" s="16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216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5"/>
      <c r="BG1004" s="15"/>
    </row>
    <row r="1005" spans="1:59" ht="15.75" customHeight="1">
      <c r="A1005" s="216"/>
      <c r="B1005" s="12"/>
      <c r="C1005" s="12"/>
      <c r="D1005" s="13"/>
      <c r="E1005" s="12"/>
      <c r="F1005" s="13"/>
      <c r="G1005" s="13"/>
      <c r="H1005" s="12"/>
      <c r="I1005" s="18"/>
      <c r="J1005" s="16"/>
      <c r="K1005" s="16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6"/>
      <c r="AH1005" s="16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216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5"/>
      <c r="BG1005" s="15"/>
    </row>
    <row r="1006" spans="1:59" ht="15.75" customHeight="1">
      <c r="A1006" s="216"/>
      <c r="B1006" s="12"/>
      <c r="C1006" s="12"/>
      <c r="D1006" s="13"/>
      <c r="E1006" s="12"/>
      <c r="F1006" s="13"/>
      <c r="G1006" s="13"/>
      <c r="H1006" s="12"/>
      <c r="I1006" s="18"/>
      <c r="J1006" s="16"/>
      <c r="K1006" s="16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6"/>
      <c r="AH1006" s="16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216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5"/>
      <c r="BG1006" s="15"/>
    </row>
    <row r="1007" spans="1:59" ht="15.75" customHeight="1">
      <c r="A1007" s="216"/>
      <c r="B1007" s="12"/>
      <c r="C1007" s="12"/>
      <c r="D1007" s="13"/>
      <c r="E1007" s="12"/>
      <c r="F1007" s="13"/>
      <c r="G1007" s="13"/>
      <c r="H1007" s="12"/>
      <c r="I1007" s="18"/>
      <c r="J1007" s="16"/>
      <c r="K1007" s="16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6"/>
      <c r="AH1007" s="16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216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5"/>
      <c r="BG1007" s="15"/>
    </row>
    <row r="1008" spans="1:59" ht="15.75" customHeight="1">
      <c r="A1008" s="216"/>
      <c r="B1008" s="12"/>
      <c r="C1008" s="12"/>
      <c r="D1008" s="13"/>
      <c r="E1008" s="12"/>
      <c r="F1008" s="13"/>
      <c r="G1008" s="13"/>
      <c r="H1008" s="12"/>
      <c r="I1008" s="18"/>
      <c r="J1008" s="16"/>
      <c r="K1008" s="16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6"/>
      <c r="AH1008" s="16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216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5"/>
      <c r="BG1008" s="15"/>
    </row>
    <row r="1009" spans="1:59" ht="15.75" customHeight="1">
      <c r="A1009" s="216"/>
      <c r="B1009" s="12"/>
      <c r="C1009" s="12"/>
      <c r="D1009" s="13"/>
      <c r="E1009" s="12"/>
      <c r="F1009" s="13"/>
      <c r="G1009" s="13"/>
      <c r="H1009" s="12"/>
      <c r="I1009" s="18"/>
      <c r="J1009" s="16"/>
      <c r="K1009" s="16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6"/>
      <c r="AH1009" s="16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216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5"/>
      <c r="BG1009" s="15"/>
    </row>
    <row r="1010" spans="1:59" ht="15.75" customHeight="1">
      <c r="A1010" s="216"/>
      <c r="B1010" s="12"/>
      <c r="C1010" s="12"/>
      <c r="D1010" s="13"/>
      <c r="E1010" s="12"/>
      <c r="F1010" s="13"/>
      <c r="G1010" s="13"/>
      <c r="H1010" s="12"/>
      <c r="I1010" s="18"/>
      <c r="J1010" s="16"/>
      <c r="K1010" s="16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6"/>
      <c r="AH1010" s="16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216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5"/>
      <c r="BG1010" s="15"/>
    </row>
    <row r="1011" spans="1:59" ht="15.75" customHeight="1">
      <c r="A1011" s="216"/>
      <c r="B1011" s="12"/>
      <c r="C1011" s="12"/>
      <c r="D1011" s="13"/>
      <c r="E1011" s="12"/>
      <c r="F1011" s="13"/>
      <c r="G1011" s="13"/>
      <c r="H1011" s="12"/>
      <c r="I1011" s="18"/>
      <c r="J1011" s="16"/>
      <c r="K1011" s="16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6"/>
      <c r="AH1011" s="16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216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5"/>
      <c r="BG1011" s="15"/>
    </row>
    <row r="1012" spans="1:59" ht="15.75" customHeight="1">
      <c r="A1012" s="216"/>
      <c r="B1012" s="12"/>
      <c r="C1012" s="12"/>
      <c r="D1012" s="13"/>
      <c r="E1012" s="12"/>
      <c r="F1012" s="13"/>
      <c r="G1012" s="13"/>
      <c r="H1012" s="12"/>
      <c r="I1012" s="18"/>
      <c r="J1012" s="16"/>
      <c r="K1012" s="16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6"/>
      <c r="AH1012" s="16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216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5"/>
      <c r="BG1012" s="15"/>
    </row>
    <row r="1013" spans="1:59" ht="15.75" customHeight="1">
      <c r="A1013" s="216"/>
      <c r="B1013" s="12"/>
      <c r="C1013" s="12"/>
      <c r="D1013" s="13"/>
      <c r="E1013" s="12"/>
      <c r="F1013" s="13"/>
      <c r="G1013" s="13"/>
      <c r="H1013" s="12"/>
      <c r="I1013" s="18"/>
      <c r="J1013" s="16"/>
      <c r="K1013" s="16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6"/>
      <c r="AH1013" s="16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216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5"/>
      <c r="BG1013" s="15"/>
    </row>
    <row r="1014" spans="1:59" ht="15.75" customHeight="1">
      <c r="A1014" s="216"/>
      <c r="B1014" s="12"/>
      <c r="C1014" s="12"/>
      <c r="D1014" s="13"/>
      <c r="E1014" s="12"/>
      <c r="F1014" s="13"/>
      <c r="G1014" s="13"/>
      <c r="H1014" s="12"/>
      <c r="I1014" s="18"/>
      <c r="J1014" s="16"/>
      <c r="K1014" s="16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6"/>
      <c r="AH1014" s="16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216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8"/>
      <c r="BE1014" s="18"/>
      <c r="BF1014" s="15"/>
      <c r="BG1014" s="15"/>
    </row>
    <row r="1015" spans="1:59" ht="15.75" customHeight="1">
      <c r="A1015" s="216"/>
      <c r="B1015" s="12"/>
      <c r="C1015" s="12"/>
      <c r="D1015" s="13"/>
      <c r="E1015" s="12"/>
      <c r="F1015" s="13"/>
      <c r="G1015" s="13"/>
      <c r="H1015" s="12"/>
      <c r="I1015" s="18"/>
      <c r="J1015" s="16"/>
      <c r="K1015" s="16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6"/>
      <c r="AH1015" s="16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216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5"/>
      <c r="BG1015" s="15"/>
    </row>
    <row r="1016" spans="1:59" ht="15.75" customHeight="1">
      <c r="A1016" s="216"/>
      <c r="B1016" s="12"/>
      <c r="C1016" s="12"/>
      <c r="D1016" s="13"/>
      <c r="E1016" s="12"/>
      <c r="F1016" s="13"/>
      <c r="G1016" s="13"/>
      <c r="H1016" s="12"/>
      <c r="I1016" s="18"/>
      <c r="J1016" s="16"/>
      <c r="K1016" s="16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6"/>
      <c r="AH1016" s="16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216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5"/>
      <c r="BG1016" s="15"/>
    </row>
    <row r="1017" spans="1:59" ht="15.75" customHeight="1">
      <c r="A1017" s="216"/>
      <c r="B1017" s="12"/>
      <c r="C1017" s="12"/>
      <c r="D1017" s="13"/>
      <c r="E1017" s="12"/>
      <c r="F1017" s="13"/>
      <c r="G1017" s="13"/>
      <c r="H1017" s="12"/>
      <c r="I1017" s="18"/>
      <c r="J1017" s="16"/>
      <c r="K1017" s="16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6"/>
      <c r="AH1017" s="16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216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5"/>
      <c r="BG1017" s="15"/>
    </row>
    <row r="1018" spans="1:59" ht="15.75" customHeight="1">
      <c r="A1018" s="216"/>
      <c r="B1018" s="12"/>
      <c r="C1018" s="12"/>
      <c r="D1018" s="13"/>
      <c r="E1018" s="12"/>
      <c r="F1018" s="13"/>
      <c r="G1018" s="13"/>
      <c r="H1018" s="12"/>
      <c r="I1018" s="18"/>
      <c r="J1018" s="16"/>
      <c r="K1018" s="16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6"/>
      <c r="AH1018" s="16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216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5"/>
      <c r="BG1018" s="15"/>
    </row>
    <row r="1019" spans="1:59" ht="15.75" customHeight="1">
      <c r="A1019" s="216"/>
      <c r="B1019" s="12"/>
      <c r="C1019" s="12"/>
      <c r="D1019" s="13"/>
      <c r="E1019" s="12"/>
      <c r="F1019" s="13"/>
      <c r="G1019" s="13"/>
      <c r="H1019" s="12"/>
      <c r="I1019" s="18"/>
      <c r="J1019" s="16"/>
      <c r="K1019" s="16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6"/>
      <c r="AH1019" s="16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216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5"/>
      <c r="BG1019" s="15"/>
    </row>
    <row r="1020" spans="1:59" ht="15.75" customHeight="1">
      <c r="A1020" s="216"/>
      <c r="B1020" s="12"/>
      <c r="C1020" s="12"/>
      <c r="D1020" s="13"/>
      <c r="E1020" s="12"/>
      <c r="F1020" s="13"/>
      <c r="G1020" s="13"/>
      <c r="H1020" s="12"/>
      <c r="I1020" s="18"/>
      <c r="J1020" s="16"/>
      <c r="K1020" s="16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6"/>
      <c r="AH1020" s="16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216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8"/>
      <c r="BE1020" s="18"/>
      <c r="BF1020" s="15"/>
      <c r="BG1020" s="15"/>
    </row>
    <row r="1021" spans="1:59" ht="15.75" customHeight="1">
      <c r="A1021" s="216"/>
      <c r="B1021" s="12"/>
      <c r="C1021" s="12"/>
      <c r="D1021" s="13"/>
      <c r="E1021" s="12"/>
      <c r="F1021" s="13"/>
      <c r="G1021" s="13"/>
      <c r="H1021" s="12"/>
      <c r="I1021" s="18"/>
      <c r="J1021" s="16"/>
      <c r="K1021" s="16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6"/>
      <c r="AH1021" s="16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216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5"/>
      <c r="BG1021" s="15"/>
    </row>
    <row r="1022" spans="1:59" ht="15.75" customHeight="1">
      <c r="A1022" s="216"/>
      <c r="B1022" s="12"/>
      <c r="C1022" s="12"/>
      <c r="D1022" s="13"/>
      <c r="E1022" s="12"/>
      <c r="F1022" s="13"/>
      <c r="G1022" s="13"/>
      <c r="H1022" s="12"/>
      <c r="I1022" s="18"/>
      <c r="J1022" s="16"/>
      <c r="K1022" s="16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6"/>
      <c r="AH1022" s="16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216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8"/>
      <c r="BE1022" s="18"/>
      <c r="BF1022" s="15"/>
      <c r="BG1022" s="15"/>
    </row>
    <row r="1023" spans="1:59" ht="15.75" customHeight="1">
      <c r="A1023" s="216"/>
      <c r="B1023" s="12"/>
      <c r="C1023" s="12"/>
      <c r="D1023" s="13"/>
      <c r="E1023" s="12"/>
      <c r="F1023" s="13"/>
      <c r="G1023" s="13"/>
      <c r="H1023" s="12"/>
      <c r="I1023" s="18"/>
      <c r="J1023" s="16"/>
      <c r="K1023" s="16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6"/>
      <c r="AH1023" s="16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216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5"/>
      <c r="BG1023" s="15"/>
    </row>
    <row r="1024" spans="1:59" ht="15.75" customHeight="1">
      <c r="A1024" s="216"/>
      <c r="B1024" s="12"/>
      <c r="C1024" s="12"/>
      <c r="D1024" s="13"/>
      <c r="E1024" s="12"/>
      <c r="F1024" s="13"/>
      <c r="G1024" s="13"/>
      <c r="H1024" s="12"/>
      <c r="I1024" s="18"/>
      <c r="J1024" s="16"/>
      <c r="K1024" s="16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6"/>
      <c r="AH1024" s="16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216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8"/>
      <c r="BE1024" s="18"/>
      <c r="BF1024" s="15"/>
      <c r="BG1024" s="15"/>
    </row>
    <row r="1025" spans="1:59" ht="15.75" customHeight="1">
      <c r="A1025" s="216"/>
      <c r="B1025" s="12"/>
      <c r="C1025" s="12"/>
      <c r="D1025" s="13"/>
      <c r="E1025" s="12"/>
      <c r="F1025" s="13"/>
      <c r="G1025" s="13"/>
      <c r="H1025" s="12"/>
      <c r="I1025" s="18"/>
      <c r="J1025" s="16"/>
      <c r="K1025" s="16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6"/>
      <c r="AH1025" s="16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216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5"/>
      <c r="BG1025" s="15"/>
    </row>
    <row r="1026" spans="1:59" ht="15.75" customHeight="1">
      <c r="A1026" s="216"/>
      <c r="B1026" s="12"/>
      <c r="C1026" s="12"/>
      <c r="D1026" s="13"/>
      <c r="E1026" s="12"/>
      <c r="F1026" s="13"/>
      <c r="G1026" s="13"/>
      <c r="H1026" s="12"/>
      <c r="I1026" s="18"/>
      <c r="J1026" s="16"/>
      <c r="K1026" s="16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6"/>
      <c r="AH1026" s="16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216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8"/>
      <c r="BE1026" s="18"/>
      <c r="BF1026" s="15"/>
      <c r="BG1026" s="15"/>
    </row>
    <row r="1027" spans="1:59" ht="15.75" customHeight="1">
      <c r="A1027" s="216"/>
      <c r="B1027" s="12"/>
      <c r="C1027" s="12"/>
      <c r="D1027" s="13"/>
      <c r="E1027" s="12"/>
      <c r="F1027" s="13"/>
      <c r="G1027" s="13"/>
      <c r="H1027" s="12"/>
      <c r="I1027" s="18"/>
      <c r="J1027" s="16"/>
      <c r="K1027" s="16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6"/>
      <c r="AH1027" s="16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216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8"/>
      <c r="BE1027" s="18"/>
      <c r="BF1027" s="15"/>
      <c r="BG1027" s="15"/>
    </row>
    <row r="1028" spans="1:59" ht="15.75" customHeight="1">
      <c r="A1028" s="216"/>
      <c r="B1028" s="12"/>
      <c r="C1028" s="12"/>
      <c r="D1028" s="13"/>
      <c r="E1028" s="12"/>
      <c r="F1028" s="13"/>
      <c r="G1028" s="13"/>
      <c r="H1028" s="12"/>
      <c r="I1028" s="18"/>
      <c r="J1028" s="16"/>
      <c r="K1028" s="16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6"/>
      <c r="AH1028" s="16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216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8"/>
      <c r="BE1028" s="18"/>
      <c r="BF1028" s="15"/>
      <c r="BG1028" s="15"/>
    </row>
    <row r="1029" spans="1:59" ht="15.75" customHeight="1">
      <c r="A1029" s="216"/>
      <c r="B1029" s="12"/>
      <c r="C1029" s="12"/>
      <c r="D1029" s="13"/>
      <c r="E1029" s="12"/>
      <c r="F1029" s="13"/>
      <c r="G1029" s="13"/>
      <c r="H1029" s="12"/>
      <c r="I1029" s="18"/>
      <c r="J1029" s="16"/>
      <c r="K1029" s="16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6"/>
      <c r="AH1029" s="16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216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8"/>
      <c r="BE1029" s="18"/>
      <c r="BF1029" s="15"/>
      <c r="BG1029" s="15"/>
    </row>
    <row r="1030" spans="1:59" ht="15.75" customHeight="1">
      <c r="A1030" s="216"/>
      <c r="B1030" s="12"/>
      <c r="C1030" s="12"/>
      <c r="D1030" s="13"/>
      <c r="E1030" s="12"/>
      <c r="F1030" s="13"/>
      <c r="G1030" s="13"/>
      <c r="H1030" s="12"/>
      <c r="I1030" s="18"/>
      <c r="J1030" s="16"/>
      <c r="K1030" s="16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6"/>
      <c r="AH1030" s="16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216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8"/>
      <c r="BE1030" s="18"/>
      <c r="BF1030" s="15"/>
      <c r="BG1030" s="15"/>
    </row>
    <row r="1031" spans="1:59" ht="15.75" customHeight="1">
      <c r="A1031" s="216"/>
      <c r="B1031" s="12"/>
      <c r="C1031" s="12"/>
      <c r="D1031" s="13"/>
      <c r="E1031" s="12"/>
      <c r="F1031" s="13"/>
      <c r="G1031" s="13"/>
      <c r="H1031" s="12"/>
      <c r="I1031" s="18"/>
      <c r="J1031" s="16"/>
      <c r="K1031" s="16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6"/>
      <c r="AH1031" s="16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216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8"/>
      <c r="BE1031" s="18"/>
      <c r="BF1031" s="15"/>
      <c r="BG1031" s="15"/>
    </row>
    <row r="1032" spans="1:59" ht="15.75" customHeight="1">
      <c r="A1032" s="216"/>
      <c r="B1032" s="12"/>
      <c r="C1032" s="12"/>
      <c r="D1032" s="13"/>
      <c r="E1032" s="12"/>
      <c r="F1032" s="13"/>
      <c r="G1032" s="13"/>
      <c r="H1032" s="12"/>
      <c r="I1032" s="18"/>
      <c r="J1032" s="16"/>
      <c r="K1032" s="16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6"/>
      <c r="AH1032" s="16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216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8"/>
      <c r="BE1032" s="18"/>
      <c r="BF1032" s="15"/>
      <c r="BG1032" s="15"/>
    </row>
    <row r="1033" spans="1:59" ht="15.75" customHeight="1">
      <c r="A1033" s="216"/>
      <c r="B1033" s="12"/>
      <c r="C1033" s="12"/>
      <c r="D1033" s="13"/>
      <c r="E1033" s="12"/>
      <c r="F1033" s="13"/>
      <c r="G1033" s="13"/>
      <c r="H1033" s="12"/>
      <c r="I1033" s="18"/>
      <c r="J1033" s="16"/>
      <c r="K1033" s="16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6"/>
      <c r="AH1033" s="16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216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8"/>
      <c r="BE1033" s="18"/>
      <c r="BF1033" s="15"/>
      <c r="BG1033" s="15"/>
    </row>
    <row r="1034" spans="1:59" ht="15.75" customHeight="1">
      <c r="A1034" s="216"/>
      <c r="B1034" s="12"/>
      <c r="C1034" s="12"/>
      <c r="D1034" s="13"/>
      <c r="E1034" s="12"/>
      <c r="F1034" s="13"/>
      <c r="G1034" s="13"/>
      <c r="H1034" s="12"/>
      <c r="I1034" s="18"/>
      <c r="J1034" s="16"/>
      <c r="K1034" s="16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6"/>
      <c r="AH1034" s="16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216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8"/>
      <c r="BE1034" s="18"/>
      <c r="BF1034" s="15"/>
      <c r="BG1034" s="15"/>
    </row>
    <row r="1035" spans="1:59" ht="15.75" customHeight="1">
      <c r="A1035" s="216"/>
      <c r="B1035" s="12"/>
      <c r="C1035" s="12"/>
      <c r="D1035" s="13"/>
      <c r="E1035" s="12"/>
      <c r="F1035" s="13"/>
      <c r="G1035" s="13"/>
      <c r="H1035" s="12"/>
      <c r="I1035" s="18"/>
      <c r="J1035" s="16"/>
      <c r="K1035" s="16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6"/>
      <c r="AH1035" s="16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216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8"/>
      <c r="BE1035" s="18"/>
      <c r="BF1035" s="15"/>
      <c r="BG1035" s="15"/>
    </row>
    <row r="1036" spans="1:59" ht="15.75" customHeight="1">
      <c r="A1036" s="216"/>
      <c r="B1036" s="12"/>
      <c r="C1036" s="12"/>
      <c r="D1036" s="13"/>
      <c r="E1036" s="12"/>
      <c r="F1036" s="13"/>
      <c r="G1036" s="13"/>
      <c r="H1036" s="12"/>
      <c r="I1036" s="18"/>
      <c r="J1036" s="16"/>
      <c r="K1036" s="16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6"/>
      <c r="AH1036" s="16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216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8"/>
      <c r="BE1036" s="18"/>
      <c r="BF1036" s="15"/>
      <c r="BG1036" s="15"/>
    </row>
    <row r="1037" spans="1:59" ht="15.75" customHeight="1">
      <c r="A1037" s="216"/>
      <c r="B1037" s="12"/>
      <c r="C1037" s="12"/>
      <c r="D1037" s="13"/>
      <c r="E1037" s="12"/>
      <c r="F1037" s="13"/>
      <c r="G1037" s="13"/>
      <c r="H1037" s="12"/>
      <c r="I1037" s="18"/>
      <c r="J1037" s="16"/>
      <c r="K1037" s="16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6"/>
      <c r="AH1037" s="16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216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  <c r="BE1037" s="18"/>
      <c r="BF1037" s="15"/>
      <c r="BG1037" s="15"/>
    </row>
    <row r="1038" spans="1:59" ht="15.75" customHeight="1">
      <c r="A1038" s="216"/>
      <c r="B1038" s="12"/>
      <c r="C1038" s="12"/>
      <c r="D1038" s="13"/>
      <c r="E1038" s="12"/>
      <c r="F1038" s="13"/>
      <c r="G1038" s="13"/>
      <c r="H1038" s="12"/>
      <c r="I1038" s="18"/>
      <c r="J1038" s="16"/>
      <c r="K1038" s="16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6"/>
      <c r="AH1038" s="16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216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8"/>
      <c r="BE1038" s="18"/>
      <c r="BF1038" s="15"/>
      <c r="BG1038" s="15"/>
    </row>
    <row r="1039" spans="1:59" ht="15.75" customHeight="1">
      <c r="A1039" s="216"/>
      <c r="B1039" s="12"/>
      <c r="C1039" s="12"/>
      <c r="D1039" s="13"/>
      <c r="E1039" s="12"/>
      <c r="F1039" s="13"/>
      <c r="G1039" s="13"/>
      <c r="H1039" s="12"/>
      <c r="I1039" s="18"/>
      <c r="J1039" s="16"/>
      <c r="K1039" s="16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6"/>
      <c r="AH1039" s="16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216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8"/>
      <c r="BE1039" s="18"/>
      <c r="BF1039" s="15"/>
      <c r="BG1039" s="15"/>
    </row>
    <row r="1040" spans="1:59" ht="15.75" customHeight="1">
      <c r="A1040" s="216"/>
      <c r="B1040" s="12"/>
      <c r="C1040" s="12"/>
      <c r="D1040" s="13"/>
      <c r="E1040" s="12"/>
      <c r="F1040" s="13"/>
      <c r="G1040" s="13"/>
      <c r="H1040" s="12"/>
      <c r="I1040" s="18"/>
      <c r="J1040" s="16"/>
      <c r="K1040" s="16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6"/>
      <c r="AH1040" s="16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216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8"/>
      <c r="BE1040" s="18"/>
      <c r="BF1040" s="15"/>
      <c r="BG1040" s="15"/>
    </row>
    <row r="1041" spans="1:59" ht="15.75" customHeight="1">
      <c r="A1041" s="216"/>
      <c r="B1041" s="12"/>
      <c r="C1041" s="12"/>
      <c r="D1041" s="13"/>
      <c r="E1041" s="12"/>
      <c r="F1041" s="13"/>
      <c r="G1041" s="13"/>
      <c r="H1041" s="12"/>
      <c r="I1041" s="18"/>
      <c r="J1041" s="16"/>
      <c r="K1041" s="16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6"/>
      <c r="AH1041" s="16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s="18"/>
      <c r="AT1041" s="216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8"/>
      <c r="BE1041" s="18"/>
      <c r="BF1041" s="15"/>
      <c r="BG1041" s="15"/>
    </row>
    <row r="1042" spans="1:59" ht="15.75" customHeight="1">
      <c r="A1042" s="216"/>
      <c r="B1042" s="12"/>
      <c r="C1042" s="12"/>
      <c r="D1042" s="13"/>
      <c r="E1042" s="12"/>
      <c r="F1042" s="13"/>
      <c r="G1042" s="13"/>
      <c r="H1042" s="12"/>
      <c r="I1042" s="18"/>
      <c r="J1042" s="16"/>
      <c r="K1042" s="16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6"/>
      <c r="AH1042" s="16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216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8"/>
      <c r="BE1042" s="18"/>
      <c r="BF1042" s="15"/>
      <c r="BG1042" s="15"/>
    </row>
    <row r="1043" spans="1:59" ht="15.75" customHeight="1">
      <c r="A1043" s="216"/>
      <c r="B1043" s="12"/>
      <c r="C1043" s="12"/>
      <c r="D1043" s="13"/>
      <c r="E1043" s="12"/>
      <c r="F1043" s="13"/>
      <c r="G1043" s="13"/>
      <c r="H1043" s="12"/>
      <c r="I1043" s="18"/>
      <c r="J1043" s="16"/>
      <c r="K1043" s="16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6"/>
      <c r="AH1043" s="16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216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8"/>
      <c r="BE1043" s="18"/>
      <c r="BF1043" s="15"/>
      <c r="BG1043" s="15"/>
    </row>
    <row r="1044" spans="1:59" ht="15.75" customHeight="1">
      <c r="A1044" s="216"/>
      <c r="B1044" s="12"/>
      <c r="C1044" s="12"/>
      <c r="D1044" s="13"/>
      <c r="E1044" s="12"/>
      <c r="F1044" s="13"/>
      <c r="G1044" s="13"/>
      <c r="H1044" s="12"/>
      <c r="I1044" s="18"/>
      <c r="J1044" s="16"/>
      <c r="K1044" s="16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6"/>
      <c r="AH1044" s="16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216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8"/>
      <c r="BE1044" s="18"/>
      <c r="BF1044" s="15"/>
      <c r="BG1044" s="15"/>
    </row>
    <row r="1045" spans="1:59" ht="15.75" customHeight="1">
      <c r="A1045" s="216"/>
      <c r="B1045" s="12"/>
      <c r="C1045" s="12"/>
      <c r="D1045" s="13"/>
      <c r="E1045" s="12"/>
      <c r="F1045" s="13"/>
      <c r="G1045" s="13"/>
      <c r="H1045" s="12"/>
      <c r="I1045" s="18"/>
      <c r="J1045" s="16"/>
      <c r="K1045" s="16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6"/>
      <c r="AH1045" s="16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216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8"/>
      <c r="BE1045" s="18"/>
      <c r="BF1045" s="15"/>
      <c r="BG1045" s="15"/>
    </row>
    <row r="1046" spans="1:59" ht="15.75" customHeight="1">
      <c r="A1046" s="216"/>
      <c r="B1046" s="12"/>
      <c r="C1046" s="12"/>
      <c r="D1046" s="13"/>
      <c r="E1046" s="12"/>
      <c r="F1046" s="13"/>
      <c r="G1046" s="13"/>
      <c r="H1046" s="12"/>
      <c r="I1046" s="18"/>
      <c r="J1046" s="16"/>
      <c r="K1046" s="16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6"/>
      <c r="AH1046" s="16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216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8"/>
      <c r="BE1046" s="18"/>
      <c r="BF1046" s="15"/>
      <c r="BG1046" s="15"/>
    </row>
    <row r="1047" spans="1:59" ht="15.75" customHeight="1">
      <c r="A1047" s="216"/>
      <c r="B1047" s="12"/>
      <c r="C1047" s="12"/>
      <c r="D1047" s="13"/>
      <c r="E1047" s="12"/>
      <c r="F1047" s="13"/>
      <c r="G1047" s="13"/>
      <c r="H1047" s="12"/>
      <c r="I1047" s="18"/>
      <c r="J1047" s="16"/>
      <c r="K1047" s="16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6"/>
      <c r="AH1047" s="16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216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8"/>
      <c r="BE1047" s="18"/>
      <c r="BF1047" s="15"/>
      <c r="BG1047" s="15"/>
    </row>
    <row r="1048" spans="1:59" ht="15.75" customHeight="1">
      <c r="A1048" s="216"/>
      <c r="B1048" s="12"/>
      <c r="C1048" s="12"/>
      <c r="D1048" s="13"/>
      <c r="E1048" s="12"/>
      <c r="F1048" s="13"/>
      <c r="G1048" s="13"/>
      <c r="H1048" s="12"/>
      <c r="I1048" s="18"/>
      <c r="J1048" s="16"/>
      <c r="K1048" s="16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6"/>
      <c r="AH1048" s="16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216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8"/>
      <c r="BE1048" s="18"/>
      <c r="BF1048" s="15"/>
      <c r="BG1048" s="15"/>
    </row>
    <row r="1049" spans="1:59" ht="15.75" customHeight="1">
      <c r="A1049" s="216"/>
      <c r="B1049" s="12"/>
      <c r="C1049" s="12"/>
      <c r="D1049" s="13"/>
      <c r="E1049" s="12"/>
      <c r="F1049" s="13"/>
      <c r="G1049" s="13"/>
      <c r="H1049" s="12"/>
      <c r="I1049" s="18"/>
      <c r="J1049" s="16"/>
      <c r="K1049" s="16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6"/>
      <c r="AH1049" s="16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216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8"/>
      <c r="BE1049" s="18"/>
      <c r="BF1049" s="15"/>
      <c r="BG1049" s="15"/>
    </row>
    <row r="1050" spans="1:59" ht="15.75" customHeight="1">
      <c r="A1050" s="216"/>
      <c r="B1050" s="12"/>
      <c r="C1050" s="12"/>
      <c r="D1050" s="13"/>
      <c r="E1050" s="12"/>
      <c r="F1050" s="13"/>
      <c r="G1050" s="13"/>
      <c r="H1050" s="12"/>
      <c r="I1050" s="18"/>
      <c r="J1050" s="16"/>
      <c r="K1050" s="16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6"/>
      <c r="AH1050" s="16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216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8"/>
      <c r="BE1050" s="18"/>
      <c r="BF1050" s="15"/>
      <c r="BG1050" s="15"/>
    </row>
    <row r="1051" spans="1:59" ht="15.75" customHeight="1">
      <c r="A1051" s="216"/>
      <c r="B1051" s="12"/>
      <c r="C1051" s="12"/>
      <c r="D1051" s="13"/>
      <c r="E1051" s="12"/>
      <c r="F1051" s="13"/>
      <c r="G1051" s="13"/>
      <c r="H1051" s="12"/>
      <c r="I1051" s="18"/>
      <c r="J1051" s="16"/>
      <c r="K1051" s="16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6"/>
      <c r="AH1051" s="16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216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8"/>
      <c r="BE1051" s="18"/>
      <c r="BF1051" s="15"/>
      <c r="BG1051" s="15"/>
    </row>
    <row r="1052" spans="1:59" ht="15.75" customHeight="1">
      <c r="A1052" s="216"/>
      <c r="B1052" s="12"/>
      <c r="C1052" s="12"/>
      <c r="D1052" s="13"/>
      <c r="E1052" s="12"/>
      <c r="F1052" s="13"/>
      <c r="G1052" s="13"/>
      <c r="H1052" s="12"/>
      <c r="I1052" s="18"/>
      <c r="J1052" s="16"/>
      <c r="K1052" s="16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6"/>
      <c r="AH1052" s="16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216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5"/>
      <c r="BG1052" s="15"/>
    </row>
    <row r="1053" spans="1:59" ht="15.75" customHeight="1">
      <c r="A1053" s="216"/>
      <c r="B1053" s="12"/>
      <c r="C1053" s="12"/>
      <c r="D1053" s="13"/>
      <c r="E1053" s="12"/>
      <c r="F1053" s="13"/>
      <c r="G1053" s="13"/>
      <c r="H1053" s="12"/>
      <c r="I1053" s="18"/>
      <c r="J1053" s="16"/>
      <c r="K1053" s="16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6"/>
      <c r="AH1053" s="16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216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8"/>
      <c r="BE1053" s="18"/>
      <c r="BF1053" s="15"/>
      <c r="BG1053" s="15"/>
    </row>
    <row r="1054" spans="1:59" ht="15.75" customHeight="1">
      <c r="A1054" s="216"/>
      <c r="B1054" s="12"/>
      <c r="C1054" s="12"/>
      <c r="D1054" s="13"/>
      <c r="E1054" s="12"/>
      <c r="F1054" s="13"/>
      <c r="G1054" s="13"/>
      <c r="H1054" s="12"/>
      <c r="I1054" s="18"/>
      <c r="J1054" s="16"/>
      <c r="K1054" s="16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6"/>
      <c r="AH1054" s="16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216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8"/>
      <c r="BE1054" s="18"/>
      <c r="BF1054" s="15"/>
      <c r="BG1054" s="15"/>
    </row>
    <row r="1055" spans="1:59" ht="15.75" customHeight="1">
      <c r="A1055" s="216"/>
      <c r="B1055" s="12"/>
      <c r="C1055" s="12"/>
      <c r="D1055" s="13"/>
      <c r="E1055" s="12"/>
      <c r="F1055" s="13"/>
      <c r="G1055" s="13"/>
      <c r="H1055" s="12"/>
      <c r="I1055" s="18"/>
      <c r="J1055" s="16"/>
      <c r="K1055" s="16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6"/>
      <c r="AH1055" s="16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216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8"/>
      <c r="BE1055" s="18"/>
      <c r="BF1055" s="15"/>
      <c r="BG1055" s="15"/>
    </row>
    <row r="1056" spans="1:59" ht="15.75" customHeight="1">
      <c r="A1056" s="216"/>
      <c r="B1056" s="12"/>
      <c r="C1056" s="12"/>
      <c r="D1056" s="13"/>
      <c r="E1056" s="12"/>
      <c r="F1056" s="13"/>
      <c r="G1056" s="13"/>
      <c r="H1056" s="12"/>
      <c r="I1056" s="18"/>
      <c r="J1056" s="16"/>
      <c r="K1056" s="16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6"/>
      <c r="AH1056" s="16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216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8"/>
      <c r="BE1056" s="18"/>
      <c r="BF1056" s="15"/>
      <c r="BG1056" s="15"/>
    </row>
    <row r="1057" spans="1:59" ht="15.75" customHeight="1">
      <c r="A1057" s="216"/>
      <c r="B1057" s="12"/>
      <c r="C1057" s="12"/>
      <c r="D1057" s="13"/>
      <c r="E1057" s="12"/>
      <c r="F1057" s="13"/>
      <c r="G1057" s="13"/>
      <c r="H1057" s="12"/>
      <c r="I1057" s="18"/>
      <c r="J1057" s="16"/>
      <c r="K1057" s="16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6"/>
      <c r="AH1057" s="16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216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8"/>
      <c r="BE1057" s="18"/>
      <c r="BF1057" s="15"/>
      <c r="BG1057" s="15"/>
    </row>
    <row r="1058" spans="1:59" ht="15.75" customHeight="1">
      <c r="A1058" s="216"/>
      <c r="B1058" s="12"/>
      <c r="C1058" s="12"/>
      <c r="D1058" s="13"/>
      <c r="E1058" s="12"/>
      <c r="F1058" s="13"/>
      <c r="G1058" s="13"/>
      <c r="H1058" s="12"/>
      <c r="I1058" s="18"/>
      <c r="J1058" s="16"/>
      <c r="K1058" s="16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6"/>
      <c r="AH1058" s="16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216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8"/>
      <c r="BE1058" s="18"/>
      <c r="BF1058" s="15"/>
      <c r="BG1058" s="15"/>
    </row>
    <row r="1059" spans="1:59" ht="15.75" customHeight="1">
      <c r="A1059" s="216"/>
      <c r="B1059" s="12"/>
      <c r="C1059" s="12"/>
      <c r="D1059" s="13"/>
      <c r="E1059" s="12"/>
      <c r="F1059" s="13"/>
      <c r="G1059" s="13"/>
      <c r="H1059" s="12"/>
      <c r="I1059" s="18"/>
      <c r="J1059" s="16"/>
      <c r="K1059" s="16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6"/>
      <c r="AH1059" s="16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216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8"/>
      <c r="BE1059" s="18"/>
      <c r="BF1059" s="15"/>
      <c r="BG1059" s="15"/>
    </row>
    <row r="1060" spans="1:59" ht="15.75" customHeight="1">
      <c r="A1060" s="216"/>
      <c r="B1060" s="12"/>
      <c r="C1060" s="12"/>
      <c r="D1060" s="13"/>
      <c r="E1060" s="12"/>
      <c r="F1060" s="13"/>
      <c r="G1060" s="13"/>
      <c r="H1060" s="12"/>
      <c r="I1060" s="18"/>
      <c r="J1060" s="16"/>
      <c r="K1060" s="16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6"/>
      <c r="AH1060" s="16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216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8"/>
      <c r="BE1060" s="18"/>
      <c r="BF1060" s="15"/>
      <c r="BG1060" s="15"/>
    </row>
    <row r="1061" spans="1:59" ht="15.75" customHeight="1">
      <c r="A1061" s="216"/>
      <c r="B1061" s="12"/>
      <c r="C1061" s="12"/>
      <c r="D1061" s="13"/>
      <c r="E1061" s="12"/>
      <c r="F1061" s="13"/>
      <c r="G1061" s="13"/>
      <c r="H1061" s="12"/>
      <c r="I1061" s="18"/>
      <c r="J1061" s="16"/>
      <c r="K1061" s="16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6"/>
      <c r="AH1061" s="16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216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8"/>
      <c r="BE1061" s="18"/>
      <c r="BF1061" s="15"/>
      <c r="BG1061" s="15"/>
    </row>
    <row r="1062" spans="1:59" ht="15.75" customHeight="1">
      <c r="A1062" s="216"/>
      <c r="B1062" s="12"/>
      <c r="C1062" s="12"/>
      <c r="D1062" s="13"/>
      <c r="E1062" s="12"/>
      <c r="F1062" s="13"/>
      <c r="G1062" s="13"/>
      <c r="H1062" s="12"/>
      <c r="I1062" s="18"/>
      <c r="J1062" s="16"/>
      <c r="K1062" s="16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6"/>
      <c r="AH1062" s="16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  <c r="AS1062" s="18"/>
      <c r="AT1062" s="216"/>
      <c r="AU1062" s="18"/>
      <c r="AV1062" s="18"/>
      <c r="AW1062" s="18"/>
      <c r="AX1062" s="18"/>
      <c r="AY1062" s="18"/>
      <c r="AZ1062" s="18"/>
      <c r="BA1062" s="18"/>
      <c r="BB1062" s="18"/>
      <c r="BC1062" s="18"/>
      <c r="BD1062" s="18"/>
      <c r="BE1062" s="18"/>
      <c r="BF1062" s="15"/>
      <c r="BG1062" s="15"/>
    </row>
    <row r="1063" spans="1:59" ht="15.75" customHeight="1">
      <c r="A1063" s="216"/>
      <c r="B1063" s="12"/>
      <c r="C1063" s="12"/>
      <c r="D1063" s="13"/>
      <c r="E1063" s="12"/>
      <c r="F1063" s="13"/>
      <c r="G1063" s="13"/>
      <c r="H1063" s="12"/>
      <c r="I1063" s="18"/>
      <c r="J1063" s="16"/>
      <c r="K1063" s="16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6"/>
      <c r="AH1063" s="16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  <c r="AS1063" s="18"/>
      <c r="AT1063" s="216"/>
      <c r="AU1063" s="18"/>
      <c r="AV1063" s="18"/>
      <c r="AW1063" s="18"/>
      <c r="AX1063" s="18"/>
      <c r="AY1063" s="18"/>
      <c r="AZ1063" s="18"/>
      <c r="BA1063" s="18"/>
      <c r="BB1063" s="18"/>
      <c r="BC1063" s="18"/>
      <c r="BD1063" s="18"/>
      <c r="BE1063" s="18"/>
      <c r="BF1063" s="15"/>
      <c r="BG1063" s="15"/>
    </row>
    <row r="1064" spans="1:59" ht="15.75" customHeight="1">
      <c r="A1064" s="216"/>
      <c r="B1064" s="12"/>
      <c r="C1064" s="12"/>
      <c r="D1064" s="13"/>
      <c r="E1064" s="12"/>
      <c r="F1064" s="13"/>
      <c r="G1064" s="13"/>
      <c r="H1064" s="12"/>
      <c r="I1064" s="18"/>
      <c r="J1064" s="16"/>
      <c r="K1064" s="16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6"/>
      <c r="AH1064" s="16"/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8"/>
      <c r="AS1064" s="18"/>
      <c r="AT1064" s="216"/>
      <c r="AU1064" s="18"/>
      <c r="AV1064" s="18"/>
      <c r="AW1064" s="18"/>
      <c r="AX1064" s="18"/>
      <c r="AY1064" s="18"/>
      <c r="AZ1064" s="18"/>
      <c r="BA1064" s="18"/>
      <c r="BB1064" s="18"/>
      <c r="BC1064" s="18"/>
      <c r="BD1064" s="18"/>
      <c r="BE1064" s="18"/>
      <c r="BF1064" s="15"/>
      <c r="BG1064" s="15"/>
    </row>
    <row r="1065" spans="1:59" ht="15.75" customHeight="1">
      <c r="A1065" s="216"/>
      <c r="B1065" s="12"/>
      <c r="C1065" s="12"/>
      <c r="D1065" s="13"/>
      <c r="E1065" s="12"/>
      <c r="F1065" s="13"/>
      <c r="G1065" s="13"/>
      <c r="H1065" s="12"/>
      <c r="I1065" s="18"/>
      <c r="J1065" s="16"/>
      <c r="K1065" s="16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6"/>
      <c r="AH1065" s="16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/>
      <c r="AT1065" s="216"/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8"/>
      <c r="BE1065" s="18"/>
      <c r="BF1065" s="15"/>
      <c r="BG1065" s="15"/>
    </row>
    <row r="1066" spans="1:59" ht="15.75" customHeight="1">
      <c r="A1066" s="216"/>
      <c r="B1066" s="12"/>
      <c r="C1066" s="12"/>
      <c r="D1066" s="13"/>
      <c r="E1066" s="12"/>
      <c r="F1066" s="13"/>
      <c r="G1066" s="13"/>
      <c r="H1066" s="12"/>
      <c r="I1066" s="18"/>
      <c r="J1066" s="16"/>
      <c r="K1066" s="16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16"/>
      <c r="AH1066" s="16"/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8"/>
      <c r="AS1066" s="18"/>
      <c r="AT1066" s="216"/>
      <c r="AU1066" s="18"/>
      <c r="AV1066" s="18"/>
      <c r="AW1066" s="18"/>
      <c r="AX1066" s="18"/>
      <c r="AY1066" s="18"/>
      <c r="AZ1066" s="18"/>
      <c r="BA1066" s="18"/>
      <c r="BB1066" s="18"/>
      <c r="BC1066" s="18"/>
      <c r="BD1066" s="18"/>
      <c r="BE1066" s="18"/>
      <c r="BF1066" s="15"/>
      <c r="BG1066" s="15"/>
    </row>
    <row r="1067" spans="1:59" ht="15.75" customHeight="1">
      <c r="A1067" s="216"/>
      <c r="B1067" s="12"/>
      <c r="C1067" s="12"/>
      <c r="D1067" s="13"/>
      <c r="E1067" s="12"/>
      <c r="F1067" s="13"/>
      <c r="G1067" s="13"/>
      <c r="H1067" s="12"/>
      <c r="I1067" s="18"/>
      <c r="J1067" s="16"/>
      <c r="K1067" s="16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6"/>
      <c r="AH1067" s="16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8"/>
      <c r="AS1067" s="18"/>
      <c r="AT1067" s="216"/>
      <c r="AU1067" s="18"/>
      <c r="AV1067" s="18"/>
      <c r="AW1067" s="18"/>
      <c r="AX1067" s="18"/>
      <c r="AY1067" s="18"/>
      <c r="AZ1067" s="18"/>
      <c r="BA1067" s="18"/>
      <c r="BB1067" s="18"/>
      <c r="BC1067" s="18"/>
      <c r="BD1067" s="18"/>
      <c r="BE1067" s="18"/>
      <c r="BF1067" s="15"/>
      <c r="BG1067" s="15"/>
    </row>
    <row r="1068" spans="1:59" ht="15.75" customHeight="1">
      <c r="A1068" s="216"/>
      <c r="B1068" s="12"/>
      <c r="C1068" s="12"/>
      <c r="D1068" s="13"/>
      <c r="E1068" s="12"/>
      <c r="F1068" s="13"/>
      <c r="G1068" s="13"/>
      <c r="H1068" s="12"/>
      <c r="I1068" s="18"/>
      <c r="J1068" s="16"/>
      <c r="K1068" s="16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6"/>
      <c r="AH1068" s="16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216"/>
      <c r="AU1068" s="18"/>
      <c r="AV1068" s="18"/>
      <c r="AW1068" s="18"/>
      <c r="AX1068" s="18"/>
      <c r="AY1068" s="18"/>
      <c r="AZ1068" s="18"/>
      <c r="BA1068" s="18"/>
      <c r="BB1068" s="18"/>
      <c r="BC1068" s="18"/>
      <c r="BD1068" s="18"/>
      <c r="BE1068" s="18"/>
      <c r="BF1068" s="15"/>
      <c r="BG1068" s="15"/>
    </row>
    <row r="1069" spans="1:59" ht="15.75" customHeight="1">
      <c r="A1069" s="216"/>
      <c r="B1069" s="12"/>
      <c r="C1069" s="12"/>
      <c r="D1069" s="13"/>
      <c r="E1069" s="12"/>
      <c r="F1069" s="13"/>
      <c r="G1069" s="13"/>
      <c r="H1069" s="12"/>
      <c r="I1069" s="18"/>
      <c r="J1069" s="16"/>
      <c r="K1069" s="16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18"/>
      <c r="AG1069" s="16"/>
      <c r="AH1069" s="16"/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8"/>
      <c r="AS1069" s="18"/>
      <c r="AT1069" s="216"/>
      <c r="AU1069" s="18"/>
      <c r="AV1069" s="18"/>
      <c r="AW1069" s="18"/>
      <c r="AX1069" s="18"/>
      <c r="AY1069" s="18"/>
      <c r="AZ1069" s="18"/>
      <c r="BA1069" s="18"/>
      <c r="BB1069" s="18"/>
      <c r="BC1069" s="18"/>
      <c r="BD1069" s="18"/>
      <c r="BE1069" s="18"/>
      <c r="BF1069" s="15"/>
      <c r="BG1069" s="15"/>
    </row>
    <row r="1070" spans="1:59" ht="15.75" customHeight="1">
      <c r="A1070" s="216"/>
      <c r="B1070" s="12"/>
      <c r="C1070" s="12"/>
      <c r="D1070" s="13"/>
      <c r="E1070" s="12"/>
      <c r="F1070" s="13"/>
      <c r="G1070" s="13"/>
      <c r="H1070" s="12"/>
      <c r="I1070" s="18"/>
      <c r="J1070" s="16"/>
      <c r="K1070" s="16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6"/>
      <c r="AH1070" s="16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8"/>
      <c r="AS1070" s="18"/>
      <c r="AT1070" s="216"/>
      <c r="AU1070" s="18"/>
      <c r="AV1070" s="18"/>
      <c r="AW1070" s="18"/>
      <c r="AX1070" s="18"/>
      <c r="AY1070" s="18"/>
      <c r="AZ1070" s="18"/>
      <c r="BA1070" s="18"/>
      <c r="BB1070" s="18"/>
      <c r="BC1070" s="18"/>
      <c r="BD1070" s="18"/>
      <c r="BE1070" s="18"/>
      <c r="BF1070" s="15"/>
      <c r="BG1070" s="15"/>
    </row>
    <row r="1071" spans="1:59" ht="15.75" customHeight="1">
      <c r="A1071" s="216"/>
      <c r="B1071" s="12"/>
      <c r="C1071" s="12"/>
      <c r="D1071" s="13"/>
      <c r="E1071" s="12"/>
      <c r="F1071" s="13"/>
      <c r="G1071" s="13"/>
      <c r="H1071" s="12"/>
      <c r="I1071" s="18"/>
      <c r="J1071" s="16"/>
      <c r="K1071" s="16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18"/>
      <c r="AG1071" s="16"/>
      <c r="AH1071" s="16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/>
      <c r="AT1071" s="216"/>
      <c r="AU1071" s="18"/>
      <c r="AV1071" s="18"/>
      <c r="AW1071" s="18"/>
      <c r="AX1071" s="18"/>
      <c r="AY1071" s="18"/>
      <c r="AZ1071" s="18"/>
      <c r="BA1071" s="18"/>
      <c r="BB1071" s="18"/>
      <c r="BC1071" s="18"/>
      <c r="BD1071" s="18"/>
      <c r="BE1071" s="18"/>
      <c r="BF1071" s="15"/>
      <c r="BG1071" s="15"/>
    </row>
    <row r="1072" spans="1:59" ht="15.75" customHeight="1">
      <c r="A1072" s="216"/>
      <c r="B1072" s="12"/>
      <c r="C1072" s="12"/>
      <c r="D1072" s="13"/>
      <c r="E1072" s="12"/>
      <c r="F1072" s="13"/>
      <c r="G1072" s="13"/>
      <c r="H1072" s="12"/>
      <c r="I1072" s="18"/>
      <c r="J1072" s="16"/>
      <c r="K1072" s="16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6"/>
      <c r="AH1072" s="16"/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s="18"/>
      <c r="AT1072" s="216"/>
      <c r="AU1072" s="18"/>
      <c r="AV1072" s="18"/>
      <c r="AW1072" s="18"/>
      <c r="AX1072" s="18"/>
      <c r="AY1072" s="18"/>
      <c r="AZ1072" s="18"/>
      <c r="BA1072" s="18"/>
      <c r="BB1072" s="18"/>
      <c r="BC1072" s="18"/>
      <c r="BD1072" s="18"/>
      <c r="BE1072" s="18"/>
      <c r="BF1072" s="15"/>
      <c r="BG1072" s="15"/>
    </row>
    <row r="1073" spans="1:59" ht="15.75" customHeight="1">
      <c r="A1073" s="216"/>
      <c r="B1073" s="12"/>
      <c r="C1073" s="12"/>
      <c r="D1073" s="13"/>
      <c r="E1073" s="12"/>
      <c r="F1073" s="13"/>
      <c r="G1073" s="13"/>
      <c r="H1073" s="12"/>
      <c r="I1073" s="18"/>
      <c r="J1073" s="16"/>
      <c r="K1073" s="16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6"/>
      <c r="AH1073" s="16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216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8"/>
      <c r="BE1073" s="18"/>
      <c r="BF1073" s="15"/>
      <c r="BG1073" s="15"/>
    </row>
    <row r="1074" spans="1:59" ht="15.75" customHeight="1">
      <c r="A1074" s="216"/>
      <c r="B1074" s="12"/>
      <c r="C1074" s="12"/>
      <c r="D1074" s="13"/>
      <c r="E1074" s="12"/>
      <c r="F1074" s="13"/>
      <c r="G1074" s="13"/>
      <c r="H1074" s="12"/>
      <c r="I1074" s="18"/>
      <c r="J1074" s="16"/>
      <c r="K1074" s="16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6"/>
      <c r="AH1074" s="16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216"/>
      <c r="AU1074" s="18"/>
      <c r="AV1074" s="18"/>
      <c r="AW1074" s="18"/>
      <c r="AX1074" s="18"/>
      <c r="AY1074" s="18"/>
      <c r="AZ1074" s="18"/>
      <c r="BA1074" s="18"/>
      <c r="BB1074" s="18"/>
      <c r="BC1074" s="18"/>
      <c r="BD1074" s="18"/>
      <c r="BE1074" s="18"/>
      <c r="BF1074" s="15"/>
      <c r="BG1074" s="15"/>
    </row>
    <row r="1075" spans="1:59" ht="15.75" customHeight="1">
      <c r="A1075" s="216"/>
      <c r="B1075" s="12"/>
      <c r="C1075" s="12"/>
      <c r="D1075" s="13"/>
      <c r="E1075" s="12"/>
      <c r="F1075" s="13"/>
      <c r="G1075" s="13"/>
      <c r="H1075" s="12"/>
      <c r="I1075" s="18"/>
      <c r="J1075" s="16"/>
      <c r="K1075" s="16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6"/>
      <c r="AH1075" s="16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216"/>
      <c r="AU1075" s="18"/>
      <c r="AV1075" s="18"/>
      <c r="AW1075" s="18"/>
      <c r="AX1075" s="18"/>
      <c r="AY1075" s="18"/>
      <c r="AZ1075" s="18"/>
      <c r="BA1075" s="18"/>
      <c r="BB1075" s="18"/>
      <c r="BC1075" s="18"/>
      <c r="BD1075" s="18"/>
      <c r="BE1075" s="18"/>
      <c r="BF1075" s="15"/>
      <c r="BG1075" s="15"/>
    </row>
    <row r="1076" spans="1:59" ht="15.75" customHeight="1">
      <c r="A1076" s="216"/>
      <c r="B1076" s="12"/>
      <c r="C1076" s="12"/>
      <c r="D1076" s="13"/>
      <c r="E1076" s="12"/>
      <c r="F1076" s="13"/>
      <c r="G1076" s="13"/>
      <c r="H1076" s="12"/>
      <c r="I1076" s="18"/>
      <c r="J1076" s="16"/>
      <c r="K1076" s="16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6"/>
      <c r="AH1076" s="16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216"/>
      <c r="AU1076" s="18"/>
      <c r="AV1076" s="18"/>
      <c r="AW1076" s="18"/>
      <c r="AX1076" s="18"/>
      <c r="AY1076" s="18"/>
      <c r="AZ1076" s="18"/>
      <c r="BA1076" s="18"/>
      <c r="BB1076" s="18"/>
      <c r="BC1076" s="18"/>
      <c r="BD1076" s="18"/>
      <c r="BE1076" s="18"/>
      <c r="BF1076" s="15"/>
      <c r="BG1076" s="15"/>
    </row>
    <row r="1077" spans="1:59" ht="15.75" customHeight="1">
      <c r="A1077" s="216"/>
      <c r="B1077" s="12"/>
      <c r="C1077" s="12"/>
      <c r="D1077" s="13"/>
      <c r="E1077" s="12"/>
      <c r="F1077" s="13"/>
      <c r="G1077" s="13"/>
      <c r="H1077" s="12"/>
      <c r="I1077" s="18"/>
      <c r="J1077" s="16"/>
      <c r="K1077" s="16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6"/>
      <c r="AH1077" s="16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216"/>
      <c r="AU1077" s="18"/>
      <c r="AV1077" s="18"/>
      <c r="AW1077" s="18"/>
      <c r="AX1077" s="18"/>
      <c r="AY1077" s="18"/>
      <c r="AZ1077" s="18"/>
      <c r="BA1077" s="18"/>
      <c r="BB1077" s="18"/>
      <c r="BC1077" s="18"/>
      <c r="BD1077" s="18"/>
      <c r="BE1077" s="18"/>
      <c r="BF1077" s="15"/>
      <c r="BG1077" s="15"/>
    </row>
    <row r="1078" spans="1:59" ht="15.75" customHeight="1">
      <c r="A1078" s="216"/>
      <c r="B1078" s="12"/>
      <c r="C1078" s="12"/>
      <c r="D1078" s="13"/>
      <c r="E1078" s="12"/>
      <c r="F1078" s="13"/>
      <c r="G1078" s="13"/>
      <c r="H1078" s="12"/>
      <c r="I1078" s="18"/>
      <c r="J1078" s="16"/>
      <c r="K1078" s="16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6"/>
      <c r="AH1078" s="16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216"/>
      <c r="AU1078" s="18"/>
      <c r="AV1078" s="18"/>
      <c r="AW1078" s="18"/>
      <c r="AX1078" s="18"/>
      <c r="AY1078" s="18"/>
      <c r="AZ1078" s="18"/>
      <c r="BA1078" s="18"/>
      <c r="BB1078" s="18"/>
      <c r="BC1078" s="18"/>
      <c r="BD1078" s="18"/>
      <c r="BE1078" s="18"/>
      <c r="BF1078" s="15"/>
      <c r="BG1078" s="15"/>
    </row>
    <row r="1079" spans="1:59" ht="15.75" customHeight="1">
      <c r="A1079" s="216"/>
      <c r="B1079" s="12"/>
      <c r="C1079" s="12"/>
      <c r="D1079" s="13"/>
      <c r="E1079" s="12"/>
      <c r="F1079" s="13"/>
      <c r="G1079" s="13"/>
      <c r="H1079" s="12"/>
      <c r="I1079" s="18"/>
      <c r="J1079" s="16"/>
      <c r="K1079" s="16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6"/>
      <c r="AH1079" s="16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216"/>
      <c r="AU1079" s="18"/>
      <c r="AV1079" s="18"/>
      <c r="AW1079" s="18"/>
      <c r="AX1079" s="18"/>
      <c r="AY1079" s="18"/>
      <c r="AZ1079" s="18"/>
      <c r="BA1079" s="18"/>
      <c r="BB1079" s="18"/>
      <c r="BC1079" s="18"/>
      <c r="BD1079" s="18"/>
      <c r="BE1079" s="18"/>
      <c r="BF1079" s="15"/>
      <c r="BG1079" s="15"/>
    </row>
    <row r="1080" spans="1:59" ht="15.75" customHeight="1">
      <c r="A1080" s="216"/>
      <c r="B1080" s="12"/>
      <c r="C1080" s="12"/>
      <c r="D1080" s="13"/>
      <c r="E1080" s="12"/>
      <c r="F1080" s="13"/>
      <c r="G1080" s="13"/>
      <c r="H1080" s="12"/>
      <c r="I1080" s="18"/>
      <c r="J1080" s="16"/>
      <c r="K1080" s="16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6"/>
      <c r="AH1080" s="16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216"/>
      <c r="AU1080" s="18"/>
      <c r="AV1080" s="18"/>
      <c r="AW1080" s="18"/>
      <c r="AX1080" s="18"/>
      <c r="AY1080" s="18"/>
      <c r="AZ1080" s="18"/>
      <c r="BA1080" s="18"/>
      <c r="BB1080" s="18"/>
      <c r="BC1080" s="18"/>
      <c r="BD1080" s="18"/>
      <c r="BE1080" s="18"/>
      <c r="BF1080" s="15"/>
      <c r="BG1080" s="15"/>
    </row>
    <row r="1081" spans="1:59" ht="15.75" customHeight="1">
      <c r="A1081" s="216"/>
      <c r="B1081" s="12"/>
      <c r="C1081" s="12"/>
      <c r="D1081" s="13"/>
      <c r="E1081" s="12"/>
      <c r="F1081" s="13"/>
      <c r="G1081" s="13"/>
      <c r="H1081" s="12"/>
      <c r="I1081" s="18"/>
      <c r="J1081" s="16"/>
      <c r="K1081" s="16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6"/>
      <c r="AH1081" s="16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216"/>
      <c r="AU1081" s="18"/>
      <c r="AV1081" s="18"/>
      <c r="AW1081" s="18"/>
      <c r="AX1081" s="18"/>
      <c r="AY1081" s="18"/>
      <c r="AZ1081" s="18"/>
      <c r="BA1081" s="18"/>
      <c r="BB1081" s="18"/>
      <c r="BC1081" s="18"/>
      <c r="BD1081" s="18"/>
      <c r="BE1081" s="18"/>
      <c r="BF1081" s="15"/>
      <c r="BG1081" s="15"/>
    </row>
    <row r="1082" spans="1:59" ht="15.75" customHeight="1">
      <c r="A1082" s="216"/>
      <c r="B1082" s="12"/>
      <c r="C1082" s="12"/>
      <c r="D1082" s="13"/>
      <c r="E1082" s="12"/>
      <c r="F1082" s="13"/>
      <c r="G1082" s="13"/>
      <c r="H1082" s="12"/>
      <c r="I1082" s="18"/>
      <c r="J1082" s="16"/>
      <c r="K1082" s="16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6"/>
      <c r="AH1082" s="16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/>
      <c r="AT1082" s="216"/>
      <c r="AU1082" s="18"/>
      <c r="AV1082" s="18"/>
      <c r="AW1082" s="18"/>
      <c r="AX1082" s="18"/>
      <c r="AY1082" s="18"/>
      <c r="AZ1082" s="18"/>
      <c r="BA1082" s="18"/>
      <c r="BB1082" s="18"/>
      <c r="BC1082" s="18"/>
      <c r="BD1082" s="18"/>
      <c r="BE1082" s="18"/>
      <c r="BF1082" s="15"/>
      <c r="BG1082" s="15"/>
    </row>
    <row r="1083" spans="1:59" ht="15.75" customHeight="1">
      <c r="A1083" s="216"/>
      <c r="B1083" s="12"/>
      <c r="C1083" s="12"/>
      <c r="D1083" s="13"/>
      <c r="E1083" s="12"/>
      <c r="F1083" s="13"/>
      <c r="G1083" s="13"/>
      <c r="H1083" s="12"/>
      <c r="I1083" s="18"/>
      <c r="J1083" s="16"/>
      <c r="K1083" s="16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6"/>
      <c r="AH1083" s="16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216"/>
      <c r="AU1083" s="18"/>
      <c r="AV1083" s="18"/>
      <c r="AW1083" s="18"/>
      <c r="AX1083" s="18"/>
      <c r="AY1083" s="18"/>
      <c r="AZ1083" s="18"/>
      <c r="BA1083" s="18"/>
      <c r="BB1083" s="18"/>
      <c r="BC1083" s="18"/>
      <c r="BD1083" s="18"/>
      <c r="BE1083" s="18"/>
      <c r="BF1083" s="15"/>
      <c r="BG1083" s="15"/>
    </row>
    <row r="1084" spans="1:59" ht="15.75" customHeight="1">
      <c r="A1084" s="216"/>
      <c r="B1084" s="12"/>
      <c r="C1084" s="12"/>
      <c r="D1084" s="13"/>
      <c r="E1084" s="12"/>
      <c r="F1084" s="13"/>
      <c r="G1084" s="13"/>
      <c r="H1084" s="12"/>
      <c r="I1084" s="18"/>
      <c r="J1084" s="16"/>
      <c r="K1084" s="16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6"/>
      <c r="AH1084" s="16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216"/>
      <c r="AU1084" s="18"/>
      <c r="AV1084" s="18"/>
      <c r="AW1084" s="18"/>
      <c r="AX1084" s="18"/>
      <c r="AY1084" s="18"/>
      <c r="AZ1084" s="18"/>
      <c r="BA1084" s="18"/>
      <c r="BB1084" s="18"/>
      <c r="BC1084" s="18"/>
      <c r="BD1084" s="18"/>
      <c r="BE1084" s="18"/>
      <c r="BF1084" s="15"/>
      <c r="BG1084" s="15"/>
    </row>
    <row r="1085" spans="1:59" ht="15.75" customHeight="1">
      <c r="A1085" s="216"/>
      <c r="B1085" s="12"/>
      <c r="C1085" s="12"/>
      <c r="D1085" s="13"/>
      <c r="E1085" s="12"/>
      <c r="F1085" s="13"/>
      <c r="G1085" s="13"/>
      <c r="H1085" s="12"/>
      <c r="I1085" s="18"/>
      <c r="J1085" s="16"/>
      <c r="K1085" s="16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6"/>
      <c r="AH1085" s="16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s="18"/>
      <c r="AT1085" s="216"/>
      <c r="AU1085" s="18"/>
      <c r="AV1085" s="18"/>
      <c r="AW1085" s="18"/>
      <c r="AX1085" s="18"/>
      <c r="AY1085" s="18"/>
      <c r="AZ1085" s="18"/>
      <c r="BA1085" s="18"/>
      <c r="BB1085" s="18"/>
      <c r="BC1085" s="18"/>
      <c r="BD1085" s="18"/>
      <c r="BE1085" s="18"/>
      <c r="BF1085" s="15"/>
      <c r="BG1085" s="15"/>
    </row>
    <row r="1086" spans="1:59" ht="15.75" customHeight="1">
      <c r="A1086" s="216"/>
      <c r="B1086" s="12"/>
      <c r="C1086" s="12"/>
      <c r="D1086" s="13"/>
      <c r="E1086" s="12"/>
      <c r="F1086" s="13"/>
      <c r="G1086" s="13"/>
      <c r="H1086" s="12"/>
      <c r="I1086" s="18"/>
      <c r="J1086" s="16"/>
      <c r="K1086" s="16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6"/>
      <c r="AH1086" s="16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s="18"/>
      <c r="AT1086" s="216"/>
      <c r="AU1086" s="18"/>
      <c r="AV1086" s="18"/>
      <c r="AW1086" s="18"/>
      <c r="AX1086" s="18"/>
      <c r="AY1086" s="18"/>
      <c r="AZ1086" s="18"/>
      <c r="BA1086" s="18"/>
      <c r="BB1086" s="18"/>
      <c r="BC1086" s="18"/>
      <c r="BD1086" s="18"/>
      <c r="BE1086" s="18"/>
      <c r="BF1086" s="15"/>
      <c r="BG1086" s="15"/>
    </row>
    <row r="1087" spans="1:59" ht="15.75" customHeight="1">
      <c r="A1087" s="216"/>
      <c r="B1087" s="12"/>
      <c r="C1087" s="12"/>
      <c r="D1087" s="13"/>
      <c r="E1087" s="12"/>
      <c r="F1087" s="13"/>
      <c r="G1087" s="13"/>
      <c r="H1087" s="12"/>
      <c r="I1087" s="18"/>
      <c r="J1087" s="16"/>
      <c r="K1087" s="16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6"/>
      <c r="AH1087" s="16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216"/>
      <c r="AU1087" s="18"/>
      <c r="AV1087" s="18"/>
      <c r="AW1087" s="18"/>
      <c r="AX1087" s="18"/>
      <c r="AY1087" s="18"/>
      <c r="AZ1087" s="18"/>
      <c r="BA1087" s="18"/>
      <c r="BB1087" s="18"/>
      <c r="BC1087" s="18"/>
      <c r="BD1087" s="18"/>
      <c r="BE1087" s="18"/>
      <c r="BF1087" s="15"/>
      <c r="BG1087" s="15"/>
    </row>
    <row r="1088" spans="1:59" ht="15.75" customHeight="1">
      <c r="A1088" s="216"/>
      <c r="B1088" s="12"/>
      <c r="C1088" s="12"/>
      <c r="D1088" s="13"/>
      <c r="E1088" s="12"/>
      <c r="F1088" s="13"/>
      <c r="G1088" s="13"/>
      <c r="H1088" s="12"/>
      <c r="I1088" s="18"/>
      <c r="J1088" s="16"/>
      <c r="K1088" s="16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6"/>
      <c r="AH1088" s="16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s="18"/>
      <c r="AT1088" s="216"/>
      <c r="AU1088" s="18"/>
      <c r="AV1088" s="18"/>
      <c r="AW1088" s="18"/>
      <c r="AX1088" s="18"/>
      <c r="AY1088" s="18"/>
      <c r="AZ1088" s="18"/>
      <c r="BA1088" s="18"/>
      <c r="BB1088" s="18"/>
      <c r="BC1088" s="18"/>
      <c r="BD1088" s="18"/>
      <c r="BE1088" s="18"/>
      <c r="BF1088" s="15"/>
      <c r="BG1088" s="15"/>
    </row>
    <row r="1089" spans="1:59" ht="15.75" customHeight="1">
      <c r="A1089" s="216"/>
      <c r="B1089" s="12"/>
      <c r="C1089" s="12"/>
      <c r="D1089" s="13"/>
      <c r="E1089" s="12"/>
      <c r="F1089" s="13"/>
      <c r="G1089" s="13"/>
      <c r="H1089" s="12"/>
      <c r="I1089" s="18"/>
      <c r="J1089" s="16"/>
      <c r="K1089" s="16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6"/>
      <c r="AH1089" s="16"/>
      <c r="AI1089" s="18"/>
      <c r="AJ1089" s="18"/>
      <c r="AK1089" s="18"/>
      <c r="AL1089" s="18"/>
      <c r="AM1089" s="18"/>
      <c r="AN1089" s="18"/>
      <c r="AO1089" s="18"/>
      <c r="AP1089" s="18"/>
      <c r="AQ1089" s="18"/>
      <c r="AR1089" s="18"/>
      <c r="AS1089" s="18"/>
      <c r="AT1089" s="216"/>
      <c r="AU1089" s="18"/>
      <c r="AV1089" s="18"/>
      <c r="AW1089" s="18"/>
      <c r="AX1089" s="18"/>
      <c r="AY1089" s="18"/>
      <c r="AZ1089" s="18"/>
      <c r="BA1089" s="18"/>
      <c r="BB1089" s="18"/>
      <c r="BC1089" s="18"/>
      <c r="BD1089" s="18"/>
      <c r="BE1089" s="18"/>
      <c r="BF1089" s="15"/>
      <c r="BG1089" s="15"/>
    </row>
    <row r="1090" spans="1:59" ht="15.75" customHeight="1">
      <c r="A1090" s="216"/>
      <c r="B1090" s="12"/>
      <c r="C1090" s="12"/>
      <c r="D1090" s="13"/>
      <c r="E1090" s="12"/>
      <c r="F1090" s="13"/>
      <c r="G1090" s="13"/>
      <c r="H1090" s="12"/>
      <c r="I1090" s="18"/>
      <c r="J1090" s="16"/>
      <c r="K1090" s="16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6"/>
      <c r="AH1090" s="16"/>
      <c r="AI1090" s="18"/>
      <c r="AJ1090" s="18"/>
      <c r="AK1090" s="18"/>
      <c r="AL1090" s="18"/>
      <c r="AM1090" s="18"/>
      <c r="AN1090" s="18"/>
      <c r="AO1090" s="18"/>
      <c r="AP1090" s="18"/>
      <c r="AQ1090" s="18"/>
      <c r="AR1090" s="18"/>
      <c r="AS1090" s="18"/>
      <c r="AT1090" s="216"/>
      <c r="AU1090" s="18"/>
      <c r="AV1090" s="18"/>
      <c r="AW1090" s="18"/>
      <c r="AX1090" s="18"/>
      <c r="AY1090" s="18"/>
      <c r="AZ1090" s="18"/>
      <c r="BA1090" s="18"/>
      <c r="BB1090" s="18"/>
      <c r="BC1090" s="18"/>
      <c r="BD1090" s="18"/>
      <c r="BE1090" s="18"/>
      <c r="BF1090" s="15"/>
      <c r="BG1090" s="15"/>
    </row>
    <row r="1091" spans="1:59" ht="15.75" customHeight="1">
      <c r="A1091" s="216"/>
      <c r="B1091" s="12"/>
      <c r="C1091" s="12"/>
      <c r="D1091" s="13"/>
      <c r="E1091" s="12"/>
      <c r="F1091" s="13"/>
      <c r="G1091" s="13"/>
      <c r="H1091" s="12"/>
      <c r="I1091" s="18"/>
      <c r="J1091" s="16"/>
      <c r="K1091" s="16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6"/>
      <c r="AH1091" s="16"/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18"/>
      <c r="AT1091" s="216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8"/>
      <c r="BE1091" s="18"/>
      <c r="BF1091" s="15"/>
      <c r="BG1091" s="15"/>
    </row>
    <row r="1092" spans="1:59" ht="15.75" customHeight="1">
      <c r="A1092" s="216"/>
      <c r="B1092" s="12"/>
      <c r="C1092" s="12"/>
      <c r="D1092" s="13"/>
      <c r="E1092" s="12"/>
      <c r="F1092" s="13"/>
      <c r="G1092" s="13"/>
      <c r="H1092" s="12"/>
      <c r="I1092" s="18"/>
      <c r="J1092" s="16"/>
      <c r="K1092" s="16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6"/>
      <c r="AH1092" s="16"/>
      <c r="AI1092" s="18"/>
      <c r="AJ1092" s="18"/>
      <c r="AK1092" s="18"/>
      <c r="AL1092" s="18"/>
      <c r="AM1092" s="18"/>
      <c r="AN1092" s="18"/>
      <c r="AO1092" s="18"/>
      <c r="AP1092" s="18"/>
      <c r="AQ1092" s="18"/>
      <c r="AR1092" s="18"/>
      <c r="AS1092" s="18"/>
      <c r="AT1092" s="216"/>
      <c r="AU1092" s="18"/>
      <c r="AV1092" s="18"/>
      <c r="AW1092" s="18"/>
      <c r="AX1092" s="18"/>
      <c r="AY1092" s="18"/>
      <c r="AZ1092" s="18"/>
      <c r="BA1092" s="18"/>
      <c r="BB1092" s="18"/>
      <c r="BC1092" s="18"/>
      <c r="BD1092" s="18"/>
      <c r="BE1092" s="18"/>
      <c r="BF1092" s="15"/>
      <c r="BG1092" s="15"/>
    </row>
    <row r="1093" spans="1:59" ht="15.75" customHeight="1">
      <c r="A1093" s="216"/>
      <c r="B1093" s="12"/>
      <c r="C1093" s="12"/>
      <c r="D1093" s="13"/>
      <c r="E1093" s="12"/>
      <c r="F1093" s="13"/>
      <c r="G1093" s="13"/>
      <c r="H1093" s="12"/>
      <c r="I1093" s="18"/>
      <c r="J1093" s="16"/>
      <c r="K1093" s="16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  <c r="AF1093" s="18"/>
      <c r="AG1093" s="16"/>
      <c r="AH1093" s="16"/>
      <c r="AI1093" s="18"/>
      <c r="AJ1093" s="18"/>
      <c r="AK1093" s="18"/>
      <c r="AL1093" s="18"/>
      <c r="AM1093" s="18"/>
      <c r="AN1093" s="18"/>
      <c r="AO1093" s="18"/>
      <c r="AP1093" s="18"/>
      <c r="AQ1093" s="18"/>
      <c r="AR1093" s="18"/>
      <c r="AS1093" s="18"/>
      <c r="AT1093" s="216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8"/>
      <c r="BE1093" s="18"/>
      <c r="BF1093" s="15"/>
      <c r="BG1093" s="15"/>
    </row>
    <row r="1094" spans="1:59" ht="15.75" customHeight="1">
      <c r="A1094" s="216"/>
      <c r="B1094" s="12"/>
      <c r="C1094" s="12"/>
      <c r="D1094" s="13"/>
      <c r="E1094" s="12"/>
      <c r="F1094" s="13"/>
      <c r="G1094" s="13"/>
      <c r="H1094" s="12"/>
      <c r="I1094" s="18"/>
      <c r="J1094" s="16"/>
      <c r="K1094" s="16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/>
      <c r="AG1094" s="16"/>
      <c r="AH1094" s="16"/>
      <c r="AI1094" s="18"/>
      <c r="AJ1094" s="18"/>
      <c r="AK1094" s="18"/>
      <c r="AL1094" s="18"/>
      <c r="AM1094" s="18"/>
      <c r="AN1094" s="18"/>
      <c r="AO1094" s="18"/>
      <c r="AP1094" s="18"/>
      <c r="AQ1094" s="18"/>
      <c r="AR1094" s="18"/>
      <c r="AS1094" s="18"/>
      <c r="AT1094" s="216"/>
      <c r="AU1094" s="18"/>
      <c r="AV1094" s="18"/>
      <c r="AW1094" s="18"/>
      <c r="AX1094" s="18"/>
      <c r="AY1094" s="18"/>
      <c r="AZ1094" s="18"/>
      <c r="BA1094" s="18"/>
      <c r="BB1094" s="18"/>
      <c r="BC1094" s="18"/>
      <c r="BD1094" s="18"/>
      <c r="BE1094" s="18"/>
      <c r="BF1094" s="15"/>
      <c r="BG1094" s="15"/>
    </row>
    <row r="1095" spans="1:59" ht="15.75" customHeight="1">
      <c r="A1095" s="216"/>
      <c r="B1095" s="12"/>
      <c r="C1095" s="12"/>
      <c r="D1095" s="13"/>
      <c r="E1095" s="12"/>
      <c r="F1095" s="13"/>
      <c r="G1095" s="13"/>
      <c r="H1095" s="12"/>
      <c r="I1095" s="18"/>
      <c r="J1095" s="16"/>
      <c r="K1095" s="16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6"/>
      <c r="AH1095" s="16"/>
      <c r="AI1095" s="18"/>
      <c r="AJ1095" s="18"/>
      <c r="AK1095" s="18"/>
      <c r="AL1095" s="18"/>
      <c r="AM1095" s="18"/>
      <c r="AN1095" s="18"/>
      <c r="AO1095" s="18"/>
      <c r="AP1095" s="18"/>
      <c r="AQ1095" s="18"/>
      <c r="AR1095" s="18"/>
      <c r="AS1095" s="18"/>
      <c r="AT1095" s="216"/>
      <c r="AU1095" s="18"/>
      <c r="AV1095" s="18"/>
      <c r="AW1095" s="18"/>
      <c r="AX1095" s="18"/>
      <c r="AY1095" s="18"/>
      <c r="AZ1095" s="18"/>
      <c r="BA1095" s="18"/>
      <c r="BB1095" s="18"/>
      <c r="BC1095" s="18"/>
      <c r="BD1095" s="18"/>
      <c r="BE1095" s="18"/>
      <c r="BF1095" s="15"/>
      <c r="BG1095" s="15"/>
    </row>
    <row r="1096" spans="1:59" ht="15.75" customHeight="1">
      <c r="A1096" s="216"/>
      <c r="B1096" s="12"/>
      <c r="C1096" s="12"/>
      <c r="D1096" s="13"/>
      <c r="E1096" s="12"/>
      <c r="F1096" s="13"/>
      <c r="G1096" s="13"/>
      <c r="H1096" s="12"/>
      <c r="I1096" s="18"/>
      <c r="J1096" s="16"/>
      <c r="K1096" s="16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6"/>
      <c r="AH1096" s="16"/>
      <c r="AI1096" s="18"/>
      <c r="AJ1096" s="18"/>
      <c r="AK1096" s="18"/>
      <c r="AL1096" s="18"/>
      <c r="AM1096" s="18"/>
      <c r="AN1096" s="18"/>
      <c r="AO1096" s="18"/>
      <c r="AP1096" s="18"/>
      <c r="AQ1096" s="18"/>
      <c r="AR1096" s="18"/>
      <c r="AS1096" s="18"/>
      <c r="AT1096" s="216"/>
      <c r="AU1096" s="18"/>
      <c r="AV1096" s="18"/>
      <c r="AW1096" s="18"/>
      <c r="AX1096" s="18"/>
      <c r="AY1096" s="18"/>
      <c r="AZ1096" s="18"/>
      <c r="BA1096" s="18"/>
      <c r="BB1096" s="18"/>
      <c r="BC1096" s="18"/>
      <c r="BD1096" s="18"/>
      <c r="BE1096" s="18"/>
      <c r="BF1096" s="15"/>
      <c r="BG1096" s="15"/>
    </row>
    <row r="1097" spans="1:59" ht="15.75" customHeight="1">
      <c r="A1097" s="216"/>
      <c r="B1097" s="12"/>
      <c r="C1097" s="12"/>
      <c r="D1097" s="13"/>
      <c r="E1097" s="12"/>
      <c r="F1097" s="13"/>
      <c r="G1097" s="13"/>
      <c r="H1097" s="12"/>
      <c r="I1097" s="18"/>
      <c r="J1097" s="16"/>
      <c r="K1097" s="16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6"/>
      <c r="AH1097" s="16"/>
      <c r="AI1097" s="18"/>
      <c r="AJ1097" s="18"/>
      <c r="AK1097" s="18"/>
      <c r="AL1097" s="18"/>
      <c r="AM1097" s="18"/>
      <c r="AN1097" s="18"/>
      <c r="AO1097" s="18"/>
      <c r="AP1097" s="18"/>
      <c r="AQ1097" s="18"/>
      <c r="AR1097" s="18"/>
      <c r="AS1097" s="18"/>
      <c r="AT1097" s="216"/>
      <c r="AU1097" s="18"/>
      <c r="AV1097" s="18"/>
      <c r="AW1097" s="18"/>
      <c r="AX1097" s="18"/>
      <c r="AY1097" s="18"/>
      <c r="AZ1097" s="18"/>
      <c r="BA1097" s="18"/>
      <c r="BB1097" s="18"/>
      <c r="BC1097" s="18"/>
      <c r="BD1097" s="18"/>
      <c r="BE1097" s="18"/>
      <c r="BF1097" s="15"/>
      <c r="BG1097" s="15"/>
    </row>
    <row r="1098" spans="1:59" ht="15.75" customHeight="1">
      <c r="A1098" s="216"/>
      <c r="B1098" s="12"/>
      <c r="C1098" s="12"/>
      <c r="D1098" s="13"/>
      <c r="E1098" s="12"/>
      <c r="F1098" s="13"/>
      <c r="G1098" s="13"/>
      <c r="H1098" s="12"/>
      <c r="I1098" s="18"/>
      <c r="J1098" s="16"/>
      <c r="K1098" s="16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6"/>
      <c r="AH1098" s="16"/>
      <c r="AI1098" s="18"/>
      <c r="AJ1098" s="18"/>
      <c r="AK1098" s="18"/>
      <c r="AL1098" s="18"/>
      <c r="AM1098" s="18"/>
      <c r="AN1098" s="18"/>
      <c r="AO1098" s="18"/>
      <c r="AP1098" s="18"/>
      <c r="AQ1098" s="18"/>
      <c r="AR1098" s="18"/>
      <c r="AS1098" s="18"/>
      <c r="AT1098" s="216"/>
      <c r="AU1098" s="18"/>
      <c r="AV1098" s="18"/>
      <c r="AW1098" s="18"/>
      <c r="AX1098" s="18"/>
      <c r="AY1098" s="18"/>
      <c r="AZ1098" s="18"/>
      <c r="BA1098" s="18"/>
      <c r="BB1098" s="18"/>
      <c r="BC1098" s="18"/>
      <c r="BD1098" s="18"/>
      <c r="BE1098" s="18"/>
      <c r="BF1098" s="15"/>
      <c r="BG1098" s="15"/>
    </row>
    <row r="1099" spans="1:59" ht="15.75" customHeight="1">
      <c r="A1099" s="216"/>
      <c r="B1099" s="12"/>
      <c r="C1099" s="12"/>
      <c r="D1099" s="13"/>
      <c r="E1099" s="12"/>
      <c r="F1099" s="13"/>
      <c r="G1099" s="13"/>
      <c r="H1099" s="12"/>
      <c r="I1099" s="18"/>
      <c r="J1099" s="16"/>
      <c r="K1099" s="16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6"/>
      <c r="AH1099" s="16"/>
      <c r="AI1099" s="18"/>
      <c r="AJ1099" s="18"/>
      <c r="AK1099" s="18"/>
      <c r="AL1099" s="18"/>
      <c r="AM1099" s="18"/>
      <c r="AN1099" s="18"/>
      <c r="AO1099" s="18"/>
      <c r="AP1099" s="18"/>
      <c r="AQ1099" s="18"/>
      <c r="AR1099" s="18"/>
      <c r="AS1099" s="18"/>
      <c r="AT1099" s="216"/>
      <c r="AU1099" s="18"/>
      <c r="AV1099" s="18"/>
      <c r="AW1099" s="18"/>
      <c r="AX1099" s="18"/>
      <c r="AY1099" s="18"/>
      <c r="AZ1099" s="18"/>
      <c r="BA1099" s="18"/>
      <c r="BB1099" s="18"/>
      <c r="BC1099" s="18"/>
      <c r="BD1099" s="18"/>
      <c r="BE1099" s="18"/>
      <c r="BF1099" s="15"/>
      <c r="BG1099" s="15"/>
    </row>
    <row r="1100" spans="1:59" ht="15.75" customHeight="1">
      <c r="A1100" s="216"/>
      <c r="B1100" s="12"/>
      <c r="C1100" s="12"/>
      <c r="D1100" s="13"/>
      <c r="E1100" s="12"/>
      <c r="F1100" s="13"/>
      <c r="G1100" s="13"/>
      <c r="H1100" s="12"/>
      <c r="I1100" s="18"/>
      <c r="J1100" s="16"/>
      <c r="K1100" s="16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6"/>
      <c r="AH1100" s="16"/>
      <c r="AI1100" s="18"/>
      <c r="AJ1100" s="18"/>
      <c r="AK1100" s="18"/>
      <c r="AL1100" s="18"/>
      <c r="AM1100" s="18"/>
      <c r="AN1100" s="18"/>
      <c r="AO1100" s="18"/>
      <c r="AP1100" s="18"/>
      <c r="AQ1100" s="18"/>
      <c r="AR1100" s="18"/>
      <c r="AS1100" s="18"/>
      <c r="AT1100" s="216"/>
      <c r="AU1100" s="18"/>
      <c r="AV1100" s="18"/>
      <c r="AW1100" s="18"/>
      <c r="AX1100" s="18"/>
      <c r="AY1100" s="18"/>
      <c r="AZ1100" s="18"/>
      <c r="BA1100" s="18"/>
      <c r="BB1100" s="18"/>
      <c r="BC1100" s="18"/>
      <c r="BD1100" s="18"/>
      <c r="BE1100" s="18"/>
      <c r="BF1100" s="15"/>
      <c r="BG1100" s="15"/>
    </row>
    <row r="1101" spans="1:59" ht="15.75" customHeight="1">
      <c r="A1101" s="216"/>
      <c r="B1101" s="12"/>
      <c r="C1101" s="12"/>
      <c r="D1101" s="13"/>
      <c r="E1101" s="12"/>
      <c r="F1101" s="13"/>
      <c r="G1101" s="13"/>
      <c r="H1101" s="12"/>
      <c r="I1101" s="18"/>
      <c r="J1101" s="16"/>
      <c r="K1101" s="16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6"/>
      <c r="AH1101" s="16"/>
      <c r="AI1101" s="18"/>
      <c r="AJ1101" s="18"/>
      <c r="AK1101" s="18"/>
      <c r="AL1101" s="18"/>
      <c r="AM1101" s="18"/>
      <c r="AN1101" s="18"/>
      <c r="AO1101" s="18"/>
      <c r="AP1101" s="18"/>
      <c r="AQ1101" s="18"/>
      <c r="AR1101" s="18"/>
      <c r="AS1101" s="18"/>
      <c r="AT1101" s="216"/>
      <c r="AU1101" s="18"/>
      <c r="AV1101" s="18"/>
      <c r="AW1101" s="18"/>
      <c r="AX1101" s="18"/>
      <c r="AY1101" s="18"/>
      <c r="AZ1101" s="18"/>
      <c r="BA1101" s="18"/>
      <c r="BB1101" s="18"/>
      <c r="BC1101" s="18"/>
      <c r="BD1101" s="18"/>
      <c r="BE1101" s="18"/>
      <c r="BF1101" s="15"/>
      <c r="BG1101" s="15"/>
    </row>
    <row r="1102" spans="1:59" ht="15.75" customHeight="1">
      <c r="A1102" s="216"/>
      <c r="B1102" s="12"/>
      <c r="C1102" s="12"/>
      <c r="D1102" s="13"/>
      <c r="E1102" s="12"/>
      <c r="F1102" s="13"/>
      <c r="G1102" s="13"/>
      <c r="H1102" s="12"/>
      <c r="I1102" s="18"/>
      <c r="J1102" s="16"/>
      <c r="K1102" s="16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6"/>
      <c r="AH1102" s="16"/>
      <c r="AI1102" s="18"/>
      <c r="AJ1102" s="18"/>
      <c r="AK1102" s="18"/>
      <c r="AL1102" s="18"/>
      <c r="AM1102" s="18"/>
      <c r="AN1102" s="18"/>
      <c r="AO1102" s="18"/>
      <c r="AP1102" s="18"/>
      <c r="AQ1102" s="18"/>
      <c r="AR1102" s="18"/>
      <c r="AS1102" s="18"/>
      <c r="AT1102" s="216"/>
      <c r="AU1102" s="18"/>
      <c r="AV1102" s="18"/>
      <c r="AW1102" s="18"/>
      <c r="AX1102" s="18"/>
      <c r="AY1102" s="18"/>
      <c r="AZ1102" s="18"/>
      <c r="BA1102" s="18"/>
      <c r="BB1102" s="18"/>
      <c r="BC1102" s="18"/>
      <c r="BD1102" s="18"/>
      <c r="BE1102" s="18"/>
      <c r="BF1102" s="15"/>
      <c r="BG1102" s="15"/>
    </row>
    <row r="1103" spans="1:59" ht="15.75" customHeight="1">
      <c r="A1103" s="216"/>
      <c r="B1103" s="12"/>
      <c r="C1103" s="12"/>
      <c r="D1103" s="13"/>
      <c r="E1103" s="12"/>
      <c r="F1103" s="13"/>
      <c r="G1103" s="13"/>
      <c r="H1103" s="12"/>
      <c r="I1103" s="18"/>
      <c r="J1103" s="16"/>
      <c r="K1103" s="16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18"/>
      <c r="AG1103" s="16"/>
      <c r="AH1103" s="16"/>
      <c r="AI1103" s="18"/>
      <c r="AJ1103" s="18"/>
      <c r="AK1103" s="18"/>
      <c r="AL1103" s="18"/>
      <c r="AM1103" s="18"/>
      <c r="AN1103" s="18"/>
      <c r="AO1103" s="18"/>
      <c r="AP1103" s="18"/>
      <c r="AQ1103" s="18"/>
      <c r="AR1103" s="18"/>
      <c r="AS1103" s="18"/>
      <c r="AT1103" s="216"/>
      <c r="AU1103" s="18"/>
      <c r="AV1103" s="18"/>
      <c r="AW1103" s="18"/>
      <c r="AX1103" s="18"/>
      <c r="AY1103" s="18"/>
      <c r="AZ1103" s="18"/>
      <c r="BA1103" s="18"/>
      <c r="BB1103" s="18"/>
      <c r="BC1103" s="18"/>
      <c r="BD1103" s="18"/>
      <c r="BE1103" s="18"/>
      <c r="BF1103" s="15"/>
      <c r="BG1103" s="15"/>
    </row>
    <row r="1104" spans="1:59" ht="15.75" customHeight="1">
      <c r="A1104" s="216"/>
      <c r="B1104" s="12"/>
      <c r="C1104" s="12"/>
      <c r="D1104" s="13"/>
      <c r="E1104" s="12"/>
      <c r="F1104" s="13"/>
      <c r="G1104" s="13"/>
      <c r="H1104" s="12"/>
      <c r="I1104" s="18"/>
      <c r="J1104" s="16"/>
      <c r="K1104" s="16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6"/>
      <c r="AH1104" s="16"/>
      <c r="AI1104" s="18"/>
      <c r="AJ1104" s="18"/>
      <c r="AK1104" s="18"/>
      <c r="AL1104" s="18"/>
      <c r="AM1104" s="18"/>
      <c r="AN1104" s="18"/>
      <c r="AO1104" s="18"/>
      <c r="AP1104" s="18"/>
      <c r="AQ1104" s="18"/>
      <c r="AR1104" s="18"/>
      <c r="AS1104" s="18"/>
      <c r="AT1104" s="216"/>
      <c r="AU1104" s="18"/>
      <c r="AV1104" s="18"/>
      <c r="AW1104" s="18"/>
      <c r="AX1104" s="18"/>
      <c r="AY1104" s="18"/>
      <c r="AZ1104" s="18"/>
      <c r="BA1104" s="18"/>
      <c r="BB1104" s="18"/>
      <c r="BC1104" s="18"/>
      <c r="BD1104" s="18"/>
      <c r="BE1104" s="18"/>
      <c r="BF1104" s="15"/>
      <c r="BG1104" s="15"/>
    </row>
    <row r="1105" spans="1:59" ht="15.75" customHeight="1">
      <c r="A1105" s="216"/>
      <c r="B1105" s="12"/>
      <c r="C1105" s="12"/>
      <c r="D1105" s="13"/>
      <c r="E1105" s="12"/>
      <c r="F1105" s="13"/>
      <c r="G1105" s="13"/>
      <c r="H1105" s="12"/>
      <c r="I1105" s="18"/>
      <c r="J1105" s="16"/>
      <c r="K1105" s="16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F1105" s="18"/>
      <c r="AG1105" s="16"/>
      <c r="AH1105" s="16"/>
      <c r="AI1105" s="18"/>
      <c r="AJ1105" s="18"/>
      <c r="AK1105" s="18"/>
      <c r="AL1105" s="18"/>
      <c r="AM1105" s="18"/>
      <c r="AN1105" s="18"/>
      <c r="AO1105" s="18"/>
      <c r="AP1105" s="18"/>
      <c r="AQ1105" s="18"/>
      <c r="AR1105" s="18"/>
      <c r="AS1105" s="18"/>
      <c r="AT1105" s="216"/>
      <c r="AU1105" s="18"/>
      <c r="AV1105" s="18"/>
      <c r="AW1105" s="18"/>
      <c r="AX1105" s="18"/>
      <c r="AY1105" s="18"/>
      <c r="AZ1105" s="18"/>
      <c r="BA1105" s="18"/>
      <c r="BB1105" s="18"/>
      <c r="BC1105" s="18"/>
      <c r="BD1105" s="18"/>
      <c r="BE1105" s="18"/>
      <c r="BF1105" s="15"/>
      <c r="BG1105" s="15"/>
    </row>
    <row r="1106" spans="1:59" ht="15.75" customHeight="1">
      <c r="A1106" s="216"/>
      <c r="B1106" s="12"/>
      <c r="C1106" s="12"/>
      <c r="D1106" s="13"/>
      <c r="E1106" s="12"/>
      <c r="F1106" s="13"/>
      <c r="G1106" s="13"/>
      <c r="H1106" s="12"/>
      <c r="I1106" s="18"/>
      <c r="J1106" s="16"/>
      <c r="K1106" s="16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F1106" s="18"/>
      <c r="AG1106" s="16"/>
      <c r="AH1106" s="16"/>
      <c r="AI1106" s="18"/>
      <c r="AJ1106" s="18"/>
      <c r="AK1106" s="18"/>
      <c r="AL1106" s="18"/>
      <c r="AM1106" s="18"/>
      <c r="AN1106" s="18"/>
      <c r="AO1106" s="18"/>
      <c r="AP1106" s="18"/>
      <c r="AQ1106" s="18"/>
      <c r="AR1106" s="18"/>
      <c r="AS1106" s="18"/>
      <c r="AT1106" s="216"/>
      <c r="AU1106" s="18"/>
      <c r="AV1106" s="18"/>
      <c r="AW1106" s="18"/>
      <c r="AX1106" s="18"/>
      <c r="AY1106" s="18"/>
      <c r="AZ1106" s="18"/>
      <c r="BA1106" s="18"/>
      <c r="BB1106" s="18"/>
      <c r="BC1106" s="18"/>
      <c r="BD1106" s="18"/>
      <c r="BE1106" s="18"/>
      <c r="BF1106" s="15"/>
      <c r="BG1106" s="15"/>
    </row>
    <row r="1107" spans="1:59" ht="15.75" customHeight="1">
      <c r="A1107" s="216"/>
      <c r="B1107" s="12"/>
      <c r="C1107" s="12"/>
      <c r="D1107" s="13"/>
      <c r="E1107" s="12"/>
      <c r="F1107" s="13"/>
      <c r="G1107" s="13"/>
      <c r="H1107" s="12"/>
      <c r="I1107" s="18"/>
      <c r="J1107" s="16"/>
      <c r="K1107" s="16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6"/>
      <c r="AH1107" s="16"/>
      <c r="AI1107" s="18"/>
      <c r="AJ1107" s="18"/>
      <c r="AK1107" s="18"/>
      <c r="AL1107" s="18"/>
      <c r="AM1107" s="18"/>
      <c r="AN1107" s="18"/>
      <c r="AO1107" s="18"/>
      <c r="AP1107" s="18"/>
      <c r="AQ1107" s="18"/>
      <c r="AR1107" s="18"/>
      <c r="AS1107" s="18"/>
      <c r="AT1107" s="216"/>
      <c r="AU1107" s="18"/>
      <c r="AV1107" s="18"/>
      <c r="AW1107" s="18"/>
      <c r="AX1107" s="18"/>
      <c r="AY1107" s="18"/>
      <c r="AZ1107" s="18"/>
      <c r="BA1107" s="18"/>
      <c r="BB1107" s="18"/>
      <c r="BC1107" s="18"/>
      <c r="BD1107" s="18"/>
      <c r="BE1107" s="18"/>
      <c r="BF1107" s="15"/>
      <c r="BG1107" s="15"/>
    </row>
    <row r="1108" spans="1:59" ht="15.75" customHeight="1">
      <c r="A1108" s="216"/>
      <c r="B1108" s="12"/>
      <c r="C1108" s="12"/>
      <c r="D1108" s="13"/>
      <c r="E1108" s="12"/>
      <c r="F1108" s="13"/>
      <c r="G1108" s="13"/>
      <c r="H1108" s="12"/>
      <c r="I1108" s="18"/>
      <c r="J1108" s="16"/>
      <c r="K1108" s="16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F1108" s="18"/>
      <c r="AG1108" s="16"/>
      <c r="AH1108" s="16"/>
      <c r="AI1108" s="18"/>
      <c r="AJ1108" s="18"/>
      <c r="AK1108" s="18"/>
      <c r="AL1108" s="18"/>
      <c r="AM1108" s="18"/>
      <c r="AN1108" s="18"/>
      <c r="AO1108" s="18"/>
      <c r="AP1108" s="18"/>
      <c r="AQ1108" s="18"/>
      <c r="AR1108" s="18"/>
      <c r="AS1108" s="18"/>
      <c r="AT1108" s="216"/>
      <c r="AU1108" s="18"/>
      <c r="AV1108" s="18"/>
      <c r="AW1108" s="18"/>
      <c r="AX1108" s="18"/>
      <c r="AY1108" s="18"/>
      <c r="AZ1108" s="18"/>
      <c r="BA1108" s="18"/>
      <c r="BB1108" s="18"/>
      <c r="BC1108" s="18"/>
      <c r="BD1108" s="18"/>
      <c r="BE1108" s="18"/>
      <c r="BF1108" s="15"/>
      <c r="BG1108" s="15"/>
    </row>
    <row r="1109" spans="1:59" ht="15.75" customHeight="1">
      <c r="A1109" s="216"/>
      <c r="B1109" s="12"/>
      <c r="C1109" s="12"/>
      <c r="D1109" s="13"/>
      <c r="E1109" s="12"/>
      <c r="F1109" s="13"/>
      <c r="G1109" s="13"/>
      <c r="H1109" s="12"/>
      <c r="I1109" s="18"/>
      <c r="J1109" s="16"/>
      <c r="K1109" s="16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6"/>
      <c r="AH1109" s="16"/>
      <c r="AI1109" s="18"/>
      <c r="AJ1109" s="18"/>
      <c r="AK1109" s="18"/>
      <c r="AL1109" s="18"/>
      <c r="AM1109" s="18"/>
      <c r="AN1109" s="18"/>
      <c r="AO1109" s="18"/>
      <c r="AP1109" s="18"/>
      <c r="AQ1109" s="18"/>
      <c r="AR1109" s="18"/>
      <c r="AS1109" s="18"/>
      <c r="AT1109" s="216"/>
      <c r="AU1109" s="18"/>
      <c r="AV1109" s="18"/>
      <c r="AW1109" s="18"/>
      <c r="AX1109" s="18"/>
      <c r="AY1109" s="18"/>
      <c r="AZ1109" s="18"/>
      <c r="BA1109" s="18"/>
      <c r="BB1109" s="18"/>
      <c r="BC1109" s="18"/>
      <c r="BD1109" s="18"/>
      <c r="BE1109" s="18"/>
      <c r="BF1109" s="15"/>
      <c r="BG1109" s="15"/>
    </row>
    <row r="1110" spans="1:59" ht="15.75" customHeight="1">
      <c r="A1110" s="216"/>
      <c r="B1110" s="12"/>
      <c r="C1110" s="12"/>
      <c r="D1110" s="13"/>
      <c r="E1110" s="12"/>
      <c r="F1110" s="13"/>
      <c r="G1110" s="13"/>
      <c r="H1110" s="12"/>
      <c r="I1110" s="18"/>
      <c r="J1110" s="16"/>
      <c r="K1110" s="16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6"/>
      <c r="AH1110" s="16"/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/>
      <c r="AS1110" s="18"/>
      <c r="AT1110" s="216"/>
      <c r="AU1110" s="18"/>
      <c r="AV1110" s="18"/>
      <c r="AW1110" s="18"/>
      <c r="AX1110" s="18"/>
      <c r="AY1110" s="18"/>
      <c r="AZ1110" s="18"/>
      <c r="BA1110" s="18"/>
      <c r="BB1110" s="18"/>
      <c r="BC1110" s="18"/>
      <c r="BD1110" s="18"/>
      <c r="BE1110" s="18"/>
      <c r="BF1110" s="15"/>
      <c r="BG1110" s="15"/>
    </row>
    <row r="1111" spans="1:59" ht="15.75" customHeight="1">
      <c r="A1111" s="216"/>
      <c r="B1111" s="12"/>
      <c r="C1111" s="12"/>
      <c r="D1111" s="13"/>
      <c r="E1111" s="12"/>
      <c r="F1111" s="13"/>
      <c r="G1111" s="13"/>
      <c r="H1111" s="12"/>
      <c r="I1111" s="18"/>
      <c r="J1111" s="16"/>
      <c r="K1111" s="16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6"/>
      <c r="AH1111" s="16"/>
      <c r="AI1111" s="18"/>
      <c r="AJ1111" s="18"/>
      <c r="AK1111" s="18"/>
      <c r="AL1111" s="18"/>
      <c r="AM1111" s="18"/>
      <c r="AN1111" s="18"/>
      <c r="AO1111" s="18"/>
      <c r="AP1111" s="18"/>
      <c r="AQ1111" s="18"/>
      <c r="AR1111" s="18"/>
      <c r="AS1111" s="18"/>
      <c r="AT1111" s="216"/>
      <c r="AU1111" s="18"/>
      <c r="AV1111" s="18"/>
      <c r="AW1111" s="18"/>
      <c r="AX1111" s="18"/>
      <c r="AY1111" s="18"/>
      <c r="AZ1111" s="18"/>
      <c r="BA1111" s="18"/>
      <c r="BB1111" s="18"/>
      <c r="BC1111" s="18"/>
      <c r="BD1111" s="18"/>
      <c r="BE1111" s="18"/>
      <c r="BF1111" s="15"/>
      <c r="BG1111" s="15"/>
    </row>
    <row r="1112" spans="1:59" ht="15.75" customHeight="1">
      <c r="A1112" s="216"/>
      <c r="B1112" s="12"/>
      <c r="C1112" s="12"/>
      <c r="D1112" s="13"/>
      <c r="E1112" s="12"/>
      <c r="F1112" s="13"/>
      <c r="G1112" s="13"/>
      <c r="H1112" s="12"/>
      <c r="I1112" s="18"/>
      <c r="J1112" s="16"/>
      <c r="K1112" s="16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6"/>
      <c r="AH1112" s="16"/>
      <c r="AI1112" s="18"/>
      <c r="AJ1112" s="18"/>
      <c r="AK1112" s="18"/>
      <c r="AL1112" s="18"/>
      <c r="AM1112" s="18"/>
      <c r="AN1112" s="18"/>
      <c r="AO1112" s="18"/>
      <c r="AP1112" s="18"/>
      <c r="AQ1112" s="18"/>
      <c r="AR1112" s="18"/>
      <c r="AS1112" s="18"/>
      <c r="AT1112" s="216"/>
      <c r="AU1112" s="18"/>
      <c r="AV1112" s="18"/>
      <c r="AW1112" s="18"/>
      <c r="AX1112" s="18"/>
      <c r="AY1112" s="18"/>
      <c r="AZ1112" s="18"/>
      <c r="BA1112" s="18"/>
      <c r="BB1112" s="18"/>
      <c r="BC1112" s="18"/>
      <c r="BD1112" s="18"/>
      <c r="BE1112" s="18"/>
      <c r="BF1112" s="15"/>
      <c r="BG1112" s="15"/>
    </row>
    <row r="1113" spans="1:59" ht="15.75" customHeight="1">
      <c r="A1113" s="216"/>
      <c r="B1113" s="12"/>
      <c r="C1113" s="12"/>
      <c r="D1113" s="13"/>
      <c r="E1113" s="12"/>
      <c r="F1113" s="13"/>
      <c r="G1113" s="13"/>
      <c r="H1113" s="12"/>
      <c r="I1113" s="18"/>
      <c r="J1113" s="16"/>
      <c r="K1113" s="16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  <c r="AF1113" s="18"/>
      <c r="AG1113" s="16"/>
      <c r="AH1113" s="16"/>
      <c r="AI1113" s="18"/>
      <c r="AJ1113" s="18"/>
      <c r="AK1113" s="18"/>
      <c r="AL1113" s="18"/>
      <c r="AM1113" s="18"/>
      <c r="AN1113" s="18"/>
      <c r="AO1113" s="18"/>
      <c r="AP1113" s="18"/>
      <c r="AQ1113" s="18"/>
      <c r="AR1113" s="18"/>
      <c r="AS1113" s="18"/>
      <c r="AT1113" s="216"/>
      <c r="AU1113" s="18"/>
      <c r="AV1113" s="18"/>
      <c r="AW1113" s="18"/>
      <c r="AX1113" s="18"/>
      <c r="AY1113" s="18"/>
      <c r="AZ1113" s="18"/>
      <c r="BA1113" s="18"/>
      <c r="BB1113" s="18"/>
      <c r="BC1113" s="18"/>
      <c r="BD1113" s="18"/>
      <c r="BE1113" s="18"/>
      <c r="BF1113" s="15"/>
      <c r="BG1113" s="15"/>
    </row>
    <row r="1114" spans="1:59" ht="15.75" customHeight="1">
      <c r="A1114" s="216"/>
      <c r="B1114" s="12"/>
      <c r="C1114" s="12"/>
      <c r="D1114" s="13"/>
      <c r="E1114" s="12"/>
      <c r="F1114" s="13"/>
      <c r="G1114" s="13"/>
      <c r="H1114" s="12"/>
      <c r="I1114" s="18"/>
      <c r="J1114" s="16"/>
      <c r="K1114" s="16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6"/>
      <c r="AH1114" s="16"/>
      <c r="AI1114" s="18"/>
      <c r="AJ1114" s="18"/>
      <c r="AK1114" s="18"/>
      <c r="AL1114" s="18"/>
      <c r="AM1114" s="18"/>
      <c r="AN1114" s="18"/>
      <c r="AO1114" s="18"/>
      <c r="AP1114" s="18"/>
      <c r="AQ1114" s="18"/>
      <c r="AR1114" s="18"/>
      <c r="AS1114" s="18"/>
      <c r="AT1114" s="216"/>
      <c r="AU1114" s="18"/>
      <c r="AV1114" s="18"/>
      <c r="AW1114" s="18"/>
      <c r="AX1114" s="18"/>
      <c r="AY1114" s="18"/>
      <c r="AZ1114" s="18"/>
      <c r="BA1114" s="18"/>
      <c r="BB1114" s="18"/>
      <c r="BC1114" s="18"/>
      <c r="BD1114" s="18"/>
      <c r="BE1114" s="18"/>
      <c r="BF1114" s="15"/>
      <c r="BG1114" s="15"/>
    </row>
    <row r="1115" spans="1:59" ht="15.75" customHeight="1">
      <c r="A1115" s="216"/>
      <c r="B1115" s="12"/>
      <c r="C1115" s="12"/>
      <c r="D1115" s="13"/>
      <c r="E1115" s="12"/>
      <c r="F1115" s="13"/>
      <c r="G1115" s="13"/>
      <c r="H1115" s="12"/>
      <c r="I1115" s="18"/>
      <c r="J1115" s="16"/>
      <c r="K1115" s="16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6"/>
      <c r="AH1115" s="16"/>
      <c r="AI1115" s="18"/>
      <c r="AJ1115" s="18"/>
      <c r="AK1115" s="18"/>
      <c r="AL1115" s="18"/>
      <c r="AM1115" s="18"/>
      <c r="AN1115" s="18"/>
      <c r="AO1115" s="18"/>
      <c r="AP1115" s="18"/>
      <c r="AQ1115" s="18"/>
      <c r="AR1115" s="18"/>
      <c r="AS1115" s="18"/>
      <c r="AT1115" s="216"/>
      <c r="AU1115" s="18"/>
      <c r="AV1115" s="18"/>
      <c r="AW1115" s="18"/>
      <c r="AX1115" s="18"/>
      <c r="AY1115" s="18"/>
      <c r="AZ1115" s="18"/>
      <c r="BA1115" s="18"/>
      <c r="BB1115" s="18"/>
      <c r="BC1115" s="18"/>
      <c r="BD1115" s="18"/>
      <c r="BE1115" s="18"/>
      <c r="BF1115" s="15"/>
      <c r="BG1115" s="15"/>
    </row>
    <row r="1116" spans="1:59" ht="15.75" customHeight="1">
      <c r="A1116" s="216"/>
      <c r="B1116" s="12"/>
      <c r="C1116" s="12"/>
      <c r="D1116" s="13"/>
      <c r="E1116" s="12"/>
      <c r="F1116" s="13"/>
      <c r="G1116" s="13"/>
      <c r="H1116" s="12"/>
      <c r="I1116" s="18"/>
      <c r="J1116" s="16"/>
      <c r="K1116" s="16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6"/>
      <c r="AH1116" s="16"/>
      <c r="AI1116" s="18"/>
      <c r="AJ1116" s="18"/>
      <c r="AK1116" s="18"/>
      <c r="AL1116" s="18"/>
      <c r="AM1116" s="18"/>
      <c r="AN1116" s="18"/>
      <c r="AO1116" s="18"/>
      <c r="AP1116" s="18"/>
      <c r="AQ1116" s="18"/>
      <c r="AR1116" s="18"/>
      <c r="AS1116" s="18"/>
      <c r="AT1116" s="216"/>
      <c r="AU1116" s="18"/>
      <c r="AV1116" s="18"/>
      <c r="AW1116" s="18"/>
      <c r="AX1116" s="18"/>
      <c r="AY1116" s="18"/>
      <c r="AZ1116" s="18"/>
      <c r="BA1116" s="18"/>
      <c r="BB1116" s="18"/>
      <c r="BC1116" s="18"/>
      <c r="BD1116" s="18"/>
      <c r="BE1116" s="18"/>
      <c r="BF1116" s="15"/>
      <c r="BG1116" s="15"/>
    </row>
    <row r="1117" spans="1:59" ht="15.75" customHeight="1">
      <c r="A1117" s="216"/>
      <c r="B1117" s="12"/>
      <c r="C1117" s="12"/>
      <c r="D1117" s="13"/>
      <c r="E1117" s="12"/>
      <c r="F1117" s="13"/>
      <c r="G1117" s="13"/>
      <c r="H1117" s="12"/>
      <c r="I1117" s="18"/>
      <c r="J1117" s="16"/>
      <c r="K1117" s="16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6"/>
      <c r="AH1117" s="16"/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s="18"/>
      <c r="AT1117" s="216"/>
      <c r="AU1117" s="18"/>
      <c r="AV1117" s="18"/>
      <c r="AW1117" s="18"/>
      <c r="AX1117" s="18"/>
      <c r="AY1117" s="18"/>
      <c r="AZ1117" s="18"/>
      <c r="BA1117" s="18"/>
      <c r="BB1117" s="18"/>
      <c r="BC1117" s="18"/>
      <c r="BD1117" s="18"/>
      <c r="BE1117" s="18"/>
      <c r="BF1117" s="15"/>
      <c r="BG1117" s="15"/>
    </row>
    <row r="1118" spans="1:59" ht="15.75" customHeight="1">
      <c r="A1118" s="216"/>
      <c r="B1118" s="12"/>
      <c r="C1118" s="12"/>
      <c r="D1118" s="13"/>
      <c r="E1118" s="12"/>
      <c r="F1118" s="13"/>
      <c r="G1118" s="13"/>
      <c r="H1118" s="12"/>
      <c r="I1118" s="18"/>
      <c r="J1118" s="16"/>
      <c r="K1118" s="16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6"/>
      <c r="AH1118" s="16"/>
      <c r="AI1118" s="18"/>
      <c r="AJ1118" s="18"/>
      <c r="AK1118" s="18"/>
      <c r="AL1118" s="18"/>
      <c r="AM1118" s="18"/>
      <c r="AN1118" s="18"/>
      <c r="AO1118" s="18"/>
      <c r="AP1118" s="18"/>
      <c r="AQ1118" s="18"/>
      <c r="AR1118" s="18"/>
      <c r="AS1118" s="18"/>
      <c r="AT1118" s="216"/>
      <c r="AU1118" s="18"/>
      <c r="AV1118" s="18"/>
      <c r="AW1118" s="18"/>
      <c r="AX1118" s="18"/>
      <c r="AY1118" s="18"/>
      <c r="AZ1118" s="18"/>
      <c r="BA1118" s="18"/>
      <c r="BB1118" s="18"/>
      <c r="BC1118" s="18"/>
      <c r="BD1118" s="18"/>
      <c r="BE1118" s="18"/>
      <c r="BF1118" s="15"/>
      <c r="BG1118" s="15"/>
    </row>
    <row r="1119" spans="1:59" ht="15.75" customHeight="1">
      <c r="A1119" s="216"/>
      <c r="B1119" s="12"/>
      <c r="C1119" s="12"/>
      <c r="D1119" s="13"/>
      <c r="E1119" s="12"/>
      <c r="F1119" s="13"/>
      <c r="G1119" s="13"/>
      <c r="H1119" s="12"/>
      <c r="I1119" s="18"/>
      <c r="J1119" s="16"/>
      <c r="K1119" s="16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6"/>
      <c r="AH1119" s="16"/>
      <c r="AI1119" s="18"/>
      <c r="AJ1119" s="18"/>
      <c r="AK1119" s="18"/>
      <c r="AL1119" s="18"/>
      <c r="AM1119" s="18"/>
      <c r="AN1119" s="18"/>
      <c r="AO1119" s="18"/>
      <c r="AP1119" s="18"/>
      <c r="AQ1119" s="18"/>
      <c r="AR1119" s="18"/>
      <c r="AS1119" s="18"/>
      <c r="AT1119" s="216"/>
      <c r="AU1119" s="18"/>
      <c r="AV1119" s="18"/>
      <c r="AW1119" s="18"/>
      <c r="AX1119" s="18"/>
      <c r="AY1119" s="18"/>
      <c r="AZ1119" s="18"/>
      <c r="BA1119" s="18"/>
      <c r="BB1119" s="18"/>
      <c r="BC1119" s="18"/>
      <c r="BD1119" s="18"/>
      <c r="BE1119" s="18"/>
      <c r="BF1119" s="15"/>
      <c r="BG1119" s="15"/>
    </row>
    <row r="1120" spans="1:59" ht="15.75" customHeight="1">
      <c r="A1120" s="216"/>
      <c r="B1120" s="12"/>
      <c r="C1120" s="12"/>
      <c r="D1120" s="13"/>
      <c r="E1120" s="12"/>
      <c r="F1120" s="13"/>
      <c r="G1120" s="13"/>
      <c r="H1120" s="12"/>
      <c r="I1120" s="18"/>
      <c r="J1120" s="16"/>
      <c r="K1120" s="16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6"/>
      <c r="AH1120" s="16"/>
      <c r="AI1120" s="18"/>
      <c r="AJ1120" s="18"/>
      <c r="AK1120" s="18"/>
      <c r="AL1120" s="18"/>
      <c r="AM1120" s="18"/>
      <c r="AN1120" s="18"/>
      <c r="AO1120" s="18"/>
      <c r="AP1120" s="18"/>
      <c r="AQ1120" s="18"/>
      <c r="AR1120" s="18"/>
      <c r="AS1120" s="18"/>
      <c r="AT1120" s="216"/>
      <c r="AU1120" s="18"/>
      <c r="AV1120" s="18"/>
      <c r="AW1120" s="18"/>
      <c r="AX1120" s="18"/>
      <c r="AY1120" s="18"/>
      <c r="AZ1120" s="18"/>
      <c r="BA1120" s="18"/>
      <c r="BB1120" s="18"/>
      <c r="BC1120" s="18"/>
      <c r="BD1120" s="18"/>
      <c r="BE1120" s="18"/>
      <c r="BF1120" s="15"/>
      <c r="BG1120" s="15"/>
    </row>
    <row r="1121" spans="1:59" ht="15.75" customHeight="1">
      <c r="A1121" s="216"/>
      <c r="B1121" s="12"/>
      <c r="C1121" s="12"/>
      <c r="D1121" s="13"/>
      <c r="E1121" s="12"/>
      <c r="F1121" s="13"/>
      <c r="G1121" s="13"/>
      <c r="H1121" s="12"/>
      <c r="I1121" s="18"/>
      <c r="J1121" s="16"/>
      <c r="K1121" s="16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6"/>
      <c r="AH1121" s="16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18"/>
      <c r="AT1121" s="216"/>
      <c r="AU1121" s="18"/>
      <c r="AV1121" s="18"/>
      <c r="AW1121" s="18"/>
      <c r="AX1121" s="18"/>
      <c r="AY1121" s="18"/>
      <c r="AZ1121" s="18"/>
      <c r="BA1121" s="18"/>
      <c r="BB1121" s="18"/>
      <c r="BC1121" s="18"/>
      <c r="BD1121" s="18"/>
      <c r="BE1121" s="18"/>
      <c r="BF1121" s="15"/>
      <c r="BG1121" s="15"/>
    </row>
    <row r="1122" spans="1:59" ht="15.75" customHeight="1">
      <c r="A1122" s="216"/>
      <c r="B1122" s="12"/>
      <c r="C1122" s="12"/>
      <c r="D1122" s="13"/>
      <c r="E1122" s="12"/>
      <c r="F1122" s="13"/>
      <c r="G1122" s="13"/>
      <c r="H1122" s="12"/>
      <c r="I1122" s="18"/>
      <c r="J1122" s="16"/>
      <c r="K1122" s="16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6"/>
      <c r="AH1122" s="16"/>
      <c r="AI1122" s="18"/>
      <c r="AJ1122" s="18"/>
      <c r="AK1122" s="18"/>
      <c r="AL1122" s="18"/>
      <c r="AM1122" s="18"/>
      <c r="AN1122" s="18"/>
      <c r="AO1122" s="18"/>
      <c r="AP1122" s="18"/>
      <c r="AQ1122" s="18"/>
      <c r="AR1122" s="18"/>
      <c r="AS1122" s="18"/>
      <c r="AT1122" s="216"/>
      <c r="AU1122" s="18"/>
      <c r="AV1122" s="18"/>
      <c r="AW1122" s="18"/>
      <c r="AX1122" s="18"/>
      <c r="AY1122" s="18"/>
      <c r="AZ1122" s="18"/>
      <c r="BA1122" s="18"/>
      <c r="BB1122" s="18"/>
      <c r="BC1122" s="18"/>
      <c r="BD1122" s="18"/>
      <c r="BE1122" s="18"/>
      <c r="BF1122" s="15"/>
      <c r="BG1122" s="15"/>
    </row>
    <row r="1123" spans="1:59" ht="15.75" customHeight="1">
      <c r="A1123" s="216"/>
      <c r="B1123" s="12"/>
      <c r="C1123" s="12"/>
      <c r="D1123" s="13"/>
      <c r="E1123" s="12"/>
      <c r="F1123" s="13"/>
      <c r="G1123" s="13"/>
      <c r="H1123" s="12"/>
      <c r="I1123" s="18"/>
      <c r="J1123" s="16"/>
      <c r="K1123" s="16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6"/>
      <c r="AH1123" s="16"/>
      <c r="AI1123" s="18"/>
      <c r="AJ1123" s="18"/>
      <c r="AK1123" s="18"/>
      <c r="AL1123" s="18"/>
      <c r="AM1123" s="18"/>
      <c r="AN1123" s="18"/>
      <c r="AO1123" s="18"/>
      <c r="AP1123" s="18"/>
      <c r="AQ1123" s="18"/>
      <c r="AR1123" s="18"/>
      <c r="AS1123" s="18"/>
      <c r="AT1123" s="216"/>
      <c r="AU1123" s="18"/>
      <c r="AV1123" s="18"/>
      <c r="AW1123" s="18"/>
      <c r="AX1123" s="18"/>
      <c r="AY1123" s="18"/>
      <c r="AZ1123" s="18"/>
      <c r="BA1123" s="18"/>
      <c r="BB1123" s="18"/>
      <c r="BC1123" s="18"/>
      <c r="BD1123" s="18"/>
      <c r="BE1123" s="18"/>
      <c r="BF1123" s="15"/>
      <c r="BG1123" s="15"/>
    </row>
    <row r="1124" spans="1:59" ht="15.75" customHeight="1">
      <c r="A1124" s="216"/>
      <c r="B1124" s="12"/>
      <c r="C1124" s="12"/>
      <c r="D1124" s="13"/>
      <c r="E1124" s="12"/>
      <c r="F1124" s="13"/>
      <c r="G1124" s="13"/>
      <c r="H1124" s="12"/>
      <c r="I1124" s="18"/>
      <c r="J1124" s="16"/>
      <c r="K1124" s="16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6"/>
      <c r="AH1124" s="16"/>
      <c r="AI1124" s="18"/>
      <c r="AJ1124" s="18"/>
      <c r="AK1124" s="18"/>
      <c r="AL1124" s="18"/>
      <c r="AM1124" s="18"/>
      <c r="AN1124" s="18"/>
      <c r="AO1124" s="18"/>
      <c r="AP1124" s="18"/>
      <c r="AQ1124" s="18"/>
      <c r="AR1124" s="18"/>
      <c r="AS1124" s="18"/>
      <c r="AT1124" s="216"/>
      <c r="AU1124" s="18"/>
      <c r="AV1124" s="18"/>
      <c r="AW1124" s="18"/>
      <c r="AX1124" s="18"/>
      <c r="AY1124" s="18"/>
      <c r="AZ1124" s="18"/>
      <c r="BA1124" s="18"/>
      <c r="BB1124" s="18"/>
      <c r="BC1124" s="18"/>
      <c r="BD1124" s="18"/>
      <c r="BE1124" s="18"/>
      <c r="BF1124" s="15"/>
      <c r="BG1124" s="15"/>
    </row>
    <row r="1125" spans="1:59" ht="15.75" customHeight="1">
      <c r="A1125" s="216"/>
      <c r="B1125" s="12"/>
      <c r="C1125" s="12"/>
      <c r="D1125" s="13"/>
      <c r="E1125" s="12"/>
      <c r="F1125" s="13"/>
      <c r="G1125" s="13"/>
      <c r="H1125" s="12"/>
      <c r="I1125" s="18"/>
      <c r="J1125" s="16"/>
      <c r="K1125" s="16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6"/>
      <c r="AH1125" s="16"/>
      <c r="AI1125" s="18"/>
      <c r="AJ1125" s="18"/>
      <c r="AK1125" s="18"/>
      <c r="AL1125" s="18"/>
      <c r="AM1125" s="18"/>
      <c r="AN1125" s="18"/>
      <c r="AO1125" s="18"/>
      <c r="AP1125" s="18"/>
      <c r="AQ1125" s="18"/>
      <c r="AR1125" s="18"/>
      <c r="AS1125" s="18"/>
      <c r="AT1125" s="216"/>
      <c r="AU1125" s="18"/>
      <c r="AV1125" s="18"/>
      <c r="AW1125" s="18"/>
      <c r="AX1125" s="18"/>
      <c r="AY1125" s="18"/>
      <c r="AZ1125" s="18"/>
      <c r="BA1125" s="18"/>
      <c r="BB1125" s="18"/>
      <c r="BC1125" s="18"/>
      <c r="BD1125" s="18"/>
      <c r="BE1125" s="18"/>
      <c r="BF1125" s="15"/>
      <c r="BG1125" s="15"/>
    </row>
    <row r="1126" spans="1:59" ht="15.75" customHeight="1">
      <c r="A1126" s="216"/>
      <c r="B1126" s="12"/>
      <c r="C1126" s="12"/>
      <c r="D1126" s="13"/>
      <c r="E1126" s="12"/>
      <c r="F1126" s="13"/>
      <c r="G1126" s="13"/>
      <c r="H1126" s="12"/>
      <c r="I1126" s="18"/>
      <c r="J1126" s="16"/>
      <c r="K1126" s="16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6"/>
      <c r="AH1126" s="16"/>
      <c r="AI1126" s="18"/>
      <c r="AJ1126" s="18"/>
      <c r="AK1126" s="18"/>
      <c r="AL1126" s="18"/>
      <c r="AM1126" s="18"/>
      <c r="AN1126" s="18"/>
      <c r="AO1126" s="18"/>
      <c r="AP1126" s="18"/>
      <c r="AQ1126" s="18"/>
      <c r="AR1126" s="18"/>
      <c r="AS1126" s="18"/>
      <c r="AT1126" s="216"/>
      <c r="AU1126" s="18"/>
      <c r="AV1126" s="18"/>
      <c r="AW1126" s="18"/>
      <c r="AX1126" s="18"/>
      <c r="AY1126" s="18"/>
      <c r="AZ1126" s="18"/>
      <c r="BA1126" s="18"/>
      <c r="BB1126" s="18"/>
      <c r="BC1126" s="18"/>
      <c r="BD1126" s="18"/>
      <c r="BE1126" s="18"/>
      <c r="BF1126" s="15"/>
      <c r="BG1126" s="15"/>
    </row>
    <row r="1127" spans="1:59" ht="15.75" customHeight="1">
      <c r="A1127" s="216"/>
      <c r="B1127" s="12"/>
      <c r="C1127" s="12"/>
      <c r="D1127" s="13"/>
      <c r="E1127" s="12"/>
      <c r="F1127" s="13"/>
      <c r="G1127" s="13"/>
      <c r="H1127" s="12"/>
      <c r="I1127" s="18"/>
      <c r="J1127" s="16"/>
      <c r="K1127" s="16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  <c r="AF1127" s="18"/>
      <c r="AG1127" s="16"/>
      <c r="AH1127" s="16"/>
      <c r="AI1127" s="18"/>
      <c r="AJ1127" s="18"/>
      <c r="AK1127" s="18"/>
      <c r="AL1127" s="18"/>
      <c r="AM1127" s="18"/>
      <c r="AN1127" s="18"/>
      <c r="AO1127" s="18"/>
      <c r="AP1127" s="18"/>
      <c r="AQ1127" s="18"/>
      <c r="AR1127" s="18"/>
      <c r="AS1127" s="18"/>
      <c r="AT1127" s="216"/>
      <c r="AU1127" s="18"/>
      <c r="AV1127" s="18"/>
      <c r="AW1127" s="18"/>
      <c r="AX1127" s="18"/>
      <c r="AY1127" s="18"/>
      <c r="AZ1127" s="18"/>
      <c r="BA1127" s="18"/>
      <c r="BB1127" s="18"/>
      <c r="BC1127" s="18"/>
      <c r="BD1127" s="18"/>
      <c r="BE1127" s="18"/>
      <c r="BF1127" s="15"/>
      <c r="BG1127" s="15"/>
    </row>
    <row r="1128" spans="1:59" ht="15.75" customHeight="1">
      <c r="A1128" s="216"/>
      <c r="B1128" s="12"/>
      <c r="C1128" s="12"/>
      <c r="D1128" s="13"/>
      <c r="E1128" s="12"/>
      <c r="F1128" s="13"/>
      <c r="G1128" s="13"/>
      <c r="H1128" s="12"/>
      <c r="I1128" s="18"/>
      <c r="J1128" s="16"/>
      <c r="K1128" s="16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6"/>
      <c r="AH1128" s="16"/>
      <c r="AI1128" s="18"/>
      <c r="AJ1128" s="18"/>
      <c r="AK1128" s="18"/>
      <c r="AL1128" s="18"/>
      <c r="AM1128" s="18"/>
      <c r="AN1128" s="18"/>
      <c r="AO1128" s="18"/>
      <c r="AP1128" s="18"/>
      <c r="AQ1128" s="18"/>
      <c r="AR1128" s="18"/>
      <c r="AS1128" s="18"/>
      <c r="AT1128" s="216"/>
      <c r="AU1128" s="18"/>
      <c r="AV1128" s="18"/>
      <c r="AW1128" s="18"/>
      <c r="AX1128" s="18"/>
      <c r="AY1128" s="18"/>
      <c r="AZ1128" s="18"/>
      <c r="BA1128" s="18"/>
      <c r="BB1128" s="18"/>
      <c r="BC1128" s="18"/>
      <c r="BD1128" s="18"/>
      <c r="BE1128" s="18"/>
      <c r="BF1128" s="15"/>
      <c r="BG1128" s="15"/>
    </row>
    <row r="1129" spans="1:59" ht="15.75" customHeight="1">
      <c r="A1129" s="216"/>
      <c r="B1129" s="12"/>
      <c r="C1129" s="12"/>
      <c r="D1129" s="13"/>
      <c r="E1129" s="12"/>
      <c r="F1129" s="13"/>
      <c r="G1129" s="13"/>
      <c r="H1129" s="12"/>
      <c r="I1129" s="18"/>
      <c r="J1129" s="16"/>
      <c r="K1129" s="16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  <c r="AF1129" s="18"/>
      <c r="AG1129" s="16"/>
      <c r="AH1129" s="16"/>
      <c r="AI1129" s="18"/>
      <c r="AJ1129" s="18"/>
      <c r="AK1129" s="18"/>
      <c r="AL1129" s="18"/>
      <c r="AM1129" s="18"/>
      <c r="AN1129" s="18"/>
      <c r="AO1129" s="18"/>
      <c r="AP1129" s="18"/>
      <c r="AQ1129" s="18"/>
      <c r="AR1129" s="18"/>
      <c r="AS1129" s="18"/>
      <c r="AT1129" s="216"/>
      <c r="AU1129" s="18"/>
      <c r="AV1129" s="18"/>
      <c r="AW1129" s="18"/>
      <c r="AX1129" s="18"/>
      <c r="AY1129" s="18"/>
      <c r="AZ1129" s="18"/>
      <c r="BA1129" s="18"/>
      <c r="BB1129" s="18"/>
      <c r="BC1129" s="18"/>
      <c r="BD1129" s="18"/>
      <c r="BE1129" s="18"/>
      <c r="BF1129" s="15"/>
      <c r="BG1129" s="15"/>
    </row>
    <row r="1130" spans="1:59" ht="15.75" customHeight="1">
      <c r="A1130" s="216"/>
      <c r="B1130" s="12"/>
      <c r="C1130" s="12"/>
      <c r="D1130" s="13"/>
      <c r="E1130" s="12"/>
      <c r="F1130" s="13"/>
      <c r="G1130" s="13"/>
      <c r="H1130" s="12"/>
      <c r="I1130" s="18"/>
      <c r="J1130" s="16"/>
      <c r="K1130" s="16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6"/>
      <c r="AH1130" s="16"/>
      <c r="AI1130" s="18"/>
      <c r="AJ1130" s="18"/>
      <c r="AK1130" s="18"/>
      <c r="AL1130" s="18"/>
      <c r="AM1130" s="18"/>
      <c r="AN1130" s="18"/>
      <c r="AO1130" s="18"/>
      <c r="AP1130" s="18"/>
      <c r="AQ1130" s="18"/>
      <c r="AR1130" s="18"/>
      <c r="AS1130" s="18"/>
      <c r="AT1130" s="216"/>
      <c r="AU1130" s="18"/>
      <c r="AV1130" s="18"/>
      <c r="AW1130" s="18"/>
      <c r="AX1130" s="18"/>
      <c r="AY1130" s="18"/>
      <c r="AZ1130" s="18"/>
      <c r="BA1130" s="18"/>
      <c r="BB1130" s="18"/>
      <c r="BC1130" s="18"/>
      <c r="BD1130" s="18"/>
      <c r="BE1130" s="18"/>
      <c r="BF1130" s="15"/>
      <c r="BG1130" s="15"/>
    </row>
    <row r="1131" spans="1:59" ht="15.75" customHeight="1">
      <c r="A1131" s="216"/>
      <c r="B1131" s="12"/>
      <c r="C1131" s="12"/>
      <c r="D1131" s="13"/>
      <c r="E1131" s="12"/>
      <c r="F1131" s="13"/>
      <c r="G1131" s="13"/>
      <c r="H1131" s="12"/>
      <c r="I1131" s="18"/>
      <c r="J1131" s="16"/>
      <c r="K1131" s="16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/>
      <c r="AG1131" s="16"/>
      <c r="AH1131" s="16"/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8"/>
      <c r="AS1131" s="18"/>
      <c r="AT1131" s="216"/>
      <c r="AU1131" s="18"/>
      <c r="AV1131" s="18"/>
      <c r="AW1131" s="18"/>
      <c r="AX1131" s="18"/>
      <c r="AY1131" s="18"/>
      <c r="AZ1131" s="18"/>
      <c r="BA1131" s="18"/>
      <c r="BB1131" s="18"/>
      <c r="BC1131" s="18"/>
      <c r="BD1131" s="18"/>
      <c r="BE1131" s="18"/>
      <c r="BF1131" s="15"/>
      <c r="BG1131" s="15"/>
    </row>
    <row r="1132" spans="1:59" ht="15.75" customHeight="1">
      <c r="A1132" s="216"/>
      <c r="B1132" s="12"/>
      <c r="C1132" s="12"/>
      <c r="D1132" s="13"/>
      <c r="E1132" s="12"/>
      <c r="F1132" s="13"/>
      <c r="G1132" s="13"/>
      <c r="H1132" s="12"/>
      <c r="I1132" s="18"/>
      <c r="J1132" s="16"/>
      <c r="K1132" s="16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6"/>
      <c r="AH1132" s="16"/>
      <c r="AI1132" s="18"/>
      <c r="AJ1132" s="18"/>
      <c r="AK1132" s="18"/>
      <c r="AL1132" s="18"/>
      <c r="AM1132" s="18"/>
      <c r="AN1132" s="18"/>
      <c r="AO1132" s="18"/>
      <c r="AP1132" s="18"/>
      <c r="AQ1132" s="18"/>
      <c r="AR1132" s="18"/>
      <c r="AS1132" s="18"/>
      <c r="AT1132" s="216"/>
      <c r="AU1132" s="18"/>
      <c r="AV1132" s="18"/>
      <c r="AW1132" s="18"/>
      <c r="AX1132" s="18"/>
      <c r="AY1132" s="18"/>
      <c r="AZ1132" s="18"/>
      <c r="BA1132" s="18"/>
      <c r="BB1132" s="18"/>
      <c r="BC1132" s="18"/>
      <c r="BD1132" s="18"/>
      <c r="BE1132" s="18"/>
      <c r="BF1132" s="15"/>
      <c r="BG1132" s="15"/>
    </row>
    <row r="1133" spans="1:59" ht="15.75" customHeight="1">
      <c r="A1133" s="216"/>
      <c r="B1133" s="12"/>
      <c r="C1133" s="12"/>
      <c r="D1133" s="13"/>
      <c r="E1133" s="12"/>
      <c r="F1133" s="13"/>
      <c r="G1133" s="13"/>
      <c r="H1133" s="12"/>
      <c r="I1133" s="18"/>
      <c r="J1133" s="16"/>
      <c r="K1133" s="16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6"/>
      <c r="AH1133" s="16"/>
      <c r="AI1133" s="18"/>
      <c r="AJ1133" s="18"/>
      <c r="AK1133" s="18"/>
      <c r="AL1133" s="18"/>
      <c r="AM1133" s="18"/>
      <c r="AN1133" s="18"/>
      <c r="AO1133" s="18"/>
      <c r="AP1133" s="18"/>
      <c r="AQ1133" s="18"/>
      <c r="AR1133" s="18"/>
      <c r="AS1133" s="18"/>
      <c r="AT1133" s="216"/>
      <c r="AU1133" s="18"/>
      <c r="AV1133" s="18"/>
      <c r="AW1133" s="18"/>
      <c r="AX1133" s="18"/>
      <c r="AY1133" s="18"/>
      <c r="AZ1133" s="18"/>
      <c r="BA1133" s="18"/>
      <c r="BB1133" s="18"/>
      <c r="BC1133" s="18"/>
      <c r="BD1133" s="18"/>
      <c r="BE1133" s="18"/>
      <c r="BF1133" s="15"/>
      <c r="BG1133" s="15"/>
    </row>
    <row r="1134" spans="1:59" ht="15.75" customHeight="1">
      <c r="A1134" s="216"/>
      <c r="B1134" s="12"/>
      <c r="C1134" s="12"/>
      <c r="D1134" s="13"/>
      <c r="E1134" s="12"/>
      <c r="F1134" s="13"/>
      <c r="G1134" s="13"/>
      <c r="H1134" s="12"/>
      <c r="I1134" s="18"/>
      <c r="J1134" s="16"/>
      <c r="K1134" s="16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6"/>
      <c r="AH1134" s="16"/>
      <c r="AI1134" s="18"/>
      <c r="AJ1134" s="18"/>
      <c r="AK1134" s="18"/>
      <c r="AL1134" s="18"/>
      <c r="AM1134" s="18"/>
      <c r="AN1134" s="18"/>
      <c r="AO1134" s="18"/>
      <c r="AP1134" s="18"/>
      <c r="AQ1134" s="18"/>
      <c r="AR1134" s="18"/>
      <c r="AS1134" s="18"/>
      <c r="AT1134" s="216"/>
      <c r="AU1134" s="18"/>
      <c r="AV1134" s="18"/>
      <c r="AW1134" s="18"/>
      <c r="AX1134" s="18"/>
      <c r="AY1134" s="18"/>
      <c r="AZ1134" s="18"/>
      <c r="BA1134" s="18"/>
      <c r="BB1134" s="18"/>
      <c r="BC1134" s="18"/>
      <c r="BD1134" s="18"/>
      <c r="BE1134" s="18"/>
      <c r="BF1134" s="15"/>
      <c r="BG1134" s="15"/>
    </row>
    <row r="1135" spans="1:59" ht="15.75" customHeight="1">
      <c r="A1135" s="216"/>
      <c r="B1135" s="12"/>
      <c r="C1135" s="12"/>
      <c r="D1135" s="13"/>
      <c r="E1135" s="12"/>
      <c r="F1135" s="13"/>
      <c r="G1135" s="13"/>
      <c r="H1135" s="12"/>
      <c r="I1135" s="18"/>
      <c r="J1135" s="16"/>
      <c r="K1135" s="16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6"/>
      <c r="AH1135" s="16"/>
      <c r="AI1135" s="18"/>
      <c r="AJ1135" s="18"/>
      <c r="AK1135" s="18"/>
      <c r="AL1135" s="18"/>
      <c r="AM1135" s="18"/>
      <c r="AN1135" s="18"/>
      <c r="AO1135" s="18"/>
      <c r="AP1135" s="18"/>
      <c r="AQ1135" s="18"/>
      <c r="AR1135" s="18"/>
      <c r="AS1135" s="18"/>
      <c r="AT1135" s="216"/>
      <c r="AU1135" s="18"/>
      <c r="AV1135" s="18"/>
      <c r="AW1135" s="18"/>
      <c r="AX1135" s="18"/>
      <c r="AY1135" s="18"/>
      <c r="AZ1135" s="18"/>
      <c r="BA1135" s="18"/>
      <c r="BB1135" s="18"/>
      <c r="BC1135" s="18"/>
      <c r="BD1135" s="18"/>
      <c r="BE1135" s="18"/>
      <c r="BF1135" s="15"/>
      <c r="BG1135" s="15"/>
    </row>
    <row r="1136" spans="1:59" ht="15.75" customHeight="1">
      <c r="A1136" s="216"/>
      <c r="B1136" s="12"/>
      <c r="C1136" s="12"/>
      <c r="D1136" s="13"/>
      <c r="E1136" s="12"/>
      <c r="F1136" s="13"/>
      <c r="G1136" s="13"/>
      <c r="H1136" s="12"/>
      <c r="I1136" s="18"/>
      <c r="J1136" s="16"/>
      <c r="K1136" s="16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F1136" s="18"/>
      <c r="AG1136" s="16"/>
      <c r="AH1136" s="16"/>
      <c r="AI1136" s="18"/>
      <c r="AJ1136" s="18"/>
      <c r="AK1136" s="18"/>
      <c r="AL1136" s="18"/>
      <c r="AM1136" s="18"/>
      <c r="AN1136" s="18"/>
      <c r="AO1136" s="18"/>
      <c r="AP1136" s="18"/>
      <c r="AQ1136" s="18"/>
      <c r="AR1136" s="18"/>
      <c r="AS1136" s="18"/>
      <c r="AT1136" s="216"/>
      <c r="AU1136" s="18"/>
      <c r="AV1136" s="18"/>
      <c r="AW1136" s="18"/>
      <c r="AX1136" s="18"/>
      <c r="AY1136" s="18"/>
      <c r="AZ1136" s="18"/>
      <c r="BA1136" s="18"/>
      <c r="BB1136" s="18"/>
      <c r="BC1136" s="18"/>
      <c r="BD1136" s="18"/>
      <c r="BE1136" s="18"/>
      <c r="BF1136" s="15"/>
      <c r="BG1136" s="15"/>
    </row>
    <row r="1137" spans="1:59" ht="15.75" customHeight="1">
      <c r="A1137" s="216"/>
      <c r="B1137" s="12"/>
      <c r="C1137" s="12"/>
      <c r="D1137" s="13"/>
      <c r="E1137" s="12"/>
      <c r="F1137" s="13"/>
      <c r="G1137" s="13"/>
      <c r="H1137" s="12"/>
      <c r="I1137" s="18"/>
      <c r="J1137" s="16"/>
      <c r="K1137" s="16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6"/>
      <c r="AH1137" s="16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  <c r="AS1137" s="18"/>
      <c r="AT1137" s="216"/>
      <c r="AU1137" s="18"/>
      <c r="AV1137" s="18"/>
      <c r="AW1137" s="18"/>
      <c r="AX1137" s="18"/>
      <c r="AY1137" s="18"/>
      <c r="AZ1137" s="18"/>
      <c r="BA1137" s="18"/>
      <c r="BB1137" s="18"/>
      <c r="BC1137" s="18"/>
      <c r="BD1137" s="18"/>
      <c r="BE1137" s="18"/>
      <c r="BF1137" s="15"/>
      <c r="BG1137" s="15"/>
    </row>
    <row r="1138" spans="1:59" ht="15.75" customHeight="1">
      <c r="A1138" s="216"/>
      <c r="B1138" s="12"/>
      <c r="C1138" s="12"/>
      <c r="D1138" s="13"/>
      <c r="E1138" s="12"/>
      <c r="F1138" s="13"/>
      <c r="G1138" s="13"/>
      <c r="H1138" s="12"/>
      <c r="I1138" s="18"/>
      <c r="J1138" s="16"/>
      <c r="K1138" s="16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6"/>
      <c r="AH1138" s="16"/>
      <c r="AI1138" s="18"/>
      <c r="AJ1138" s="18"/>
      <c r="AK1138" s="18"/>
      <c r="AL1138" s="18"/>
      <c r="AM1138" s="18"/>
      <c r="AN1138" s="18"/>
      <c r="AO1138" s="18"/>
      <c r="AP1138" s="18"/>
      <c r="AQ1138" s="18"/>
      <c r="AR1138" s="18"/>
      <c r="AS1138" s="18"/>
      <c r="AT1138" s="216"/>
      <c r="AU1138" s="18"/>
      <c r="AV1138" s="18"/>
      <c r="AW1138" s="18"/>
      <c r="AX1138" s="18"/>
      <c r="AY1138" s="18"/>
      <c r="AZ1138" s="18"/>
      <c r="BA1138" s="18"/>
      <c r="BB1138" s="18"/>
      <c r="BC1138" s="18"/>
      <c r="BD1138" s="18"/>
      <c r="BE1138" s="18"/>
      <c r="BF1138" s="15"/>
      <c r="BG1138" s="15"/>
    </row>
    <row r="1139" spans="1:59" ht="15.75" customHeight="1">
      <c r="A1139" s="216"/>
      <c r="B1139" s="12"/>
      <c r="C1139" s="12"/>
      <c r="D1139" s="13"/>
      <c r="E1139" s="12"/>
      <c r="F1139" s="13"/>
      <c r="G1139" s="13"/>
      <c r="H1139" s="12"/>
      <c r="I1139" s="18"/>
      <c r="J1139" s="16"/>
      <c r="K1139" s="16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6"/>
      <c r="AH1139" s="16"/>
      <c r="AI1139" s="18"/>
      <c r="AJ1139" s="18"/>
      <c r="AK1139" s="18"/>
      <c r="AL1139" s="18"/>
      <c r="AM1139" s="18"/>
      <c r="AN1139" s="18"/>
      <c r="AO1139" s="18"/>
      <c r="AP1139" s="18"/>
      <c r="AQ1139" s="18"/>
      <c r="AR1139" s="18"/>
      <c r="AS1139" s="18"/>
      <c r="AT1139" s="216"/>
      <c r="AU1139" s="18"/>
      <c r="AV1139" s="18"/>
      <c r="AW1139" s="18"/>
      <c r="AX1139" s="18"/>
      <c r="AY1139" s="18"/>
      <c r="AZ1139" s="18"/>
      <c r="BA1139" s="18"/>
      <c r="BB1139" s="18"/>
      <c r="BC1139" s="18"/>
      <c r="BD1139" s="18"/>
      <c r="BE1139" s="18"/>
      <c r="BF1139" s="15"/>
      <c r="BG1139" s="15"/>
    </row>
    <row r="1140" spans="1:59" ht="15.75" customHeight="1">
      <c r="A1140" s="216"/>
      <c r="B1140" s="12"/>
      <c r="C1140" s="12"/>
      <c r="D1140" s="13"/>
      <c r="E1140" s="12"/>
      <c r="F1140" s="13"/>
      <c r="G1140" s="13"/>
      <c r="H1140" s="12"/>
      <c r="I1140" s="18"/>
      <c r="J1140" s="16"/>
      <c r="K1140" s="16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6"/>
      <c r="AH1140" s="16"/>
      <c r="AI1140" s="18"/>
      <c r="AJ1140" s="18"/>
      <c r="AK1140" s="18"/>
      <c r="AL1140" s="18"/>
      <c r="AM1140" s="18"/>
      <c r="AN1140" s="18"/>
      <c r="AO1140" s="18"/>
      <c r="AP1140" s="18"/>
      <c r="AQ1140" s="18"/>
      <c r="AR1140" s="18"/>
      <c r="AS1140" s="18"/>
      <c r="AT1140" s="216"/>
      <c r="AU1140" s="18"/>
      <c r="AV1140" s="18"/>
      <c r="AW1140" s="18"/>
      <c r="AX1140" s="18"/>
      <c r="AY1140" s="18"/>
      <c r="AZ1140" s="18"/>
      <c r="BA1140" s="18"/>
      <c r="BB1140" s="18"/>
      <c r="BC1140" s="18"/>
      <c r="BD1140" s="18"/>
      <c r="BE1140" s="18"/>
      <c r="BF1140" s="15"/>
      <c r="BG1140" s="15"/>
    </row>
    <row r="1141" spans="1:59" ht="15.75" customHeight="1">
      <c r="A1141" s="216"/>
      <c r="B1141" s="12"/>
      <c r="C1141" s="12"/>
      <c r="D1141" s="13"/>
      <c r="E1141" s="12"/>
      <c r="F1141" s="13"/>
      <c r="G1141" s="13"/>
      <c r="H1141" s="12"/>
      <c r="I1141" s="18"/>
      <c r="J1141" s="16"/>
      <c r="K1141" s="16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18"/>
      <c r="AG1141" s="16"/>
      <c r="AH1141" s="16"/>
      <c r="AI1141" s="18"/>
      <c r="AJ1141" s="18"/>
      <c r="AK1141" s="18"/>
      <c r="AL1141" s="18"/>
      <c r="AM1141" s="18"/>
      <c r="AN1141" s="18"/>
      <c r="AO1141" s="18"/>
      <c r="AP1141" s="18"/>
      <c r="AQ1141" s="18"/>
      <c r="AR1141" s="18"/>
      <c r="AS1141" s="18"/>
      <c r="AT1141" s="216"/>
      <c r="AU1141" s="18"/>
      <c r="AV1141" s="18"/>
      <c r="AW1141" s="18"/>
      <c r="AX1141" s="18"/>
      <c r="AY1141" s="18"/>
      <c r="AZ1141" s="18"/>
      <c r="BA1141" s="18"/>
      <c r="BB1141" s="18"/>
      <c r="BC1141" s="18"/>
      <c r="BD1141" s="18"/>
      <c r="BE1141" s="18"/>
      <c r="BF1141" s="15"/>
      <c r="BG1141" s="15"/>
    </row>
    <row r="1142" spans="1:59" ht="15.75" customHeight="1">
      <c r="A1142" s="216"/>
      <c r="B1142" s="12"/>
      <c r="C1142" s="12"/>
      <c r="D1142" s="13"/>
      <c r="E1142" s="12"/>
      <c r="F1142" s="13"/>
      <c r="G1142" s="13"/>
      <c r="H1142" s="12"/>
      <c r="I1142" s="18"/>
      <c r="J1142" s="16"/>
      <c r="K1142" s="16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6"/>
      <c r="AH1142" s="16"/>
      <c r="AI1142" s="18"/>
      <c r="AJ1142" s="18"/>
      <c r="AK1142" s="18"/>
      <c r="AL1142" s="18"/>
      <c r="AM1142" s="18"/>
      <c r="AN1142" s="18"/>
      <c r="AO1142" s="18"/>
      <c r="AP1142" s="18"/>
      <c r="AQ1142" s="18"/>
      <c r="AR1142" s="18"/>
      <c r="AS1142" s="18"/>
      <c r="AT1142" s="216"/>
      <c r="AU1142" s="18"/>
      <c r="AV1142" s="18"/>
      <c r="AW1142" s="18"/>
      <c r="AX1142" s="18"/>
      <c r="AY1142" s="18"/>
      <c r="AZ1142" s="18"/>
      <c r="BA1142" s="18"/>
      <c r="BB1142" s="18"/>
      <c r="BC1142" s="18"/>
      <c r="BD1142" s="18"/>
      <c r="BE1142" s="18"/>
      <c r="BF1142" s="15"/>
      <c r="BG1142" s="15"/>
    </row>
    <row r="1143" spans="1:59" ht="15.75" customHeight="1">
      <c r="A1143" s="216"/>
      <c r="B1143" s="12"/>
      <c r="C1143" s="12"/>
      <c r="D1143" s="13"/>
      <c r="E1143" s="12"/>
      <c r="F1143" s="13"/>
      <c r="G1143" s="13"/>
      <c r="H1143" s="12"/>
      <c r="I1143" s="18"/>
      <c r="J1143" s="16"/>
      <c r="K1143" s="16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6"/>
      <c r="AH1143" s="16"/>
      <c r="AI1143" s="18"/>
      <c r="AJ1143" s="18"/>
      <c r="AK1143" s="18"/>
      <c r="AL1143" s="18"/>
      <c r="AM1143" s="18"/>
      <c r="AN1143" s="18"/>
      <c r="AO1143" s="18"/>
      <c r="AP1143" s="18"/>
      <c r="AQ1143" s="18"/>
      <c r="AR1143" s="18"/>
      <c r="AS1143" s="18"/>
      <c r="AT1143" s="216"/>
      <c r="AU1143" s="18"/>
      <c r="AV1143" s="18"/>
      <c r="AW1143" s="18"/>
      <c r="AX1143" s="18"/>
      <c r="AY1143" s="18"/>
      <c r="AZ1143" s="18"/>
      <c r="BA1143" s="18"/>
      <c r="BB1143" s="18"/>
      <c r="BC1143" s="18"/>
      <c r="BD1143" s="18"/>
      <c r="BE1143" s="18"/>
      <c r="BF1143" s="15"/>
      <c r="BG1143" s="15"/>
    </row>
    <row r="1144" spans="1:59" ht="15.75" customHeight="1">
      <c r="A1144" s="216"/>
      <c r="B1144" s="12"/>
      <c r="C1144" s="12"/>
      <c r="D1144" s="13"/>
      <c r="E1144" s="12"/>
      <c r="F1144" s="13"/>
      <c r="G1144" s="13"/>
      <c r="H1144" s="12"/>
      <c r="I1144" s="18"/>
      <c r="J1144" s="16"/>
      <c r="K1144" s="16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18"/>
      <c r="AG1144" s="16"/>
      <c r="AH1144" s="16"/>
      <c r="AI1144" s="18"/>
      <c r="AJ1144" s="18"/>
      <c r="AK1144" s="18"/>
      <c r="AL1144" s="18"/>
      <c r="AM1144" s="18"/>
      <c r="AN1144" s="18"/>
      <c r="AO1144" s="18"/>
      <c r="AP1144" s="18"/>
      <c r="AQ1144" s="18"/>
      <c r="AR1144" s="18"/>
      <c r="AS1144" s="18"/>
      <c r="AT1144" s="216"/>
      <c r="AU1144" s="18"/>
      <c r="AV1144" s="18"/>
      <c r="AW1144" s="18"/>
      <c r="AX1144" s="18"/>
      <c r="AY1144" s="18"/>
      <c r="AZ1144" s="18"/>
      <c r="BA1144" s="18"/>
      <c r="BB1144" s="18"/>
      <c r="BC1144" s="18"/>
      <c r="BD1144" s="18"/>
      <c r="BE1144" s="18"/>
      <c r="BF1144" s="15"/>
      <c r="BG1144" s="15"/>
    </row>
    <row r="1145" spans="1:59" ht="15.75" customHeight="1">
      <c r="A1145" s="216"/>
      <c r="B1145" s="12"/>
      <c r="C1145" s="12"/>
      <c r="D1145" s="13"/>
      <c r="E1145" s="12"/>
      <c r="F1145" s="13"/>
      <c r="G1145" s="13"/>
      <c r="H1145" s="12"/>
      <c r="I1145" s="18"/>
      <c r="J1145" s="16"/>
      <c r="K1145" s="16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6"/>
      <c r="AH1145" s="16"/>
      <c r="AI1145" s="18"/>
      <c r="AJ1145" s="18"/>
      <c r="AK1145" s="18"/>
      <c r="AL1145" s="18"/>
      <c r="AM1145" s="18"/>
      <c r="AN1145" s="18"/>
      <c r="AO1145" s="18"/>
      <c r="AP1145" s="18"/>
      <c r="AQ1145" s="18"/>
      <c r="AR1145" s="18"/>
      <c r="AS1145" s="18"/>
      <c r="AT1145" s="216"/>
      <c r="AU1145" s="18"/>
      <c r="AV1145" s="18"/>
      <c r="AW1145" s="18"/>
      <c r="AX1145" s="18"/>
      <c r="AY1145" s="18"/>
      <c r="AZ1145" s="18"/>
      <c r="BA1145" s="18"/>
      <c r="BB1145" s="18"/>
      <c r="BC1145" s="18"/>
      <c r="BD1145" s="18"/>
      <c r="BE1145" s="18"/>
      <c r="BF1145" s="15"/>
      <c r="BG1145" s="15"/>
    </row>
    <row r="1146" spans="1:59" ht="15.75" customHeight="1">
      <c r="A1146" s="216"/>
      <c r="B1146" s="12"/>
      <c r="C1146" s="12"/>
      <c r="D1146" s="13"/>
      <c r="E1146" s="12"/>
      <c r="F1146" s="13"/>
      <c r="G1146" s="13"/>
      <c r="H1146" s="12"/>
      <c r="I1146" s="18"/>
      <c r="J1146" s="16"/>
      <c r="K1146" s="16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6"/>
      <c r="AH1146" s="16"/>
      <c r="AI1146" s="18"/>
      <c r="AJ1146" s="18"/>
      <c r="AK1146" s="18"/>
      <c r="AL1146" s="18"/>
      <c r="AM1146" s="18"/>
      <c r="AN1146" s="18"/>
      <c r="AO1146" s="18"/>
      <c r="AP1146" s="18"/>
      <c r="AQ1146" s="18"/>
      <c r="AR1146" s="18"/>
      <c r="AS1146" s="18"/>
      <c r="AT1146" s="216"/>
      <c r="AU1146" s="18"/>
      <c r="AV1146" s="18"/>
      <c r="AW1146" s="18"/>
      <c r="AX1146" s="18"/>
      <c r="AY1146" s="18"/>
      <c r="AZ1146" s="18"/>
      <c r="BA1146" s="18"/>
      <c r="BB1146" s="18"/>
      <c r="BC1146" s="18"/>
      <c r="BD1146" s="18"/>
      <c r="BE1146" s="18"/>
      <c r="BF1146" s="15"/>
      <c r="BG1146" s="15"/>
    </row>
    <row r="1147" spans="1:59" ht="15.75" customHeight="1">
      <c r="A1147" s="216"/>
      <c r="B1147" s="12"/>
      <c r="C1147" s="12"/>
      <c r="D1147" s="13"/>
      <c r="E1147" s="12"/>
      <c r="F1147" s="13"/>
      <c r="G1147" s="13"/>
      <c r="H1147" s="12"/>
      <c r="I1147" s="18"/>
      <c r="J1147" s="16"/>
      <c r="K1147" s="16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  <c r="AF1147" s="18"/>
      <c r="AG1147" s="16"/>
      <c r="AH1147" s="16"/>
      <c r="AI1147" s="18"/>
      <c r="AJ1147" s="18"/>
      <c r="AK1147" s="18"/>
      <c r="AL1147" s="18"/>
      <c r="AM1147" s="18"/>
      <c r="AN1147" s="18"/>
      <c r="AO1147" s="18"/>
      <c r="AP1147" s="18"/>
      <c r="AQ1147" s="18"/>
      <c r="AR1147" s="18"/>
      <c r="AS1147" s="18"/>
      <c r="AT1147" s="216"/>
      <c r="AU1147" s="18"/>
      <c r="AV1147" s="18"/>
      <c r="AW1147" s="18"/>
      <c r="AX1147" s="18"/>
      <c r="AY1147" s="18"/>
      <c r="AZ1147" s="18"/>
      <c r="BA1147" s="18"/>
      <c r="BB1147" s="18"/>
      <c r="BC1147" s="18"/>
      <c r="BD1147" s="18"/>
      <c r="BE1147" s="18"/>
      <c r="BF1147" s="15"/>
      <c r="BG1147" s="15"/>
    </row>
    <row r="1148" spans="1:59" ht="15.75" customHeight="1">
      <c r="A1148" s="216"/>
      <c r="B1148" s="12"/>
      <c r="C1148" s="12"/>
      <c r="D1148" s="13"/>
      <c r="E1148" s="12"/>
      <c r="F1148" s="13"/>
      <c r="G1148" s="13"/>
      <c r="H1148" s="12"/>
      <c r="I1148" s="18"/>
      <c r="J1148" s="16"/>
      <c r="K1148" s="16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18"/>
      <c r="AG1148" s="16"/>
      <c r="AH1148" s="16"/>
      <c r="AI1148" s="18"/>
      <c r="AJ1148" s="18"/>
      <c r="AK1148" s="18"/>
      <c r="AL1148" s="18"/>
      <c r="AM1148" s="18"/>
      <c r="AN1148" s="18"/>
      <c r="AO1148" s="18"/>
      <c r="AP1148" s="18"/>
      <c r="AQ1148" s="18"/>
      <c r="AR1148" s="18"/>
      <c r="AS1148" s="18"/>
      <c r="AT1148" s="216"/>
      <c r="AU1148" s="18"/>
      <c r="AV1148" s="18"/>
      <c r="AW1148" s="18"/>
      <c r="AX1148" s="18"/>
      <c r="AY1148" s="18"/>
      <c r="AZ1148" s="18"/>
      <c r="BA1148" s="18"/>
      <c r="BB1148" s="18"/>
      <c r="BC1148" s="18"/>
      <c r="BD1148" s="18"/>
      <c r="BE1148" s="18"/>
      <c r="BF1148" s="15"/>
      <c r="BG1148" s="15"/>
    </row>
    <row r="1149" spans="1:59" ht="15.75" customHeight="1">
      <c r="A1149" s="216"/>
      <c r="B1149" s="12"/>
      <c r="C1149" s="12"/>
      <c r="D1149" s="13"/>
      <c r="E1149" s="12"/>
      <c r="F1149" s="13"/>
      <c r="G1149" s="13"/>
      <c r="H1149" s="12"/>
      <c r="I1149" s="18"/>
      <c r="J1149" s="16"/>
      <c r="K1149" s="16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6"/>
      <c r="AH1149" s="16"/>
      <c r="AI1149" s="18"/>
      <c r="AJ1149" s="18"/>
      <c r="AK1149" s="18"/>
      <c r="AL1149" s="18"/>
      <c r="AM1149" s="18"/>
      <c r="AN1149" s="18"/>
      <c r="AO1149" s="18"/>
      <c r="AP1149" s="18"/>
      <c r="AQ1149" s="18"/>
      <c r="AR1149" s="18"/>
      <c r="AS1149" s="18"/>
      <c r="AT1149" s="216"/>
      <c r="AU1149" s="18"/>
      <c r="AV1149" s="18"/>
      <c r="AW1149" s="18"/>
      <c r="AX1149" s="18"/>
      <c r="AY1149" s="18"/>
      <c r="AZ1149" s="18"/>
      <c r="BA1149" s="18"/>
      <c r="BB1149" s="18"/>
      <c r="BC1149" s="18"/>
      <c r="BD1149" s="18"/>
      <c r="BE1149" s="18"/>
      <c r="BF1149" s="15"/>
      <c r="BG1149" s="15"/>
    </row>
    <row r="1150" spans="1:59" ht="15.75" customHeight="1">
      <c r="A1150" s="216"/>
      <c r="B1150" s="12"/>
      <c r="C1150" s="12"/>
      <c r="D1150" s="13"/>
      <c r="E1150" s="12"/>
      <c r="F1150" s="13"/>
      <c r="G1150" s="13"/>
      <c r="H1150" s="12"/>
      <c r="I1150" s="18"/>
      <c r="J1150" s="16"/>
      <c r="K1150" s="16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6"/>
      <c r="AH1150" s="16"/>
      <c r="AI1150" s="18"/>
      <c r="AJ1150" s="18"/>
      <c r="AK1150" s="18"/>
      <c r="AL1150" s="18"/>
      <c r="AM1150" s="18"/>
      <c r="AN1150" s="18"/>
      <c r="AO1150" s="18"/>
      <c r="AP1150" s="18"/>
      <c r="AQ1150" s="18"/>
      <c r="AR1150" s="18"/>
      <c r="AS1150" s="18"/>
      <c r="AT1150" s="216"/>
      <c r="AU1150" s="18"/>
      <c r="AV1150" s="18"/>
      <c r="AW1150" s="18"/>
      <c r="AX1150" s="18"/>
      <c r="AY1150" s="18"/>
      <c r="AZ1150" s="18"/>
      <c r="BA1150" s="18"/>
      <c r="BB1150" s="18"/>
      <c r="BC1150" s="18"/>
      <c r="BD1150" s="18"/>
      <c r="BE1150" s="18"/>
      <c r="BF1150" s="15"/>
      <c r="BG1150" s="15"/>
    </row>
    <row r="1151" spans="1:59" ht="15.75" customHeight="1">
      <c r="A1151" s="216"/>
      <c r="B1151" s="12"/>
      <c r="C1151" s="12"/>
      <c r="D1151" s="13"/>
      <c r="E1151" s="12"/>
      <c r="F1151" s="13"/>
      <c r="G1151" s="13"/>
      <c r="H1151" s="12"/>
      <c r="I1151" s="18"/>
      <c r="J1151" s="16"/>
      <c r="K1151" s="16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18"/>
      <c r="AG1151" s="16"/>
      <c r="AH1151" s="16"/>
      <c r="AI1151" s="18"/>
      <c r="AJ1151" s="18"/>
      <c r="AK1151" s="18"/>
      <c r="AL1151" s="18"/>
      <c r="AM1151" s="18"/>
      <c r="AN1151" s="18"/>
      <c r="AO1151" s="18"/>
      <c r="AP1151" s="18"/>
      <c r="AQ1151" s="18"/>
      <c r="AR1151" s="18"/>
      <c r="AS1151" s="18"/>
      <c r="AT1151" s="216"/>
      <c r="AU1151" s="18"/>
      <c r="AV1151" s="18"/>
      <c r="AW1151" s="18"/>
      <c r="AX1151" s="18"/>
      <c r="AY1151" s="18"/>
      <c r="AZ1151" s="18"/>
      <c r="BA1151" s="18"/>
      <c r="BB1151" s="18"/>
      <c r="BC1151" s="18"/>
      <c r="BD1151" s="18"/>
      <c r="BE1151" s="18"/>
      <c r="BF1151" s="15"/>
      <c r="BG1151" s="15"/>
    </row>
    <row r="1152" spans="1:59" ht="15.75" customHeight="1">
      <c r="A1152" s="216"/>
      <c r="B1152" s="12"/>
      <c r="C1152" s="12"/>
      <c r="D1152" s="13"/>
      <c r="E1152" s="12"/>
      <c r="F1152" s="13"/>
      <c r="G1152" s="13"/>
      <c r="H1152" s="12"/>
      <c r="I1152" s="18"/>
      <c r="J1152" s="16"/>
      <c r="K1152" s="16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18"/>
      <c r="AG1152" s="16"/>
      <c r="AH1152" s="16"/>
      <c r="AI1152" s="18"/>
      <c r="AJ1152" s="18"/>
      <c r="AK1152" s="18"/>
      <c r="AL1152" s="18"/>
      <c r="AM1152" s="18"/>
      <c r="AN1152" s="18"/>
      <c r="AO1152" s="18"/>
      <c r="AP1152" s="18"/>
      <c r="AQ1152" s="18"/>
      <c r="AR1152" s="18"/>
      <c r="AS1152" s="18"/>
      <c r="AT1152" s="216"/>
      <c r="AU1152" s="18"/>
      <c r="AV1152" s="18"/>
      <c r="AW1152" s="18"/>
      <c r="AX1152" s="18"/>
      <c r="AY1152" s="18"/>
      <c r="AZ1152" s="18"/>
      <c r="BA1152" s="18"/>
      <c r="BB1152" s="18"/>
      <c r="BC1152" s="18"/>
      <c r="BD1152" s="18"/>
      <c r="BE1152" s="18"/>
      <c r="BF1152" s="15"/>
      <c r="BG1152" s="15"/>
    </row>
    <row r="1153" spans="1:59" ht="15.75" customHeight="1">
      <c r="A1153" s="216"/>
      <c r="B1153" s="12"/>
      <c r="C1153" s="12"/>
      <c r="D1153" s="13"/>
      <c r="E1153" s="12"/>
      <c r="F1153" s="13"/>
      <c r="G1153" s="13"/>
      <c r="H1153" s="12"/>
      <c r="I1153" s="18"/>
      <c r="J1153" s="16"/>
      <c r="K1153" s="16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18"/>
      <c r="AG1153" s="16"/>
      <c r="AH1153" s="16"/>
      <c r="AI1153" s="18"/>
      <c r="AJ1153" s="18"/>
      <c r="AK1153" s="18"/>
      <c r="AL1153" s="18"/>
      <c r="AM1153" s="18"/>
      <c r="AN1153" s="18"/>
      <c r="AO1153" s="18"/>
      <c r="AP1153" s="18"/>
      <c r="AQ1153" s="18"/>
      <c r="AR1153" s="18"/>
      <c r="AS1153" s="18"/>
      <c r="AT1153" s="216"/>
      <c r="AU1153" s="18"/>
      <c r="AV1153" s="18"/>
      <c r="AW1153" s="18"/>
      <c r="AX1153" s="18"/>
      <c r="AY1153" s="18"/>
      <c r="AZ1153" s="18"/>
      <c r="BA1153" s="18"/>
      <c r="BB1153" s="18"/>
      <c r="BC1153" s="18"/>
      <c r="BD1153" s="18"/>
      <c r="BE1153" s="18"/>
      <c r="BF1153" s="15"/>
      <c r="BG1153" s="15"/>
    </row>
    <row r="1154" spans="1:59" ht="15.75" customHeight="1">
      <c r="A1154" s="216"/>
      <c r="B1154" s="12"/>
      <c r="C1154" s="12"/>
      <c r="D1154" s="13"/>
      <c r="E1154" s="12"/>
      <c r="F1154" s="13"/>
      <c r="G1154" s="13"/>
      <c r="H1154" s="12"/>
      <c r="I1154" s="18"/>
      <c r="J1154" s="16"/>
      <c r="K1154" s="16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18"/>
      <c r="AG1154" s="16"/>
      <c r="AH1154" s="16"/>
      <c r="AI1154" s="18"/>
      <c r="AJ1154" s="18"/>
      <c r="AK1154" s="18"/>
      <c r="AL1154" s="18"/>
      <c r="AM1154" s="18"/>
      <c r="AN1154" s="18"/>
      <c r="AO1154" s="18"/>
      <c r="AP1154" s="18"/>
      <c r="AQ1154" s="18"/>
      <c r="AR1154" s="18"/>
      <c r="AS1154" s="18"/>
      <c r="AT1154" s="216"/>
      <c r="AU1154" s="18"/>
      <c r="AV1154" s="18"/>
      <c r="AW1154" s="18"/>
      <c r="AX1154" s="18"/>
      <c r="AY1154" s="18"/>
      <c r="AZ1154" s="18"/>
      <c r="BA1154" s="18"/>
      <c r="BB1154" s="18"/>
      <c r="BC1154" s="18"/>
      <c r="BD1154" s="18"/>
      <c r="BE1154" s="18"/>
      <c r="BF1154" s="15"/>
      <c r="BG1154" s="15"/>
    </row>
    <row r="1155" spans="1:59" ht="15.75" customHeight="1">
      <c r="A1155" s="216"/>
      <c r="B1155" s="12"/>
      <c r="C1155" s="12"/>
      <c r="D1155" s="13"/>
      <c r="E1155" s="12"/>
      <c r="F1155" s="13"/>
      <c r="G1155" s="13"/>
      <c r="H1155" s="12"/>
      <c r="I1155" s="18"/>
      <c r="J1155" s="16"/>
      <c r="K1155" s="16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18"/>
      <c r="AG1155" s="16"/>
      <c r="AH1155" s="16"/>
      <c r="AI1155" s="18"/>
      <c r="AJ1155" s="18"/>
      <c r="AK1155" s="18"/>
      <c r="AL1155" s="18"/>
      <c r="AM1155" s="18"/>
      <c r="AN1155" s="18"/>
      <c r="AO1155" s="18"/>
      <c r="AP1155" s="18"/>
      <c r="AQ1155" s="18"/>
      <c r="AR1155" s="18"/>
      <c r="AS1155" s="18"/>
      <c r="AT1155" s="216"/>
      <c r="AU1155" s="18"/>
      <c r="AV1155" s="18"/>
      <c r="AW1155" s="18"/>
      <c r="AX1155" s="18"/>
      <c r="AY1155" s="18"/>
      <c r="AZ1155" s="18"/>
      <c r="BA1155" s="18"/>
      <c r="BB1155" s="18"/>
      <c r="BC1155" s="18"/>
      <c r="BD1155" s="18"/>
      <c r="BE1155" s="18"/>
      <c r="BF1155" s="15"/>
      <c r="BG1155" s="15"/>
    </row>
    <row r="1156" spans="1:59" ht="15.75" customHeight="1">
      <c r="A1156" s="216"/>
      <c r="B1156" s="12"/>
      <c r="C1156" s="12"/>
      <c r="D1156" s="13"/>
      <c r="E1156" s="12"/>
      <c r="F1156" s="13"/>
      <c r="G1156" s="13"/>
      <c r="H1156" s="12"/>
      <c r="I1156" s="18"/>
      <c r="J1156" s="16"/>
      <c r="K1156" s="16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18"/>
      <c r="AF1156" s="18"/>
      <c r="AG1156" s="16"/>
      <c r="AH1156" s="16"/>
      <c r="AI1156" s="18"/>
      <c r="AJ1156" s="18"/>
      <c r="AK1156" s="18"/>
      <c r="AL1156" s="18"/>
      <c r="AM1156" s="18"/>
      <c r="AN1156" s="18"/>
      <c r="AO1156" s="18"/>
      <c r="AP1156" s="18"/>
      <c r="AQ1156" s="18"/>
      <c r="AR1156" s="18"/>
      <c r="AS1156" s="18"/>
      <c r="AT1156" s="216"/>
      <c r="AU1156" s="18"/>
      <c r="AV1156" s="18"/>
      <c r="AW1156" s="18"/>
      <c r="AX1156" s="18"/>
      <c r="AY1156" s="18"/>
      <c r="AZ1156" s="18"/>
      <c r="BA1156" s="18"/>
      <c r="BB1156" s="18"/>
      <c r="BC1156" s="18"/>
      <c r="BD1156" s="18"/>
      <c r="BE1156" s="18"/>
      <c r="BF1156" s="15"/>
      <c r="BG1156" s="15"/>
    </row>
    <row r="1157" spans="1:59" ht="15.75" customHeight="1">
      <c r="A1157" s="216"/>
      <c r="B1157" s="12"/>
      <c r="C1157" s="12"/>
      <c r="D1157" s="13"/>
      <c r="E1157" s="12"/>
      <c r="F1157" s="13"/>
      <c r="G1157" s="13"/>
      <c r="H1157" s="12"/>
      <c r="I1157" s="18"/>
      <c r="J1157" s="16"/>
      <c r="K1157" s="16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6"/>
      <c r="AH1157" s="16"/>
      <c r="AI1157" s="18"/>
      <c r="AJ1157" s="18"/>
      <c r="AK1157" s="18"/>
      <c r="AL1157" s="18"/>
      <c r="AM1157" s="18"/>
      <c r="AN1157" s="18"/>
      <c r="AO1157" s="18"/>
      <c r="AP1157" s="18"/>
      <c r="AQ1157" s="18"/>
      <c r="AR1157" s="18"/>
      <c r="AS1157" s="18"/>
      <c r="AT1157" s="216"/>
      <c r="AU1157" s="18"/>
      <c r="AV1157" s="18"/>
      <c r="AW1157" s="18"/>
      <c r="AX1157" s="18"/>
      <c r="AY1157" s="18"/>
      <c r="AZ1157" s="18"/>
      <c r="BA1157" s="18"/>
      <c r="BB1157" s="18"/>
      <c r="BC1157" s="18"/>
      <c r="BD1157" s="18"/>
      <c r="BE1157" s="18"/>
      <c r="BF1157" s="15"/>
      <c r="BG1157" s="15"/>
    </row>
    <row r="1158" spans="1:59" ht="15.75" customHeight="1">
      <c r="A1158" s="216"/>
      <c r="B1158" s="12"/>
      <c r="C1158" s="12"/>
      <c r="D1158" s="13"/>
      <c r="E1158" s="12"/>
      <c r="F1158" s="13"/>
      <c r="G1158" s="13"/>
      <c r="H1158" s="12"/>
      <c r="I1158" s="18"/>
      <c r="J1158" s="16"/>
      <c r="K1158" s="16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6"/>
      <c r="AH1158" s="16"/>
      <c r="AI1158" s="18"/>
      <c r="AJ1158" s="18"/>
      <c r="AK1158" s="18"/>
      <c r="AL1158" s="18"/>
      <c r="AM1158" s="18"/>
      <c r="AN1158" s="18"/>
      <c r="AO1158" s="18"/>
      <c r="AP1158" s="18"/>
      <c r="AQ1158" s="18"/>
      <c r="AR1158" s="18"/>
      <c r="AS1158" s="18"/>
      <c r="AT1158" s="216"/>
      <c r="AU1158" s="18"/>
      <c r="AV1158" s="18"/>
      <c r="AW1158" s="18"/>
      <c r="AX1158" s="18"/>
      <c r="AY1158" s="18"/>
      <c r="AZ1158" s="18"/>
      <c r="BA1158" s="18"/>
      <c r="BB1158" s="18"/>
      <c r="BC1158" s="18"/>
      <c r="BD1158" s="18"/>
      <c r="BE1158" s="18"/>
      <c r="BF1158" s="15"/>
      <c r="BG1158" s="15"/>
    </row>
    <row r="1159" spans="1:59" ht="15.75" customHeight="1">
      <c r="A1159" s="216"/>
      <c r="B1159" s="12"/>
      <c r="C1159" s="12"/>
      <c r="D1159" s="13"/>
      <c r="E1159" s="12"/>
      <c r="F1159" s="13"/>
      <c r="G1159" s="13"/>
      <c r="H1159" s="12"/>
      <c r="I1159" s="18"/>
      <c r="J1159" s="16"/>
      <c r="K1159" s="16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  <c r="AF1159" s="18"/>
      <c r="AG1159" s="16"/>
      <c r="AH1159" s="16"/>
      <c r="AI1159" s="18"/>
      <c r="AJ1159" s="18"/>
      <c r="AK1159" s="18"/>
      <c r="AL1159" s="18"/>
      <c r="AM1159" s="18"/>
      <c r="AN1159" s="18"/>
      <c r="AO1159" s="18"/>
      <c r="AP1159" s="18"/>
      <c r="AQ1159" s="18"/>
      <c r="AR1159" s="18"/>
      <c r="AS1159" s="18"/>
      <c r="AT1159" s="216"/>
      <c r="AU1159" s="18"/>
      <c r="AV1159" s="18"/>
      <c r="AW1159" s="18"/>
      <c r="AX1159" s="18"/>
      <c r="AY1159" s="18"/>
      <c r="AZ1159" s="18"/>
      <c r="BA1159" s="18"/>
      <c r="BB1159" s="18"/>
      <c r="BC1159" s="18"/>
      <c r="BD1159" s="18"/>
      <c r="BE1159" s="18"/>
      <c r="BF1159" s="15"/>
      <c r="BG1159" s="15"/>
    </row>
    <row r="1160" spans="1:59" ht="15.75" customHeight="1">
      <c r="A1160" s="216"/>
      <c r="B1160" s="12"/>
      <c r="C1160" s="12"/>
      <c r="D1160" s="13"/>
      <c r="E1160" s="12"/>
      <c r="F1160" s="13"/>
      <c r="G1160" s="13"/>
      <c r="H1160" s="12"/>
      <c r="I1160" s="18"/>
      <c r="J1160" s="16"/>
      <c r="K1160" s="16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6"/>
      <c r="AH1160" s="16"/>
      <c r="AI1160" s="18"/>
      <c r="AJ1160" s="18"/>
      <c r="AK1160" s="18"/>
      <c r="AL1160" s="18"/>
      <c r="AM1160" s="18"/>
      <c r="AN1160" s="18"/>
      <c r="AO1160" s="18"/>
      <c r="AP1160" s="18"/>
      <c r="AQ1160" s="18"/>
      <c r="AR1160" s="18"/>
      <c r="AS1160" s="18"/>
      <c r="AT1160" s="216"/>
      <c r="AU1160" s="18"/>
      <c r="AV1160" s="18"/>
      <c r="AW1160" s="18"/>
      <c r="AX1160" s="18"/>
      <c r="AY1160" s="18"/>
      <c r="AZ1160" s="18"/>
      <c r="BA1160" s="18"/>
      <c r="BB1160" s="18"/>
      <c r="BC1160" s="18"/>
      <c r="BD1160" s="18"/>
      <c r="BE1160" s="18"/>
      <c r="BF1160" s="15"/>
      <c r="BG1160" s="15"/>
    </row>
    <row r="1161" spans="1:59" ht="15.75" customHeight="1">
      <c r="A1161" s="216"/>
      <c r="B1161" s="12"/>
      <c r="C1161" s="12"/>
      <c r="D1161" s="13"/>
      <c r="E1161" s="12"/>
      <c r="F1161" s="13"/>
      <c r="G1161" s="13"/>
      <c r="H1161" s="12"/>
      <c r="I1161" s="18"/>
      <c r="J1161" s="16"/>
      <c r="K1161" s="16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6"/>
      <c r="AH1161" s="16"/>
      <c r="AI1161" s="18"/>
      <c r="AJ1161" s="18"/>
      <c r="AK1161" s="18"/>
      <c r="AL1161" s="18"/>
      <c r="AM1161" s="18"/>
      <c r="AN1161" s="18"/>
      <c r="AO1161" s="18"/>
      <c r="AP1161" s="18"/>
      <c r="AQ1161" s="18"/>
      <c r="AR1161" s="18"/>
      <c r="AS1161" s="18"/>
      <c r="AT1161" s="216"/>
      <c r="AU1161" s="18"/>
      <c r="AV1161" s="18"/>
      <c r="AW1161" s="18"/>
      <c r="AX1161" s="18"/>
      <c r="AY1161" s="18"/>
      <c r="AZ1161" s="18"/>
      <c r="BA1161" s="18"/>
      <c r="BB1161" s="18"/>
      <c r="BC1161" s="18"/>
      <c r="BD1161" s="18"/>
      <c r="BE1161" s="18"/>
      <c r="BF1161" s="15"/>
      <c r="BG1161" s="15"/>
    </row>
    <row r="1162" spans="1:59" ht="15.75" customHeight="1">
      <c r="A1162" s="216"/>
      <c r="B1162" s="12"/>
      <c r="C1162" s="12"/>
      <c r="D1162" s="13"/>
      <c r="E1162" s="12"/>
      <c r="F1162" s="13"/>
      <c r="G1162" s="13"/>
      <c r="H1162" s="12"/>
      <c r="I1162" s="18"/>
      <c r="J1162" s="16"/>
      <c r="K1162" s="16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18"/>
      <c r="AG1162" s="16"/>
      <c r="AH1162" s="16"/>
      <c r="AI1162" s="18"/>
      <c r="AJ1162" s="18"/>
      <c r="AK1162" s="18"/>
      <c r="AL1162" s="18"/>
      <c r="AM1162" s="18"/>
      <c r="AN1162" s="18"/>
      <c r="AO1162" s="18"/>
      <c r="AP1162" s="18"/>
      <c r="AQ1162" s="18"/>
      <c r="AR1162" s="18"/>
      <c r="AS1162" s="18"/>
      <c r="AT1162" s="216"/>
      <c r="AU1162" s="18"/>
      <c r="AV1162" s="18"/>
      <c r="AW1162" s="18"/>
      <c r="AX1162" s="18"/>
      <c r="AY1162" s="18"/>
      <c r="AZ1162" s="18"/>
      <c r="BA1162" s="18"/>
      <c r="BB1162" s="18"/>
      <c r="BC1162" s="18"/>
      <c r="BD1162" s="18"/>
      <c r="BE1162" s="18"/>
      <c r="BF1162" s="15"/>
      <c r="BG1162" s="15"/>
    </row>
    <row r="1163" spans="1:59" ht="15.75" customHeight="1">
      <c r="A1163" s="216"/>
      <c r="B1163" s="12"/>
      <c r="C1163" s="12"/>
      <c r="D1163" s="13"/>
      <c r="E1163" s="12"/>
      <c r="F1163" s="13"/>
      <c r="G1163" s="13"/>
      <c r="H1163" s="12"/>
      <c r="I1163" s="18"/>
      <c r="J1163" s="16"/>
      <c r="K1163" s="16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18"/>
      <c r="AG1163" s="16"/>
      <c r="AH1163" s="16"/>
      <c r="AI1163" s="18"/>
      <c r="AJ1163" s="18"/>
      <c r="AK1163" s="18"/>
      <c r="AL1163" s="18"/>
      <c r="AM1163" s="18"/>
      <c r="AN1163" s="18"/>
      <c r="AO1163" s="18"/>
      <c r="AP1163" s="18"/>
      <c r="AQ1163" s="18"/>
      <c r="AR1163" s="18"/>
      <c r="AS1163" s="18"/>
      <c r="AT1163" s="216"/>
      <c r="AU1163" s="18"/>
      <c r="AV1163" s="18"/>
      <c r="AW1163" s="18"/>
      <c r="AX1163" s="18"/>
      <c r="AY1163" s="18"/>
      <c r="AZ1163" s="18"/>
      <c r="BA1163" s="18"/>
      <c r="BB1163" s="18"/>
      <c r="BC1163" s="18"/>
      <c r="BD1163" s="18"/>
      <c r="BE1163" s="18"/>
      <c r="BF1163" s="15"/>
      <c r="BG1163" s="15"/>
    </row>
    <row r="1164" spans="1:59" ht="15.75" customHeight="1">
      <c r="A1164" s="216"/>
      <c r="B1164" s="12"/>
      <c r="C1164" s="12"/>
      <c r="D1164" s="13"/>
      <c r="E1164" s="12"/>
      <c r="F1164" s="13"/>
      <c r="G1164" s="13"/>
      <c r="H1164" s="12"/>
      <c r="I1164" s="18"/>
      <c r="J1164" s="16"/>
      <c r="K1164" s="16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6"/>
      <c r="AH1164" s="16"/>
      <c r="AI1164" s="18"/>
      <c r="AJ1164" s="18"/>
      <c r="AK1164" s="18"/>
      <c r="AL1164" s="18"/>
      <c r="AM1164" s="18"/>
      <c r="AN1164" s="18"/>
      <c r="AO1164" s="18"/>
      <c r="AP1164" s="18"/>
      <c r="AQ1164" s="18"/>
      <c r="AR1164" s="18"/>
      <c r="AS1164" s="18"/>
      <c r="AT1164" s="216"/>
      <c r="AU1164" s="18"/>
      <c r="AV1164" s="18"/>
      <c r="AW1164" s="18"/>
      <c r="AX1164" s="18"/>
      <c r="AY1164" s="18"/>
      <c r="AZ1164" s="18"/>
      <c r="BA1164" s="18"/>
      <c r="BB1164" s="18"/>
      <c r="BC1164" s="18"/>
      <c r="BD1164" s="18"/>
      <c r="BE1164" s="18"/>
      <c r="BF1164" s="15"/>
      <c r="BG1164" s="15"/>
    </row>
    <row r="1165" spans="1:59" ht="15.75" customHeight="1">
      <c r="A1165" s="216"/>
      <c r="B1165" s="12"/>
      <c r="C1165" s="12"/>
      <c r="D1165" s="13"/>
      <c r="E1165" s="12"/>
      <c r="F1165" s="13"/>
      <c r="G1165" s="13"/>
      <c r="H1165" s="12"/>
      <c r="I1165" s="18"/>
      <c r="J1165" s="16"/>
      <c r="K1165" s="16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6"/>
      <c r="AH1165" s="16"/>
      <c r="AI1165" s="18"/>
      <c r="AJ1165" s="18"/>
      <c r="AK1165" s="18"/>
      <c r="AL1165" s="18"/>
      <c r="AM1165" s="18"/>
      <c r="AN1165" s="18"/>
      <c r="AO1165" s="18"/>
      <c r="AP1165" s="18"/>
      <c r="AQ1165" s="18"/>
      <c r="AR1165" s="18"/>
      <c r="AS1165" s="18"/>
      <c r="AT1165" s="216"/>
      <c r="AU1165" s="18"/>
      <c r="AV1165" s="18"/>
      <c r="AW1165" s="18"/>
      <c r="AX1165" s="18"/>
      <c r="AY1165" s="18"/>
      <c r="AZ1165" s="18"/>
      <c r="BA1165" s="18"/>
      <c r="BB1165" s="18"/>
      <c r="BC1165" s="18"/>
      <c r="BD1165" s="18"/>
      <c r="BE1165" s="18"/>
      <c r="BF1165" s="15"/>
      <c r="BG1165" s="15"/>
    </row>
    <row r="1166" spans="1:59" ht="15.75" customHeight="1">
      <c r="A1166" s="216"/>
      <c r="B1166" s="12"/>
      <c r="C1166" s="12"/>
      <c r="D1166" s="13"/>
      <c r="E1166" s="12"/>
      <c r="F1166" s="13"/>
      <c r="G1166" s="13"/>
      <c r="H1166" s="12"/>
      <c r="I1166" s="18"/>
      <c r="J1166" s="16"/>
      <c r="K1166" s="16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18"/>
      <c r="AG1166" s="16"/>
      <c r="AH1166" s="16"/>
      <c r="AI1166" s="18"/>
      <c r="AJ1166" s="18"/>
      <c r="AK1166" s="18"/>
      <c r="AL1166" s="18"/>
      <c r="AM1166" s="18"/>
      <c r="AN1166" s="18"/>
      <c r="AO1166" s="18"/>
      <c r="AP1166" s="18"/>
      <c r="AQ1166" s="18"/>
      <c r="AR1166" s="18"/>
      <c r="AS1166" s="18"/>
      <c r="AT1166" s="216"/>
      <c r="AU1166" s="18"/>
      <c r="AV1166" s="18"/>
      <c r="AW1166" s="18"/>
      <c r="AX1166" s="18"/>
      <c r="AY1166" s="18"/>
      <c r="AZ1166" s="18"/>
      <c r="BA1166" s="18"/>
      <c r="BB1166" s="18"/>
      <c r="BC1166" s="18"/>
      <c r="BD1166" s="18"/>
      <c r="BE1166" s="18"/>
      <c r="BF1166" s="15"/>
      <c r="BG1166" s="15"/>
    </row>
    <row r="1167" spans="1:59" ht="15.75" customHeight="1">
      <c r="A1167" s="216"/>
      <c r="B1167" s="12"/>
      <c r="C1167" s="12"/>
      <c r="D1167" s="13"/>
      <c r="E1167" s="12"/>
      <c r="F1167" s="13"/>
      <c r="G1167" s="13"/>
      <c r="H1167" s="12"/>
      <c r="I1167" s="18"/>
      <c r="J1167" s="16"/>
      <c r="K1167" s="16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  <c r="AF1167" s="18"/>
      <c r="AG1167" s="16"/>
      <c r="AH1167" s="16"/>
      <c r="AI1167" s="18"/>
      <c r="AJ1167" s="18"/>
      <c r="AK1167" s="18"/>
      <c r="AL1167" s="18"/>
      <c r="AM1167" s="18"/>
      <c r="AN1167" s="18"/>
      <c r="AO1167" s="18"/>
      <c r="AP1167" s="18"/>
      <c r="AQ1167" s="18"/>
      <c r="AR1167" s="18"/>
      <c r="AS1167" s="18"/>
      <c r="AT1167" s="216"/>
      <c r="AU1167" s="18"/>
      <c r="AV1167" s="18"/>
      <c r="AW1167" s="18"/>
      <c r="AX1167" s="18"/>
      <c r="AY1167" s="18"/>
      <c r="AZ1167" s="18"/>
      <c r="BA1167" s="18"/>
      <c r="BB1167" s="18"/>
      <c r="BC1167" s="18"/>
      <c r="BD1167" s="18"/>
      <c r="BE1167" s="18"/>
      <c r="BF1167" s="15"/>
      <c r="BG1167" s="15"/>
    </row>
    <row r="1168" spans="1:59" ht="15.75" customHeight="1">
      <c r="A1168" s="216"/>
      <c r="B1168" s="12"/>
      <c r="C1168" s="12"/>
      <c r="D1168" s="13"/>
      <c r="E1168" s="12"/>
      <c r="F1168" s="13"/>
      <c r="G1168" s="13"/>
      <c r="H1168" s="12"/>
      <c r="I1168" s="18"/>
      <c r="J1168" s="16"/>
      <c r="K1168" s="16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6"/>
      <c r="AH1168" s="16"/>
      <c r="AI1168" s="18"/>
      <c r="AJ1168" s="18"/>
      <c r="AK1168" s="18"/>
      <c r="AL1168" s="18"/>
      <c r="AM1168" s="18"/>
      <c r="AN1168" s="18"/>
      <c r="AO1168" s="18"/>
      <c r="AP1168" s="18"/>
      <c r="AQ1168" s="18"/>
      <c r="AR1168" s="18"/>
      <c r="AS1168" s="18"/>
      <c r="AT1168" s="216"/>
      <c r="AU1168" s="18"/>
      <c r="AV1168" s="18"/>
      <c r="AW1168" s="18"/>
      <c r="AX1168" s="18"/>
      <c r="AY1168" s="18"/>
      <c r="AZ1168" s="18"/>
      <c r="BA1168" s="18"/>
      <c r="BB1168" s="18"/>
      <c r="BC1168" s="18"/>
      <c r="BD1168" s="18"/>
      <c r="BE1168" s="18"/>
      <c r="BF1168" s="15"/>
      <c r="BG1168" s="15"/>
    </row>
    <row r="1169" spans="1:59" ht="15.75" customHeight="1">
      <c r="A1169" s="216"/>
      <c r="B1169" s="12"/>
      <c r="C1169" s="12"/>
      <c r="D1169" s="13"/>
      <c r="E1169" s="12"/>
      <c r="F1169" s="13"/>
      <c r="G1169" s="13"/>
      <c r="H1169" s="12"/>
      <c r="I1169" s="18"/>
      <c r="J1169" s="16"/>
      <c r="K1169" s="16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8"/>
      <c r="AG1169" s="16"/>
      <c r="AH1169" s="16"/>
      <c r="AI1169" s="18"/>
      <c r="AJ1169" s="18"/>
      <c r="AK1169" s="18"/>
      <c r="AL1169" s="18"/>
      <c r="AM1169" s="18"/>
      <c r="AN1169" s="18"/>
      <c r="AO1169" s="18"/>
      <c r="AP1169" s="18"/>
      <c r="AQ1169" s="18"/>
      <c r="AR1169" s="18"/>
      <c r="AS1169" s="18"/>
      <c r="AT1169" s="216"/>
      <c r="AU1169" s="18"/>
      <c r="AV1169" s="18"/>
      <c r="AW1169" s="18"/>
      <c r="AX1169" s="18"/>
      <c r="AY1169" s="18"/>
      <c r="AZ1169" s="18"/>
      <c r="BA1169" s="18"/>
      <c r="BB1169" s="18"/>
      <c r="BC1169" s="18"/>
      <c r="BD1169" s="18"/>
      <c r="BE1169" s="18"/>
      <c r="BF1169" s="15"/>
      <c r="BG1169" s="15"/>
    </row>
    <row r="1170" spans="1:59" ht="15.75" customHeight="1">
      <c r="A1170" s="216"/>
      <c r="B1170" s="12"/>
      <c r="C1170" s="12"/>
      <c r="D1170" s="13"/>
      <c r="E1170" s="12"/>
      <c r="F1170" s="13"/>
      <c r="G1170" s="13"/>
      <c r="H1170" s="12"/>
      <c r="I1170" s="18"/>
      <c r="J1170" s="16"/>
      <c r="K1170" s="16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6"/>
      <c r="AH1170" s="16"/>
      <c r="AI1170" s="18"/>
      <c r="AJ1170" s="18"/>
      <c r="AK1170" s="18"/>
      <c r="AL1170" s="18"/>
      <c r="AM1170" s="18"/>
      <c r="AN1170" s="18"/>
      <c r="AO1170" s="18"/>
      <c r="AP1170" s="18"/>
      <c r="AQ1170" s="18"/>
      <c r="AR1170" s="18"/>
      <c r="AS1170" s="18"/>
      <c r="AT1170" s="216"/>
      <c r="AU1170" s="18"/>
      <c r="AV1170" s="18"/>
      <c r="AW1170" s="18"/>
      <c r="AX1170" s="18"/>
      <c r="AY1170" s="18"/>
      <c r="AZ1170" s="18"/>
      <c r="BA1170" s="18"/>
      <c r="BB1170" s="18"/>
      <c r="BC1170" s="18"/>
      <c r="BD1170" s="18"/>
      <c r="BE1170" s="18"/>
      <c r="BF1170" s="15"/>
      <c r="BG1170" s="15"/>
    </row>
    <row r="1171" spans="1:59" ht="15.75" customHeight="1">
      <c r="A1171" s="216"/>
      <c r="B1171" s="12"/>
      <c r="C1171" s="12"/>
      <c r="D1171" s="13"/>
      <c r="E1171" s="12"/>
      <c r="F1171" s="13"/>
      <c r="G1171" s="13"/>
      <c r="H1171" s="12"/>
      <c r="I1171" s="18"/>
      <c r="J1171" s="16"/>
      <c r="K1171" s="16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  <c r="AF1171" s="18"/>
      <c r="AG1171" s="16"/>
      <c r="AH1171" s="16"/>
      <c r="AI1171" s="18"/>
      <c r="AJ1171" s="18"/>
      <c r="AK1171" s="18"/>
      <c r="AL1171" s="18"/>
      <c r="AM1171" s="18"/>
      <c r="AN1171" s="18"/>
      <c r="AO1171" s="18"/>
      <c r="AP1171" s="18"/>
      <c r="AQ1171" s="18"/>
      <c r="AR1171" s="18"/>
      <c r="AS1171" s="18"/>
      <c r="AT1171" s="216"/>
      <c r="AU1171" s="18"/>
      <c r="AV1171" s="18"/>
      <c r="AW1171" s="18"/>
      <c r="AX1171" s="18"/>
      <c r="AY1171" s="18"/>
      <c r="AZ1171" s="18"/>
      <c r="BA1171" s="18"/>
      <c r="BB1171" s="18"/>
      <c r="BC1171" s="18"/>
      <c r="BD1171" s="18"/>
      <c r="BE1171" s="18"/>
      <c r="BF1171" s="15"/>
      <c r="BG1171" s="15"/>
    </row>
    <row r="1172" spans="1:59" ht="15.75" customHeight="1">
      <c r="A1172" s="216"/>
      <c r="B1172" s="12"/>
      <c r="C1172" s="12"/>
      <c r="D1172" s="13"/>
      <c r="E1172" s="12"/>
      <c r="F1172" s="13"/>
      <c r="G1172" s="13"/>
      <c r="H1172" s="12"/>
      <c r="I1172" s="18"/>
      <c r="J1172" s="16"/>
      <c r="K1172" s="16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6"/>
      <c r="AH1172" s="16"/>
      <c r="AI1172" s="18"/>
      <c r="AJ1172" s="18"/>
      <c r="AK1172" s="18"/>
      <c r="AL1172" s="18"/>
      <c r="AM1172" s="18"/>
      <c r="AN1172" s="18"/>
      <c r="AO1172" s="18"/>
      <c r="AP1172" s="18"/>
      <c r="AQ1172" s="18"/>
      <c r="AR1172" s="18"/>
      <c r="AS1172" s="18"/>
      <c r="AT1172" s="216"/>
      <c r="AU1172" s="18"/>
      <c r="AV1172" s="18"/>
      <c r="AW1172" s="18"/>
      <c r="AX1172" s="18"/>
      <c r="AY1172" s="18"/>
      <c r="AZ1172" s="18"/>
      <c r="BA1172" s="18"/>
      <c r="BB1172" s="18"/>
      <c r="BC1172" s="18"/>
      <c r="BD1172" s="18"/>
      <c r="BE1172" s="18"/>
      <c r="BF1172" s="15"/>
      <c r="BG1172" s="15"/>
    </row>
    <row r="1173" spans="1:59" ht="15.75" customHeight="1">
      <c r="A1173" s="216"/>
      <c r="B1173" s="12"/>
      <c r="C1173" s="12"/>
      <c r="D1173" s="13"/>
      <c r="E1173" s="12"/>
      <c r="F1173" s="13"/>
      <c r="G1173" s="13"/>
      <c r="H1173" s="12"/>
      <c r="I1173" s="18"/>
      <c r="J1173" s="16"/>
      <c r="K1173" s="16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18"/>
      <c r="AG1173" s="16"/>
      <c r="AH1173" s="16"/>
      <c r="AI1173" s="18"/>
      <c r="AJ1173" s="18"/>
      <c r="AK1173" s="18"/>
      <c r="AL1173" s="18"/>
      <c r="AM1173" s="18"/>
      <c r="AN1173" s="18"/>
      <c r="AO1173" s="18"/>
      <c r="AP1173" s="18"/>
      <c r="AQ1173" s="18"/>
      <c r="AR1173" s="18"/>
      <c r="AS1173" s="18"/>
      <c r="AT1173" s="216"/>
      <c r="AU1173" s="18"/>
      <c r="AV1173" s="18"/>
      <c r="AW1173" s="18"/>
      <c r="AX1173" s="18"/>
      <c r="AY1173" s="18"/>
      <c r="AZ1173" s="18"/>
      <c r="BA1173" s="18"/>
      <c r="BB1173" s="18"/>
      <c r="BC1173" s="18"/>
      <c r="BD1173" s="18"/>
      <c r="BE1173" s="18"/>
      <c r="BF1173" s="15"/>
      <c r="BG1173" s="15"/>
    </row>
    <row r="1174" spans="1:59" ht="15.75" customHeight="1">
      <c r="A1174" s="216"/>
      <c r="B1174" s="12"/>
      <c r="C1174" s="12"/>
      <c r="D1174" s="13"/>
      <c r="E1174" s="12"/>
      <c r="F1174" s="13"/>
      <c r="G1174" s="13"/>
      <c r="H1174" s="12"/>
      <c r="I1174" s="18"/>
      <c r="J1174" s="16"/>
      <c r="K1174" s="16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6"/>
      <c r="AH1174" s="16"/>
      <c r="AI1174" s="18"/>
      <c r="AJ1174" s="18"/>
      <c r="AK1174" s="18"/>
      <c r="AL1174" s="18"/>
      <c r="AM1174" s="18"/>
      <c r="AN1174" s="18"/>
      <c r="AO1174" s="18"/>
      <c r="AP1174" s="18"/>
      <c r="AQ1174" s="18"/>
      <c r="AR1174" s="18"/>
      <c r="AS1174" s="18"/>
      <c r="AT1174" s="216"/>
      <c r="AU1174" s="18"/>
      <c r="AV1174" s="18"/>
      <c r="AW1174" s="18"/>
      <c r="AX1174" s="18"/>
      <c r="AY1174" s="18"/>
      <c r="AZ1174" s="18"/>
      <c r="BA1174" s="18"/>
      <c r="BB1174" s="18"/>
      <c r="BC1174" s="18"/>
      <c r="BD1174" s="18"/>
      <c r="BE1174" s="18"/>
      <c r="BF1174" s="15"/>
      <c r="BG1174" s="15"/>
    </row>
    <row r="1175" spans="1:59" ht="15.75" customHeight="1">
      <c r="A1175" s="216"/>
      <c r="B1175" s="12"/>
      <c r="C1175" s="12"/>
      <c r="D1175" s="13"/>
      <c r="E1175" s="12"/>
      <c r="F1175" s="13"/>
      <c r="G1175" s="13"/>
      <c r="H1175" s="12"/>
      <c r="I1175" s="18"/>
      <c r="J1175" s="16"/>
      <c r="K1175" s="16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6"/>
      <c r="AH1175" s="16"/>
      <c r="AI1175" s="18"/>
      <c r="AJ1175" s="18"/>
      <c r="AK1175" s="18"/>
      <c r="AL1175" s="18"/>
      <c r="AM1175" s="18"/>
      <c r="AN1175" s="18"/>
      <c r="AO1175" s="18"/>
      <c r="AP1175" s="18"/>
      <c r="AQ1175" s="18"/>
      <c r="AR1175" s="18"/>
      <c r="AS1175" s="18"/>
      <c r="AT1175" s="216"/>
      <c r="AU1175" s="18"/>
      <c r="AV1175" s="18"/>
      <c r="AW1175" s="18"/>
      <c r="AX1175" s="18"/>
      <c r="AY1175" s="18"/>
      <c r="AZ1175" s="18"/>
      <c r="BA1175" s="18"/>
      <c r="BB1175" s="18"/>
      <c r="BC1175" s="18"/>
      <c r="BD1175" s="18"/>
      <c r="BE1175" s="18"/>
      <c r="BF1175" s="15"/>
      <c r="BG1175" s="15"/>
    </row>
    <row r="1176" spans="1:59" ht="15.75" customHeight="1">
      <c r="A1176" s="216"/>
      <c r="B1176" s="12"/>
      <c r="C1176" s="12"/>
      <c r="D1176" s="13"/>
      <c r="E1176" s="12"/>
      <c r="F1176" s="13"/>
      <c r="G1176" s="13"/>
      <c r="H1176" s="12"/>
      <c r="I1176" s="18"/>
      <c r="J1176" s="16"/>
      <c r="K1176" s="16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6"/>
      <c r="AH1176" s="16"/>
      <c r="AI1176" s="18"/>
      <c r="AJ1176" s="18"/>
      <c r="AK1176" s="18"/>
      <c r="AL1176" s="18"/>
      <c r="AM1176" s="18"/>
      <c r="AN1176" s="18"/>
      <c r="AO1176" s="18"/>
      <c r="AP1176" s="18"/>
      <c r="AQ1176" s="18"/>
      <c r="AR1176" s="18"/>
      <c r="AS1176" s="18"/>
      <c r="AT1176" s="216"/>
      <c r="AU1176" s="18"/>
      <c r="AV1176" s="18"/>
      <c r="AW1176" s="18"/>
      <c r="AX1176" s="18"/>
      <c r="AY1176" s="18"/>
      <c r="AZ1176" s="18"/>
      <c r="BA1176" s="18"/>
      <c r="BB1176" s="18"/>
      <c r="BC1176" s="18"/>
      <c r="BD1176" s="18"/>
      <c r="BE1176" s="18"/>
      <c r="BF1176" s="15"/>
      <c r="BG1176" s="15"/>
    </row>
    <row r="1177" spans="1:59" ht="15.75" customHeight="1">
      <c r="A1177" s="216"/>
      <c r="B1177" s="12"/>
      <c r="C1177" s="12"/>
      <c r="D1177" s="13"/>
      <c r="E1177" s="12"/>
      <c r="F1177" s="13"/>
      <c r="G1177" s="13"/>
      <c r="H1177" s="12"/>
      <c r="I1177" s="18"/>
      <c r="J1177" s="16"/>
      <c r="K1177" s="16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18"/>
      <c r="AG1177" s="16"/>
      <c r="AH1177" s="16"/>
      <c r="AI1177" s="18"/>
      <c r="AJ1177" s="18"/>
      <c r="AK1177" s="18"/>
      <c r="AL1177" s="18"/>
      <c r="AM1177" s="18"/>
      <c r="AN1177" s="18"/>
      <c r="AO1177" s="18"/>
      <c r="AP1177" s="18"/>
      <c r="AQ1177" s="18"/>
      <c r="AR1177" s="18"/>
      <c r="AS1177" s="18"/>
      <c r="AT1177" s="216"/>
      <c r="AU1177" s="18"/>
      <c r="AV1177" s="18"/>
      <c r="AW1177" s="18"/>
      <c r="AX1177" s="18"/>
      <c r="AY1177" s="18"/>
      <c r="AZ1177" s="18"/>
      <c r="BA1177" s="18"/>
      <c r="BB1177" s="18"/>
      <c r="BC1177" s="18"/>
      <c r="BD1177" s="18"/>
      <c r="BE1177" s="18"/>
      <c r="BF1177" s="15"/>
      <c r="BG1177" s="15"/>
    </row>
    <row r="1178" spans="1:59" ht="15.75" customHeight="1">
      <c r="A1178" s="216"/>
      <c r="B1178" s="12"/>
      <c r="C1178" s="12"/>
      <c r="D1178" s="13"/>
      <c r="E1178" s="12"/>
      <c r="F1178" s="13"/>
      <c r="G1178" s="13"/>
      <c r="H1178" s="12"/>
      <c r="I1178" s="18"/>
      <c r="J1178" s="16"/>
      <c r="K1178" s="16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18"/>
      <c r="AF1178" s="18"/>
      <c r="AG1178" s="16"/>
      <c r="AH1178" s="16"/>
      <c r="AI1178" s="18"/>
      <c r="AJ1178" s="18"/>
      <c r="AK1178" s="18"/>
      <c r="AL1178" s="18"/>
      <c r="AM1178" s="18"/>
      <c r="AN1178" s="18"/>
      <c r="AO1178" s="18"/>
      <c r="AP1178" s="18"/>
      <c r="AQ1178" s="18"/>
      <c r="AR1178" s="18"/>
      <c r="AS1178" s="18"/>
      <c r="AT1178" s="216"/>
      <c r="AU1178" s="18"/>
      <c r="AV1178" s="18"/>
      <c r="AW1178" s="18"/>
      <c r="AX1178" s="18"/>
      <c r="AY1178" s="18"/>
      <c r="AZ1178" s="18"/>
      <c r="BA1178" s="18"/>
      <c r="BB1178" s="18"/>
      <c r="BC1178" s="18"/>
      <c r="BD1178" s="18"/>
      <c r="BE1178" s="18"/>
      <c r="BF1178" s="15"/>
      <c r="BG1178" s="15"/>
    </row>
    <row r="1179" spans="1:59" ht="15.75" customHeight="1">
      <c r="A1179" s="216"/>
      <c r="B1179" s="12"/>
      <c r="C1179" s="12"/>
      <c r="D1179" s="13"/>
      <c r="E1179" s="12"/>
      <c r="F1179" s="13"/>
      <c r="G1179" s="13"/>
      <c r="H1179" s="12"/>
      <c r="I1179" s="18"/>
      <c r="J1179" s="16"/>
      <c r="K1179" s="16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  <c r="AG1179" s="16"/>
      <c r="AH1179" s="16"/>
      <c r="AI1179" s="18"/>
      <c r="AJ1179" s="18"/>
      <c r="AK1179" s="18"/>
      <c r="AL1179" s="18"/>
      <c r="AM1179" s="18"/>
      <c r="AN1179" s="18"/>
      <c r="AO1179" s="18"/>
      <c r="AP1179" s="18"/>
      <c r="AQ1179" s="18"/>
      <c r="AR1179" s="18"/>
      <c r="AS1179" s="18"/>
      <c r="AT1179" s="216"/>
      <c r="AU1179" s="18"/>
      <c r="AV1179" s="18"/>
      <c r="AW1179" s="18"/>
      <c r="AX1179" s="18"/>
      <c r="AY1179" s="18"/>
      <c r="AZ1179" s="18"/>
      <c r="BA1179" s="18"/>
      <c r="BB1179" s="18"/>
      <c r="BC1179" s="18"/>
      <c r="BD1179" s="18"/>
      <c r="BE1179" s="18"/>
      <c r="BF1179" s="15"/>
      <c r="BG1179" s="15"/>
    </row>
    <row r="1180" spans="1:59" ht="15.75" customHeight="1">
      <c r="A1180" s="216"/>
      <c r="B1180" s="12"/>
      <c r="C1180" s="12"/>
      <c r="D1180" s="13"/>
      <c r="E1180" s="12"/>
      <c r="F1180" s="13"/>
      <c r="G1180" s="13"/>
      <c r="H1180" s="12"/>
      <c r="I1180" s="18"/>
      <c r="J1180" s="16"/>
      <c r="K1180" s="16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6"/>
      <c r="AH1180" s="16"/>
      <c r="AI1180" s="18"/>
      <c r="AJ1180" s="18"/>
      <c r="AK1180" s="18"/>
      <c r="AL1180" s="18"/>
      <c r="AM1180" s="18"/>
      <c r="AN1180" s="18"/>
      <c r="AO1180" s="18"/>
      <c r="AP1180" s="18"/>
      <c r="AQ1180" s="18"/>
      <c r="AR1180" s="18"/>
      <c r="AS1180" s="18"/>
      <c r="AT1180" s="216"/>
      <c r="AU1180" s="18"/>
      <c r="AV1180" s="18"/>
      <c r="AW1180" s="18"/>
      <c r="AX1180" s="18"/>
      <c r="AY1180" s="18"/>
      <c r="AZ1180" s="18"/>
      <c r="BA1180" s="18"/>
      <c r="BB1180" s="18"/>
      <c r="BC1180" s="18"/>
      <c r="BD1180" s="18"/>
      <c r="BE1180" s="18"/>
      <c r="BF1180" s="15"/>
      <c r="BG1180" s="15"/>
    </row>
    <row r="1181" spans="1:59" ht="15.75" customHeight="1">
      <c r="A1181" s="216"/>
      <c r="B1181" s="12"/>
      <c r="C1181" s="12"/>
      <c r="D1181" s="13"/>
      <c r="E1181" s="12"/>
      <c r="F1181" s="13"/>
      <c r="G1181" s="13"/>
      <c r="H1181" s="12"/>
      <c r="I1181" s="18"/>
      <c r="J1181" s="16"/>
      <c r="K1181" s="16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18"/>
      <c r="AG1181" s="16"/>
      <c r="AH1181" s="16"/>
      <c r="AI1181" s="18"/>
      <c r="AJ1181" s="18"/>
      <c r="AK1181" s="18"/>
      <c r="AL1181" s="18"/>
      <c r="AM1181" s="18"/>
      <c r="AN1181" s="18"/>
      <c r="AO1181" s="18"/>
      <c r="AP1181" s="18"/>
      <c r="AQ1181" s="18"/>
      <c r="AR1181" s="18"/>
      <c r="AS1181" s="18"/>
      <c r="AT1181" s="216"/>
      <c r="AU1181" s="18"/>
      <c r="AV1181" s="18"/>
      <c r="AW1181" s="18"/>
      <c r="AX1181" s="18"/>
      <c r="AY1181" s="18"/>
      <c r="AZ1181" s="18"/>
      <c r="BA1181" s="18"/>
      <c r="BB1181" s="18"/>
      <c r="BC1181" s="18"/>
      <c r="BD1181" s="18"/>
      <c r="BE1181" s="18"/>
      <c r="BF1181" s="15"/>
      <c r="BG1181" s="15"/>
    </row>
    <row r="1182" spans="1:59" ht="15.75" customHeight="1">
      <c r="A1182" s="216"/>
      <c r="B1182" s="12"/>
      <c r="C1182" s="12"/>
      <c r="D1182" s="13"/>
      <c r="E1182" s="12"/>
      <c r="F1182" s="13"/>
      <c r="G1182" s="13"/>
      <c r="H1182" s="12"/>
      <c r="I1182" s="18"/>
      <c r="J1182" s="16"/>
      <c r="K1182" s="16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18"/>
      <c r="AG1182" s="16"/>
      <c r="AH1182" s="16"/>
      <c r="AI1182" s="18"/>
      <c r="AJ1182" s="18"/>
      <c r="AK1182" s="18"/>
      <c r="AL1182" s="18"/>
      <c r="AM1182" s="18"/>
      <c r="AN1182" s="18"/>
      <c r="AO1182" s="18"/>
      <c r="AP1182" s="18"/>
      <c r="AQ1182" s="18"/>
      <c r="AR1182" s="18"/>
      <c r="AS1182" s="18"/>
      <c r="AT1182" s="216"/>
      <c r="AU1182" s="18"/>
      <c r="AV1182" s="18"/>
      <c r="AW1182" s="18"/>
      <c r="AX1182" s="18"/>
      <c r="AY1182" s="18"/>
      <c r="AZ1182" s="18"/>
      <c r="BA1182" s="18"/>
      <c r="BB1182" s="18"/>
      <c r="BC1182" s="18"/>
      <c r="BD1182" s="18"/>
      <c r="BE1182" s="18"/>
      <c r="BF1182" s="15"/>
      <c r="BG1182" s="15"/>
    </row>
    <row r="1183" spans="1:59" ht="15.75" customHeight="1">
      <c r="A1183" s="216"/>
      <c r="B1183" s="12"/>
      <c r="C1183" s="12"/>
      <c r="D1183" s="13"/>
      <c r="E1183" s="12"/>
      <c r="F1183" s="13"/>
      <c r="G1183" s="13"/>
      <c r="H1183" s="12"/>
      <c r="I1183" s="18"/>
      <c r="J1183" s="16"/>
      <c r="K1183" s="16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18"/>
      <c r="AG1183" s="16"/>
      <c r="AH1183" s="16"/>
      <c r="AI1183" s="18"/>
      <c r="AJ1183" s="18"/>
      <c r="AK1183" s="18"/>
      <c r="AL1183" s="18"/>
      <c r="AM1183" s="18"/>
      <c r="AN1183" s="18"/>
      <c r="AO1183" s="18"/>
      <c r="AP1183" s="18"/>
      <c r="AQ1183" s="18"/>
      <c r="AR1183" s="18"/>
      <c r="AS1183" s="18"/>
      <c r="AT1183" s="216"/>
      <c r="AU1183" s="18"/>
      <c r="AV1183" s="18"/>
      <c r="AW1183" s="18"/>
      <c r="AX1183" s="18"/>
      <c r="AY1183" s="18"/>
      <c r="AZ1183" s="18"/>
      <c r="BA1183" s="18"/>
      <c r="BB1183" s="18"/>
      <c r="BC1183" s="18"/>
      <c r="BD1183" s="18"/>
      <c r="BE1183" s="18"/>
      <c r="BF1183" s="15"/>
      <c r="BG1183" s="15"/>
    </row>
    <row r="1184" spans="1:59" ht="15.75" customHeight="1">
      <c r="A1184" s="216"/>
      <c r="B1184" s="12"/>
      <c r="C1184" s="12"/>
      <c r="D1184" s="13"/>
      <c r="E1184" s="12"/>
      <c r="F1184" s="13"/>
      <c r="G1184" s="13"/>
      <c r="H1184" s="12"/>
      <c r="I1184" s="18"/>
      <c r="J1184" s="16"/>
      <c r="K1184" s="16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18"/>
      <c r="AG1184" s="16"/>
      <c r="AH1184" s="16"/>
      <c r="AI1184" s="18"/>
      <c r="AJ1184" s="18"/>
      <c r="AK1184" s="18"/>
      <c r="AL1184" s="18"/>
      <c r="AM1184" s="18"/>
      <c r="AN1184" s="18"/>
      <c r="AO1184" s="18"/>
      <c r="AP1184" s="18"/>
      <c r="AQ1184" s="18"/>
      <c r="AR1184" s="18"/>
      <c r="AS1184" s="18"/>
      <c r="AT1184" s="216"/>
      <c r="AU1184" s="18"/>
      <c r="AV1184" s="18"/>
      <c r="AW1184" s="18"/>
      <c r="AX1184" s="18"/>
      <c r="AY1184" s="18"/>
      <c r="AZ1184" s="18"/>
      <c r="BA1184" s="18"/>
      <c r="BB1184" s="18"/>
      <c r="BC1184" s="18"/>
      <c r="BD1184" s="18"/>
      <c r="BE1184" s="18"/>
      <c r="BF1184" s="15"/>
      <c r="BG1184" s="15"/>
    </row>
    <row r="1185" spans="1:59" ht="15.75" customHeight="1">
      <c r="A1185" s="216"/>
      <c r="B1185" s="12"/>
      <c r="C1185" s="12"/>
      <c r="D1185" s="13"/>
      <c r="E1185" s="12"/>
      <c r="F1185" s="13"/>
      <c r="G1185" s="13"/>
      <c r="H1185" s="12"/>
      <c r="I1185" s="18"/>
      <c r="J1185" s="16"/>
      <c r="K1185" s="16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6"/>
      <c r="AH1185" s="16"/>
      <c r="AI1185" s="18"/>
      <c r="AJ1185" s="18"/>
      <c r="AK1185" s="18"/>
      <c r="AL1185" s="18"/>
      <c r="AM1185" s="18"/>
      <c r="AN1185" s="18"/>
      <c r="AO1185" s="18"/>
      <c r="AP1185" s="18"/>
      <c r="AQ1185" s="18"/>
      <c r="AR1185" s="18"/>
      <c r="AS1185" s="18"/>
      <c r="AT1185" s="216"/>
      <c r="AU1185" s="18"/>
      <c r="AV1185" s="18"/>
      <c r="AW1185" s="18"/>
      <c r="AX1185" s="18"/>
      <c r="AY1185" s="18"/>
      <c r="AZ1185" s="18"/>
      <c r="BA1185" s="18"/>
      <c r="BB1185" s="18"/>
      <c r="BC1185" s="18"/>
      <c r="BD1185" s="18"/>
      <c r="BE1185" s="18"/>
      <c r="BF1185" s="15"/>
      <c r="BG1185" s="15"/>
    </row>
    <row r="1186" spans="1:59" ht="15.75" customHeight="1">
      <c r="A1186" s="216"/>
      <c r="B1186" s="12"/>
      <c r="C1186" s="12"/>
      <c r="D1186" s="13"/>
      <c r="E1186" s="12"/>
      <c r="F1186" s="13"/>
      <c r="G1186" s="13"/>
      <c r="H1186" s="12"/>
      <c r="I1186" s="18"/>
      <c r="J1186" s="16"/>
      <c r="K1186" s="16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6"/>
      <c r="AH1186" s="16"/>
      <c r="AI1186" s="18"/>
      <c r="AJ1186" s="18"/>
      <c r="AK1186" s="18"/>
      <c r="AL1186" s="18"/>
      <c r="AM1186" s="18"/>
      <c r="AN1186" s="18"/>
      <c r="AO1186" s="18"/>
      <c r="AP1186" s="18"/>
      <c r="AQ1186" s="18"/>
      <c r="AR1186" s="18"/>
      <c r="AS1186" s="18"/>
      <c r="AT1186" s="216"/>
      <c r="AU1186" s="18"/>
      <c r="AV1186" s="18"/>
      <c r="AW1186" s="18"/>
      <c r="AX1186" s="18"/>
      <c r="AY1186" s="18"/>
      <c r="AZ1186" s="18"/>
      <c r="BA1186" s="18"/>
      <c r="BB1186" s="18"/>
      <c r="BC1186" s="18"/>
      <c r="BD1186" s="18"/>
      <c r="BE1186" s="18"/>
      <c r="BF1186" s="15"/>
      <c r="BG1186" s="15"/>
    </row>
    <row r="1187" spans="1:59" ht="15.75" customHeight="1">
      <c r="A1187" s="216"/>
      <c r="B1187" s="12"/>
      <c r="C1187" s="12"/>
      <c r="D1187" s="13"/>
      <c r="E1187" s="12"/>
      <c r="F1187" s="13"/>
      <c r="G1187" s="13"/>
      <c r="H1187" s="12"/>
      <c r="I1187" s="18"/>
      <c r="J1187" s="16"/>
      <c r="K1187" s="16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6"/>
      <c r="AH1187" s="16"/>
      <c r="AI1187" s="18"/>
      <c r="AJ1187" s="18"/>
      <c r="AK1187" s="18"/>
      <c r="AL1187" s="18"/>
      <c r="AM1187" s="18"/>
      <c r="AN1187" s="18"/>
      <c r="AO1187" s="18"/>
      <c r="AP1187" s="18"/>
      <c r="AQ1187" s="18"/>
      <c r="AR1187" s="18"/>
      <c r="AS1187" s="18"/>
      <c r="AT1187" s="216"/>
      <c r="AU1187" s="18"/>
      <c r="AV1187" s="18"/>
      <c r="AW1187" s="18"/>
      <c r="AX1187" s="18"/>
      <c r="AY1187" s="18"/>
      <c r="AZ1187" s="18"/>
      <c r="BA1187" s="18"/>
      <c r="BB1187" s="18"/>
      <c r="BC1187" s="18"/>
      <c r="BD1187" s="18"/>
      <c r="BE1187" s="18"/>
      <c r="BF1187" s="15"/>
      <c r="BG1187" s="15"/>
    </row>
    <row r="1188" spans="1:59" ht="15.75" customHeight="1">
      <c r="A1188" s="216"/>
      <c r="B1188" s="12"/>
      <c r="C1188" s="12"/>
      <c r="D1188" s="13"/>
      <c r="E1188" s="12"/>
      <c r="F1188" s="13"/>
      <c r="G1188" s="13"/>
      <c r="H1188" s="12"/>
      <c r="I1188" s="18"/>
      <c r="J1188" s="16"/>
      <c r="K1188" s="16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6"/>
      <c r="AH1188" s="16"/>
      <c r="AI1188" s="18"/>
      <c r="AJ1188" s="18"/>
      <c r="AK1188" s="18"/>
      <c r="AL1188" s="18"/>
      <c r="AM1188" s="18"/>
      <c r="AN1188" s="18"/>
      <c r="AO1188" s="18"/>
      <c r="AP1188" s="18"/>
      <c r="AQ1188" s="18"/>
      <c r="AR1188" s="18"/>
      <c r="AS1188" s="18"/>
      <c r="AT1188" s="216"/>
      <c r="AU1188" s="18"/>
      <c r="AV1188" s="18"/>
      <c r="AW1188" s="18"/>
      <c r="AX1188" s="18"/>
      <c r="AY1188" s="18"/>
      <c r="AZ1188" s="18"/>
      <c r="BA1188" s="18"/>
      <c r="BB1188" s="18"/>
      <c r="BC1188" s="18"/>
      <c r="BD1188" s="18"/>
      <c r="BE1188" s="18"/>
      <c r="BF1188" s="15"/>
      <c r="BG1188" s="15"/>
    </row>
    <row r="1189" spans="1:59" ht="15.75" customHeight="1">
      <c r="A1189" s="216"/>
      <c r="B1189" s="12"/>
      <c r="C1189" s="12"/>
      <c r="D1189" s="13"/>
      <c r="E1189" s="12"/>
      <c r="F1189" s="13"/>
      <c r="G1189" s="13"/>
      <c r="H1189" s="12"/>
      <c r="I1189" s="18"/>
      <c r="J1189" s="16"/>
      <c r="K1189" s="16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F1189" s="18"/>
      <c r="AG1189" s="16"/>
      <c r="AH1189" s="16"/>
      <c r="AI1189" s="18"/>
      <c r="AJ1189" s="18"/>
      <c r="AK1189" s="18"/>
      <c r="AL1189" s="18"/>
      <c r="AM1189" s="18"/>
      <c r="AN1189" s="18"/>
      <c r="AO1189" s="18"/>
      <c r="AP1189" s="18"/>
      <c r="AQ1189" s="18"/>
      <c r="AR1189" s="18"/>
      <c r="AS1189" s="18"/>
      <c r="AT1189" s="216"/>
      <c r="AU1189" s="18"/>
      <c r="AV1189" s="18"/>
      <c r="AW1189" s="18"/>
      <c r="AX1189" s="18"/>
      <c r="AY1189" s="18"/>
      <c r="AZ1189" s="18"/>
      <c r="BA1189" s="18"/>
      <c r="BB1189" s="18"/>
      <c r="BC1189" s="18"/>
      <c r="BD1189" s="18"/>
      <c r="BE1189" s="18"/>
      <c r="BF1189" s="15"/>
      <c r="BG1189" s="15"/>
    </row>
    <row r="1190" spans="1:59" ht="15.75" customHeight="1">
      <c r="A1190" s="216"/>
      <c r="B1190" s="12"/>
      <c r="C1190" s="12"/>
      <c r="D1190" s="13"/>
      <c r="E1190" s="12"/>
      <c r="F1190" s="13"/>
      <c r="G1190" s="13"/>
      <c r="H1190" s="12"/>
      <c r="I1190" s="18"/>
      <c r="J1190" s="16"/>
      <c r="K1190" s="16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6"/>
      <c r="AH1190" s="16"/>
      <c r="AI1190" s="18"/>
      <c r="AJ1190" s="18"/>
      <c r="AK1190" s="18"/>
      <c r="AL1190" s="18"/>
      <c r="AM1190" s="18"/>
      <c r="AN1190" s="18"/>
      <c r="AO1190" s="18"/>
      <c r="AP1190" s="18"/>
      <c r="AQ1190" s="18"/>
      <c r="AR1190" s="18"/>
      <c r="AS1190" s="18"/>
      <c r="AT1190" s="216"/>
      <c r="AU1190" s="18"/>
      <c r="AV1190" s="18"/>
      <c r="AW1190" s="18"/>
      <c r="AX1190" s="18"/>
      <c r="AY1190" s="18"/>
      <c r="AZ1190" s="18"/>
      <c r="BA1190" s="18"/>
      <c r="BB1190" s="18"/>
      <c r="BC1190" s="18"/>
      <c r="BD1190" s="18"/>
      <c r="BE1190" s="18"/>
      <c r="BF1190" s="15"/>
      <c r="BG1190" s="15"/>
    </row>
    <row r="1191" spans="1:59" ht="15.75" customHeight="1">
      <c r="A1191" s="216"/>
      <c r="B1191" s="12"/>
      <c r="C1191" s="12"/>
      <c r="D1191" s="13"/>
      <c r="E1191" s="12"/>
      <c r="F1191" s="13"/>
      <c r="G1191" s="13"/>
      <c r="H1191" s="12"/>
      <c r="I1191" s="18"/>
      <c r="J1191" s="16"/>
      <c r="K1191" s="16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F1191" s="18"/>
      <c r="AG1191" s="16"/>
      <c r="AH1191" s="16"/>
      <c r="AI1191" s="18"/>
      <c r="AJ1191" s="18"/>
      <c r="AK1191" s="18"/>
      <c r="AL1191" s="18"/>
      <c r="AM1191" s="18"/>
      <c r="AN1191" s="18"/>
      <c r="AO1191" s="18"/>
      <c r="AP1191" s="18"/>
      <c r="AQ1191" s="18"/>
      <c r="AR1191" s="18"/>
      <c r="AS1191" s="18"/>
      <c r="AT1191" s="216"/>
      <c r="AU1191" s="18"/>
      <c r="AV1191" s="18"/>
      <c r="AW1191" s="18"/>
      <c r="AX1191" s="18"/>
      <c r="AY1191" s="18"/>
      <c r="AZ1191" s="18"/>
      <c r="BA1191" s="18"/>
      <c r="BB1191" s="18"/>
      <c r="BC1191" s="18"/>
      <c r="BD1191" s="18"/>
      <c r="BE1191" s="18"/>
      <c r="BF1191" s="15"/>
      <c r="BG1191" s="15"/>
    </row>
    <row r="1192" spans="1:59" ht="15.75" customHeight="1">
      <c r="A1192" s="216"/>
      <c r="B1192" s="12"/>
      <c r="C1192" s="12"/>
      <c r="D1192" s="13"/>
      <c r="E1192" s="12"/>
      <c r="F1192" s="13"/>
      <c r="G1192" s="13"/>
      <c r="H1192" s="12"/>
      <c r="I1192" s="18"/>
      <c r="J1192" s="16"/>
      <c r="K1192" s="16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6"/>
      <c r="AH1192" s="16"/>
      <c r="AI1192" s="18"/>
      <c r="AJ1192" s="18"/>
      <c r="AK1192" s="18"/>
      <c r="AL1192" s="18"/>
      <c r="AM1192" s="18"/>
      <c r="AN1192" s="18"/>
      <c r="AO1192" s="18"/>
      <c r="AP1192" s="18"/>
      <c r="AQ1192" s="18"/>
      <c r="AR1192" s="18"/>
      <c r="AS1192" s="18"/>
      <c r="AT1192" s="216"/>
      <c r="AU1192" s="18"/>
      <c r="AV1192" s="18"/>
      <c r="AW1192" s="18"/>
      <c r="AX1192" s="18"/>
      <c r="AY1192" s="18"/>
      <c r="AZ1192" s="18"/>
      <c r="BA1192" s="18"/>
      <c r="BB1192" s="18"/>
      <c r="BC1192" s="18"/>
      <c r="BD1192" s="18"/>
      <c r="BE1192" s="18"/>
      <c r="BF1192" s="15"/>
      <c r="BG1192" s="15"/>
    </row>
    <row r="1193" spans="1:59" ht="15.75" customHeight="1">
      <c r="A1193" s="216"/>
      <c r="B1193" s="12"/>
      <c r="C1193" s="12"/>
      <c r="D1193" s="13"/>
      <c r="E1193" s="12"/>
      <c r="F1193" s="13"/>
      <c r="G1193" s="13"/>
      <c r="H1193" s="12"/>
      <c r="I1193" s="18"/>
      <c r="J1193" s="16"/>
      <c r="K1193" s="16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6"/>
      <c r="AH1193" s="16"/>
      <c r="AI1193" s="18"/>
      <c r="AJ1193" s="18"/>
      <c r="AK1193" s="18"/>
      <c r="AL1193" s="18"/>
      <c r="AM1193" s="18"/>
      <c r="AN1193" s="18"/>
      <c r="AO1193" s="18"/>
      <c r="AP1193" s="18"/>
      <c r="AQ1193" s="18"/>
      <c r="AR1193" s="18"/>
      <c r="AS1193" s="18"/>
      <c r="AT1193" s="216"/>
      <c r="AU1193" s="18"/>
      <c r="AV1193" s="18"/>
      <c r="AW1193" s="18"/>
      <c r="AX1193" s="18"/>
      <c r="AY1193" s="18"/>
      <c r="AZ1193" s="18"/>
      <c r="BA1193" s="18"/>
      <c r="BB1193" s="18"/>
      <c r="BC1193" s="18"/>
      <c r="BD1193" s="18"/>
      <c r="BE1193" s="18"/>
      <c r="BF1193" s="15"/>
      <c r="BG1193" s="15"/>
    </row>
    <row r="1194" spans="1:59" ht="15.75" customHeight="1">
      <c r="A1194" s="216"/>
      <c r="B1194" s="12"/>
      <c r="C1194" s="12"/>
      <c r="D1194" s="13"/>
      <c r="E1194" s="12"/>
      <c r="F1194" s="13"/>
      <c r="G1194" s="13"/>
      <c r="H1194" s="12"/>
      <c r="I1194" s="18"/>
      <c r="J1194" s="16"/>
      <c r="K1194" s="16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6"/>
      <c r="AH1194" s="16"/>
      <c r="AI1194" s="18"/>
      <c r="AJ1194" s="18"/>
      <c r="AK1194" s="18"/>
      <c r="AL1194" s="18"/>
      <c r="AM1194" s="18"/>
      <c r="AN1194" s="18"/>
      <c r="AO1194" s="18"/>
      <c r="AP1194" s="18"/>
      <c r="AQ1194" s="18"/>
      <c r="AR1194" s="18"/>
      <c r="AS1194" s="18"/>
      <c r="AT1194" s="216"/>
      <c r="AU1194" s="18"/>
      <c r="AV1194" s="18"/>
      <c r="AW1194" s="18"/>
      <c r="AX1194" s="18"/>
      <c r="AY1194" s="18"/>
      <c r="AZ1194" s="18"/>
      <c r="BA1194" s="18"/>
      <c r="BB1194" s="18"/>
      <c r="BC1194" s="18"/>
      <c r="BD1194" s="18"/>
      <c r="BE1194" s="18"/>
      <c r="BF1194" s="15"/>
      <c r="BG1194" s="15"/>
    </row>
    <row r="1195" spans="1:59" ht="15.75" customHeight="1">
      <c r="A1195" s="216"/>
      <c r="B1195" s="12"/>
      <c r="C1195" s="12"/>
      <c r="D1195" s="13"/>
      <c r="E1195" s="12"/>
      <c r="F1195" s="13"/>
      <c r="G1195" s="13"/>
      <c r="H1195" s="12"/>
      <c r="I1195" s="18"/>
      <c r="J1195" s="16"/>
      <c r="K1195" s="16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6"/>
      <c r="AH1195" s="16"/>
      <c r="AI1195" s="18"/>
      <c r="AJ1195" s="18"/>
      <c r="AK1195" s="18"/>
      <c r="AL1195" s="18"/>
      <c r="AM1195" s="18"/>
      <c r="AN1195" s="18"/>
      <c r="AO1195" s="18"/>
      <c r="AP1195" s="18"/>
      <c r="AQ1195" s="18"/>
      <c r="AR1195" s="18"/>
      <c r="AS1195" s="18"/>
      <c r="AT1195" s="216"/>
      <c r="AU1195" s="18"/>
      <c r="AV1195" s="18"/>
      <c r="AW1195" s="18"/>
      <c r="AX1195" s="18"/>
      <c r="AY1195" s="18"/>
      <c r="AZ1195" s="18"/>
      <c r="BA1195" s="18"/>
      <c r="BB1195" s="18"/>
      <c r="BC1195" s="18"/>
      <c r="BD1195" s="18"/>
      <c r="BE1195" s="18"/>
      <c r="BF1195" s="15"/>
      <c r="BG1195" s="15"/>
    </row>
    <row r="1196" spans="1:59" ht="15.75" customHeight="1">
      <c r="A1196" s="216"/>
      <c r="B1196" s="12"/>
      <c r="C1196" s="12"/>
      <c r="D1196" s="13"/>
      <c r="E1196" s="12"/>
      <c r="F1196" s="13"/>
      <c r="G1196" s="13"/>
      <c r="H1196" s="12"/>
      <c r="I1196" s="18"/>
      <c r="J1196" s="16"/>
      <c r="K1196" s="16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6"/>
      <c r="AH1196" s="16"/>
      <c r="AI1196" s="18"/>
      <c r="AJ1196" s="18"/>
      <c r="AK1196" s="18"/>
      <c r="AL1196" s="18"/>
      <c r="AM1196" s="18"/>
      <c r="AN1196" s="18"/>
      <c r="AO1196" s="18"/>
      <c r="AP1196" s="18"/>
      <c r="AQ1196" s="18"/>
      <c r="AR1196" s="18"/>
      <c r="AS1196" s="18"/>
      <c r="AT1196" s="216"/>
      <c r="AU1196" s="18"/>
      <c r="AV1196" s="18"/>
      <c r="AW1196" s="18"/>
      <c r="AX1196" s="18"/>
      <c r="AY1196" s="18"/>
      <c r="AZ1196" s="18"/>
      <c r="BA1196" s="18"/>
      <c r="BB1196" s="18"/>
      <c r="BC1196" s="18"/>
      <c r="BD1196" s="18"/>
      <c r="BE1196" s="18"/>
      <c r="BF1196" s="15"/>
      <c r="BG1196" s="15"/>
    </row>
    <row r="1197" spans="1:59" ht="15.75" customHeight="1">
      <c r="A1197" s="216"/>
      <c r="B1197" s="12"/>
      <c r="C1197" s="12"/>
      <c r="D1197" s="13"/>
      <c r="E1197" s="12"/>
      <c r="F1197" s="13"/>
      <c r="G1197" s="13"/>
      <c r="H1197" s="12"/>
      <c r="I1197" s="18"/>
      <c r="J1197" s="16"/>
      <c r="K1197" s="16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  <c r="AF1197" s="18"/>
      <c r="AG1197" s="16"/>
      <c r="AH1197" s="16"/>
      <c r="AI1197" s="18"/>
      <c r="AJ1197" s="18"/>
      <c r="AK1197" s="18"/>
      <c r="AL1197" s="18"/>
      <c r="AM1197" s="18"/>
      <c r="AN1197" s="18"/>
      <c r="AO1197" s="18"/>
      <c r="AP1197" s="18"/>
      <c r="AQ1197" s="18"/>
      <c r="AR1197" s="18"/>
      <c r="AS1197" s="18"/>
      <c r="AT1197" s="216"/>
      <c r="AU1197" s="18"/>
      <c r="AV1197" s="18"/>
      <c r="AW1197" s="18"/>
      <c r="AX1197" s="18"/>
      <c r="AY1197" s="18"/>
      <c r="AZ1197" s="18"/>
      <c r="BA1197" s="18"/>
      <c r="BB1197" s="18"/>
      <c r="BC1197" s="18"/>
      <c r="BD1197" s="18"/>
      <c r="BE1197" s="18"/>
      <c r="BF1197" s="15"/>
      <c r="BG1197" s="15"/>
    </row>
    <row r="1198" spans="1:59" ht="15.75" customHeight="1">
      <c r="A1198" s="216"/>
      <c r="B1198" s="12"/>
      <c r="C1198" s="12"/>
      <c r="D1198" s="13"/>
      <c r="E1198" s="12"/>
      <c r="F1198" s="13"/>
      <c r="G1198" s="13"/>
      <c r="H1198" s="12"/>
      <c r="I1198" s="18"/>
      <c r="J1198" s="16"/>
      <c r="K1198" s="16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6"/>
      <c r="AH1198" s="16"/>
      <c r="AI1198" s="18"/>
      <c r="AJ1198" s="18"/>
      <c r="AK1198" s="18"/>
      <c r="AL1198" s="18"/>
      <c r="AM1198" s="18"/>
      <c r="AN1198" s="18"/>
      <c r="AO1198" s="18"/>
      <c r="AP1198" s="18"/>
      <c r="AQ1198" s="18"/>
      <c r="AR1198" s="18"/>
      <c r="AS1198" s="18"/>
      <c r="AT1198" s="216"/>
      <c r="AU1198" s="18"/>
      <c r="AV1198" s="18"/>
      <c r="AW1198" s="18"/>
      <c r="AX1198" s="18"/>
      <c r="AY1198" s="18"/>
      <c r="AZ1198" s="18"/>
      <c r="BA1198" s="18"/>
      <c r="BB1198" s="18"/>
      <c r="BC1198" s="18"/>
      <c r="BD1198" s="18"/>
      <c r="BE1198" s="18"/>
      <c r="BF1198" s="15"/>
      <c r="BG1198" s="15"/>
    </row>
    <row r="1199" spans="1:59" ht="15.75" customHeight="1">
      <c r="A1199" s="216"/>
      <c r="B1199" s="12"/>
      <c r="C1199" s="12"/>
      <c r="D1199" s="13"/>
      <c r="E1199" s="12"/>
      <c r="F1199" s="13"/>
      <c r="G1199" s="13"/>
      <c r="H1199" s="12"/>
      <c r="I1199" s="18"/>
      <c r="J1199" s="16"/>
      <c r="K1199" s="16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6"/>
      <c r="AH1199" s="16"/>
      <c r="AI1199" s="18"/>
      <c r="AJ1199" s="18"/>
      <c r="AK1199" s="18"/>
      <c r="AL1199" s="18"/>
      <c r="AM1199" s="18"/>
      <c r="AN1199" s="18"/>
      <c r="AO1199" s="18"/>
      <c r="AP1199" s="18"/>
      <c r="AQ1199" s="18"/>
      <c r="AR1199" s="18"/>
      <c r="AS1199" s="18"/>
      <c r="AT1199" s="216"/>
      <c r="AU1199" s="18"/>
      <c r="AV1199" s="18"/>
      <c r="AW1199" s="18"/>
      <c r="AX1199" s="18"/>
      <c r="AY1199" s="18"/>
      <c r="AZ1199" s="18"/>
      <c r="BA1199" s="18"/>
      <c r="BB1199" s="18"/>
      <c r="BC1199" s="18"/>
      <c r="BD1199" s="18"/>
      <c r="BE1199" s="18"/>
      <c r="BF1199" s="15"/>
      <c r="BG1199" s="15"/>
    </row>
    <row r="1200" spans="1:59" ht="15.75" customHeight="1">
      <c r="A1200" s="216"/>
      <c r="B1200" s="12"/>
      <c r="C1200" s="12"/>
      <c r="D1200" s="13"/>
      <c r="E1200" s="12"/>
      <c r="F1200" s="13"/>
      <c r="G1200" s="13"/>
      <c r="H1200" s="12"/>
      <c r="I1200" s="18"/>
      <c r="J1200" s="16"/>
      <c r="K1200" s="16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6"/>
      <c r="AH1200" s="16"/>
      <c r="AI1200" s="18"/>
      <c r="AJ1200" s="18"/>
      <c r="AK1200" s="18"/>
      <c r="AL1200" s="18"/>
      <c r="AM1200" s="18"/>
      <c r="AN1200" s="18"/>
      <c r="AO1200" s="18"/>
      <c r="AP1200" s="18"/>
      <c r="AQ1200" s="18"/>
      <c r="AR1200" s="18"/>
      <c r="AS1200" s="18"/>
      <c r="AT1200" s="216"/>
      <c r="AU1200" s="18"/>
      <c r="AV1200" s="18"/>
      <c r="AW1200" s="18"/>
      <c r="AX1200" s="18"/>
      <c r="AY1200" s="18"/>
      <c r="AZ1200" s="18"/>
      <c r="BA1200" s="18"/>
      <c r="BB1200" s="18"/>
      <c r="BC1200" s="18"/>
      <c r="BD1200" s="18"/>
      <c r="BE1200" s="18"/>
      <c r="BF1200" s="15"/>
      <c r="BG1200" s="15"/>
    </row>
    <row r="1201" spans="1:59" ht="15.75" customHeight="1">
      <c r="A1201" s="216"/>
      <c r="B1201" s="12"/>
      <c r="C1201" s="12"/>
      <c r="D1201" s="13"/>
      <c r="E1201" s="12"/>
      <c r="F1201" s="13"/>
      <c r="G1201" s="13"/>
      <c r="H1201" s="12"/>
      <c r="I1201" s="18"/>
      <c r="J1201" s="16"/>
      <c r="K1201" s="16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  <c r="AF1201" s="18"/>
      <c r="AG1201" s="16"/>
      <c r="AH1201" s="16"/>
      <c r="AI1201" s="18"/>
      <c r="AJ1201" s="18"/>
      <c r="AK1201" s="18"/>
      <c r="AL1201" s="18"/>
      <c r="AM1201" s="18"/>
      <c r="AN1201" s="18"/>
      <c r="AO1201" s="18"/>
      <c r="AP1201" s="18"/>
      <c r="AQ1201" s="18"/>
      <c r="AR1201" s="18"/>
      <c r="AS1201" s="18"/>
      <c r="AT1201" s="216"/>
      <c r="AU1201" s="18"/>
      <c r="AV1201" s="18"/>
      <c r="AW1201" s="18"/>
      <c r="AX1201" s="18"/>
      <c r="AY1201" s="18"/>
      <c r="AZ1201" s="18"/>
      <c r="BA1201" s="18"/>
      <c r="BB1201" s="18"/>
      <c r="BC1201" s="18"/>
      <c r="BD1201" s="18"/>
      <c r="BE1201" s="18"/>
      <c r="BF1201" s="15"/>
      <c r="BG1201" s="15"/>
    </row>
    <row r="1202" spans="1:59" ht="15.75" customHeight="1">
      <c r="A1202" s="216"/>
      <c r="B1202" s="12"/>
      <c r="C1202" s="12"/>
      <c r="D1202" s="13"/>
      <c r="E1202" s="12"/>
      <c r="F1202" s="13"/>
      <c r="G1202" s="13"/>
      <c r="H1202" s="12"/>
      <c r="I1202" s="18"/>
      <c r="J1202" s="16"/>
      <c r="K1202" s="16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  <c r="AB1202" s="18"/>
      <c r="AC1202" s="18"/>
      <c r="AD1202" s="18"/>
      <c r="AE1202" s="18"/>
      <c r="AF1202" s="18"/>
      <c r="AG1202" s="16"/>
      <c r="AH1202" s="16"/>
      <c r="AI1202" s="18"/>
      <c r="AJ1202" s="18"/>
      <c r="AK1202" s="18"/>
      <c r="AL1202" s="18"/>
      <c r="AM1202" s="18"/>
      <c r="AN1202" s="18"/>
      <c r="AO1202" s="18"/>
      <c r="AP1202" s="18"/>
      <c r="AQ1202" s="18"/>
      <c r="AR1202" s="18"/>
      <c r="AS1202" s="18"/>
      <c r="AT1202" s="216"/>
      <c r="AU1202" s="18"/>
      <c r="AV1202" s="18"/>
      <c r="AW1202" s="18"/>
      <c r="AX1202" s="18"/>
      <c r="AY1202" s="18"/>
      <c r="AZ1202" s="18"/>
      <c r="BA1202" s="18"/>
      <c r="BB1202" s="18"/>
      <c r="BC1202" s="18"/>
      <c r="BD1202" s="18"/>
      <c r="BE1202" s="18"/>
      <c r="BF1202" s="15"/>
      <c r="BG1202" s="15"/>
    </row>
    <row r="1203" spans="1:59" ht="15.75" customHeight="1">
      <c r="A1203" s="216"/>
      <c r="B1203" s="12"/>
      <c r="C1203" s="12"/>
      <c r="D1203" s="13"/>
      <c r="E1203" s="12"/>
      <c r="F1203" s="13"/>
      <c r="G1203" s="13"/>
      <c r="H1203" s="12"/>
      <c r="I1203" s="18"/>
      <c r="J1203" s="16"/>
      <c r="K1203" s="16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  <c r="AF1203" s="18"/>
      <c r="AG1203" s="16"/>
      <c r="AH1203" s="16"/>
      <c r="AI1203" s="18"/>
      <c r="AJ1203" s="18"/>
      <c r="AK1203" s="18"/>
      <c r="AL1203" s="18"/>
      <c r="AM1203" s="18"/>
      <c r="AN1203" s="18"/>
      <c r="AO1203" s="18"/>
      <c r="AP1203" s="18"/>
      <c r="AQ1203" s="18"/>
      <c r="AR1203" s="18"/>
      <c r="AS1203" s="18"/>
      <c r="AT1203" s="216"/>
      <c r="AU1203" s="18"/>
      <c r="AV1203" s="18"/>
      <c r="AW1203" s="18"/>
      <c r="AX1203" s="18"/>
      <c r="AY1203" s="18"/>
      <c r="AZ1203" s="18"/>
      <c r="BA1203" s="18"/>
      <c r="BB1203" s="18"/>
      <c r="BC1203" s="18"/>
      <c r="BD1203" s="18"/>
      <c r="BE1203" s="18"/>
      <c r="BF1203" s="15"/>
      <c r="BG1203" s="15"/>
    </row>
    <row r="1204" spans="1:59" ht="15.75" customHeight="1">
      <c r="A1204" s="216"/>
      <c r="B1204" s="12"/>
      <c r="C1204" s="12"/>
      <c r="D1204" s="13"/>
      <c r="E1204" s="12"/>
      <c r="F1204" s="13"/>
      <c r="G1204" s="13"/>
      <c r="H1204" s="12"/>
      <c r="I1204" s="18"/>
      <c r="J1204" s="16"/>
      <c r="K1204" s="16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  <c r="AB1204" s="18"/>
      <c r="AC1204" s="18"/>
      <c r="AD1204" s="18"/>
      <c r="AE1204" s="18"/>
      <c r="AF1204" s="18"/>
      <c r="AG1204" s="16"/>
      <c r="AH1204" s="16"/>
      <c r="AI1204" s="18"/>
      <c r="AJ1204" s="18"/>
      <c r="AK1204" s="18"/>
      <c r="AL1204" s="18"/>
      <c r="AM1204" s="18"/>
      <c r="AN1204" s="18"/>
      <c r="AO1204" s="18"/>
      <c r="AP1204" s="18"/>
      <c r="AQ1204" s="18"/>
      <c r="AR1204" s="18"/>
      <c r="AS1204" s="18"/>
      <c r="AT1204" s="216"/>
      <c r="AU1204" s="18"/>
      <c r="AV1204" s="18"/>
      <c r="AW1204" s="18"/>
      <c r="AX1204" s="18"/>
      <c r="AY1204" s="18"/>
      <c r="AZ1204" s="18"/>
      <c r="BA1204" s="18"/>
      <c r="BB1204" s="18"/>
      <c r="BC1204" s="18"/>
      <c r="BD1204" s="18"/>
      <c r="BE1204" s="18"/>
      <c r="BF1204" s="15"/>
      <c r="BG1204" s="15"/>
    </row>
    <row r="1205" spans="1:59" ht="15.75" customHeight="1">
      <c r="A1205" s="216"/>
      <c r="B1205" s="12"/>
      <c r="C1205" s="12"/>
      <c r="D1205" s="13"/>
      <c r="E1205" s="12"/>
      <c r="F1205" s="13"/>
      <c r="G1205" s="13"/>
      <c r="H1205" s="12"/>
      <c r="I1205" s="18"/>
      <c r="J1205" s="16"/>
      <c r="K1205" s="16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  <c r="AF1205" s="18"/>
      <c r="AG1205" s="16"/>
      <c r="AH1205" s="16"/>
      <c r="AI1205" s="18"/>
      <c r="AJ1205" s="18"/>
      <c r="AK1205" s="18"/>
      <c r="AL1205" s="18"/>
      <c r="AM1205" s="18"/>
      <c r="AN1205" s="18"/>
      <c r="AO1205" s="18"/>
      <c r="AP1205" s="18"/>
      <c r="AQ1205" s="18"/>
      <c r="AR1205" s="18"/>
      <c r="AS1205" s="18"/>
      <c r="AT1205" s="216"/>
      <c r="AU1205" s="18"/>
      <c r="AV1205" s="18"/>
      <c r="AW1205" s="18"/>
      <c r="AX1205" s="18"/>
      <c r="AY1205" s="18"/>
      <c r="AZ1205" s="18"/>
      <c r="BA1205" s="18"/>
      <c r="BB1205" s="18"/>
      <c r="BC1205" s="18"/>
      <c r="BD1205" s="18"/>
      <c r="BE1205" s="18"/>
      <c r="BF1205" s="15"/>
      <c r="BG1205" s="15"/>
    </row>
    <row r="1206" spans="1:59" ht="15.75" customHeight="1">
      <c r="A1206" s="216"/>
      <c r="B1206" s="12"/>
      <c r="C1206" s="12"/>
      <c r="D1206" s="13"/>
      <c r="E1206" s="12"/>
      <c r="F1206" s="13"/>
      <c r="G1206" s="13"/>
      <c r="H1206" s="12"/>
      <c r="I1206" s="18"/>
      <c r="J1206" s="16"/>
      <c r="K1206" s="16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6"/>
      <c r="AH1206" s="16"/>
      <c r="AI1206" s="18"/>
      <c r="AJ1206" s="18"/>
      <c r="AK1206" s="18"/>
      <c r="AL1206" s="18"/>
      <c r="AM1206" s="18"/>
      <c r="AN1206" s="18"/>
      <c r="AO1206" s="18"/>
      <c r="AP1206" s="18"/>
      <c r="AQ1206" s="18"/>
      <c r="AR1206" s="18"/>
      <c r="AS1206" s="18"/>
      <c r="AT1206" s="216"/>
      <c r="AU1206" s="18"/>
      <c r="AV1206" s="18"/>
      <c r="AW1206" s="18"/>
      <c r="AX1206" s="18"/>
      <c r="AY1206" s="18"/>
      <c r="AZ1206" s="18"/>
      <c r="BA1206" s="18"/>
      <c r="BB1206" s="18"/>
      <c r="BC1206" s="18"/>
      <c r="BD1206" s="18"/>
      <c r="BE1206" s="18"/>
      <c r="BF1206" s="15"/>
      <c r="BG1206" s="15"/>
    </row>
    <row r="1207" spans="1:59" ht="15.75" customHeight="1">
      <c r="A1207" s="216"/>
      <c r="B1207" s="12"/>
      <c r="C1207" s="12"/>
      <c r="D1207" s="13"/>
      <c r="E1207" s="12"/>
      <c r="F1207" s="13"/>
      <c r="G1207" s="13"/>
      <c r="H1207" s="12"/>
      <c r="I1207" s="18"/>
      <c r="J1207" s="16"/>
      <c r="K1207" s="16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  <c r="AF1207" s="18"/>
      <c r="AG1207" s="16"/>
      <c r="AH1207" s="16"/>
      <c r="AI1207" s="18"/>
      <c r="AJ1207" s="18"/>
      <c r="AK1207" s="18"/>
      <c r="AL1207" s="18"/>
      <c r="AM1207" s="18"/>
      <c r="AN1207" s="18"/>
      <c r="AO1207" s="18"/>
      <c r="AP1207" s="18"/>
      <c r="AQ1207" s="18"/>
      <c r="AR1207" s="18"/>
      <c r="AS1207" s="18"/>
      <c r="AT1207" s="216"/>
      <c r="AU1207" s="18"/>
      <c r="AV1207" s="18"/>
      <c r="AW1207" s="18"/>
      <c r="AX1207" s="18"/>
      <c r="AY1207" s="18"/>
      <c r="AZ1207" s="18"/>
      <c r="BA1207" s="18"/>
      <c r="BB1207" s="18"/>
      <c r="BC1207" s="18"/>
      <c r="BD1207" s="18"/>
      <c r="BE1207" s="18"/>
      <c r="BF1207" s="15"/>
      <c r="BG1207" s="15"/>
    </row>
    <row r="1208" spans="1:59" ht="15.75" customHeight="1">
      <c r="A1208" s="216"/>
      <c r="B1208" s="12"/>
      <c r="C1208" s="12"/>
      <c r="D1208" s="13"/>
      <c r="E1208" s="12"/>
      <c r="F1208" s="13"/>
      <c r="G1208" s="13"/>
      <c r="H1208" s="12"/>
      <c r="I1208" s="18"/>
      <c r="J1208" s="16"/>
      <c r="K1208" s="16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  <c r="AA1208" s="18"/>
      <c r="AB1208" s="18"/>
      <c r="AC1208" s="18"/>
      <c r="AD1208" s="18"/>
      <c r="AE1208" s="18"/>
      <c r="AF1208" s="18"/>
      <c r="AG1208" s="16"/>
      <c r="AH1208" s="16"/>
      <c r="AI1208" s="18"/>
      <c r="AJ1208" s="18"/>
      <c r="AK1208" s="18"/>
      <c r="AL1208" s="18"/>
      <c r="AM1208" s="18"/>
      <c r="AN1208" s="18"/>
      <c r="AO1208" s="18"/>
      <c r="AP1208" s="18"/>
      <c r="AQ1208" s="18"/>
      <c r="AR1208" s="18"/>
      <c r="AS1208" s="18"/>
      <c r="AT1208" s="216"/>
      <c r="AU1208" s="18"/>
      <c r="AV1208" s="18"/>
      <c r="AW1208" s="18"/>
      <c r="AX1208" s="18"/>
      <c r="AY1208" s="18"/>
      <c r="AZ1208" s="18"/>
      <c r="BA1208" s="18"/>
      <c r="BB1208" s="18"/>
      <c r="BC1208" s="18"/>
      <c r="BD1208" s="18"/>
      <c r="BE1208" s="18"/>
      <c r="BF1208" s="15"/>
      <c r="BG1208" s="15"/>
    </row>
    <row r="1209" spans="1:59" ht="15.75" customHeight="1">
      <c r="A1209" s="216"/>
      <c r="B1209" s="12"/>
      <c r="C1209" s="12"/>
      <c r="D1209" s="13"/>
      <c r="E1209" s="12"/>
      <c r="F1209" s="13"/>
      <c r="G1209" s="13"/>
      <c r="H1209" s="12"/>
      <c r="I1209" s="18"/>
      <c r="J1209" s="16"/>
      <c r="K1209" s="16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  <c r="AF1209" s="18"/>
      <c r="AG1209" s="16"/>
      <c r="AH1209" s="16"/>
      <c r="AI1209" s="18"/>
      <c r="AJ1209" s="18"/>
      <c r="AK1209" s="18"/>
      <c r="AL1209" s="18"/>
      <c r="AM1209" s="18"/>
      <c r="AN1209" s="18"/>
      <c r="AO1209" s="18"/>
      <c r="AP1209" s="18"/>
      <c r="AQ1209" s="18"/>
      <c r="AR1209" s="18"/>
      <c r="AS1209" s="18"/>
      <c r="AT1209" s="216"/>
      <c r="AU1209" s="18"/>
      <c r="AV1209" s="18"/>
      <c r="AW1209" s="18"/>
      <c r="AX1209" s="18"/>
      <c r="AY1209" s="18"/>
      <c r="AZ1209" s="18"/>
      <c r="BA1209" s="18"/>
      <c r="BB1209" s="18"/>
      <c r="BC1209" s="18"/>
      <c r="BD1209" s="18"/>
      <c r="BE1209" s="18"/>
      <c r="BF1209" s="15"/>
      <c r="BG1209" s="15"/>
    </row>
    <row r="1210" spans="1:59" ht="15.75" customHeight="1">
      <c r="A1210" s="216"/>
      <c r="B1210" s="12"/>
      <c r="C1210" s="12"/>
      <c r="D1210" s="13"/>
      <c r="E1210" s="12"/>
      <c r="F1210" s="13"/>
      <c r="G1210" s="13"/>
      <c r="H1210" s="12"/>
      <c r="I1210" s="18"/>
      <c r="J1210" s="16"/>
      <c r="K1210" s="16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  <c r="AB1210" s="18"/>
      <c r="AC1210" s="18"/>
      <c r="AD1210" s="18"/>
      <c r="AE1210" s="18"/>
      <c r="AF1210" s="18"/>
      <c r="AG1210" s="16"/>
      <c r="AH1210" s="16"/>
      <c r="AI1210" s="18"/>
      <c r="AJ1210" s="18"/>
      <c r="AK1210" s="18"/>
      <c r="AL1210" s="18"/>
      <c r="AM1210" s="18"/>
      <c r="AN1210" s="18"/>
      <c r="AO1210" s="18"/>
      <c r="AP1210" s="18"/>
      <c r="AQ1210" s="18"/>
      <c r="AR1210" s="18"/>
      <c r="AS1210" s="18"/>
      <c r="AT1210" s="216"/>
      <c r="AU1210" s="18"/>
      <c r="AV1210" s="18"/>
      <c r="AW1210" s="18"/>
      <c r="AX1210" s="18"/>
      <c r="AY1210" s="18"/>
      <c r="AZ1210" s="18"/>
      <c r="BA1210" s="18"/>
      <c r="BB1210" s="18"/>
      <c r="BC1210" s="18"/>
      <c r="BD1210" s="18"/>
      <c r="BE1210" s="18"/>
      <c r="BF1210" s="15"/>
      <c r="BG1210" s="15"/>
    </row>
    <row r="1211" spans="1:59" ht="15.75" customHeight="1">
      <c r="A1211" s="216"/>
      <c r="B1211" s="12"/>
      <c r="C1211" s="12"/>
      <c r="D1211" s="13"/>
      <c r="E1211" s="12"/>
      <c r="F1211" s="13"/>
      <c r="G1211" s="13"/>
      <c r="H1211" s="12"/>
      <c r="I1211" s="18"/>
      <c r="J1211" s="16"/>
      <c r="K1211" s="16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18"/>
      <c r="AC1211" s="18"/>
      <c r="AD1211" s="18"/>
      <c r="AE1211" s="18"/>
      <c r="AF1211" s="18"/>
      <c r="AG1211" s="16"/>
      <c r="AH1211" s="16"/>
      <c r="AI1211" s="18"/>
      <c r="AJ1211" s="18"/>
      <c r="AK1211" s="18"/>
      <c r="AL1211" s="18"/>
      <c r="AM1211" s="18"/>
      <c r="AN1211" s="18"/>
      <c r="AO1211" s="18"/>
      <c r="AP1211" s="18"/>
      <c r="AQ1211" s="18"/>
      <c r="AR1211" s="18"/>
      <c r="AS1211" s="18"/>
      <c r="AT1211" s="216"/>
      <c r="AU1211" s="18"/>
      <c r="AV1211" s="18"/>
      <c r="AW1211" s="18"/>
      <c r="AX1211" s="18"/>
      <c r="AY1211" s="18"/>
      <c r="AZ1211" s="18"/>
      <c r="BA1211" s="18"/>
      <c r="BB1211" s="18"/>
      <c r="BC1211" s="18"/>
      <c r="BD1211" s="18"/>
      <c r="BE1211" s="18"/>
      <c r="BF1211" s="15"/>
      <c r="BG1211" s="15"/>
    </row>
    <row r="1212" spans="1:59" ht="15.75" customHeight="1">
      <c r="A1212" s="216"/>
      <c r="B1212" s="12"/>
      <c r="C1212" s="12"/>
      <c r="D1212" s="13"/>
      <c r="E1212" s="12"/>
      <c r="F1212" s="13"/>
      <c r="G1212" s="13"/>
      <c r="H1212" s="12"/>
      <c r="I1212" s="18"/>
      <c r="J1212" s="16"/>
      <c r="K1212" s="16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  <c r="AB1212" s="18"/>
      <c r="AC1212" s="18"/>
      <c r="AD1212" s="18"/>
      <c r="AE1212" s="18"/>
      <c r="AF1212" s="18"/>
      <c r="AG1212" s="16"/>
      <c r="AH1212" s="16"/>
      <c r="AI1212" s="18"/>
      <c r="AJ1212" s="18"/>
      <c r="AK1212" s="18"/>
      <c r="AL1212" s="18"/>
      <c r="AM1212" s="18"/>
      <c r="AN1212" s="18"/>
      <c r="AO1212" s="18"/>
      <c r="AP1212" s="18"/>
      <c r="AQ1212" s="18"/>
      <c r="AR1212" s="18"/>
      <c r="AS1212" s="18"/>
      <c r="AT1212" s="216"/>
      <c r="AU1212" s="18"/>
      <c r="AV1212" s="18"/>
      <c r="AW1212" s="18"/>
      <c r="AX1212" s="18"/>
      <c r="AY1212" s="18"/>
      <c r="AZ1212" s="18"/>
      <c r="BA1212" s="18"/>
      <c r="BB1212" s="18"/>
      <c r="BC1212" s="18"/>
      <c r="BD1212" s="18"/>
      <c r="BE1212" s="18"/>
      <c r="BF1212" s="15"/>
      <c r="BG1212" s="15"/>
    </row>
    <row r="1213" spans="1:59" ht="15.75" customHeight="1">
      <c r="A1213" s="216"/>
      <c r="B1213" s="12"/>
      <c r="C1213" s="12"/>
      <c r="D1213" s="13"/>
      <c r="E1213" s="12"/>
      <c r="F1213" s="13"/>
      <c r="G1213" s="13"/>
      <c r="H1213" s="12"/>
      <c r="I1213" s="18"/>
      <c r="J1213" s="16"/>
      <c r="K1213" s="16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6"/>
      <c r="AH1213" s="16"/>
      <c r="AI1213" s="18"/>
      <c r="AJ1213" s="18"/>
      <c r="AK1213" s="18"/>
      <c r="AL1213" s="18"/>
      <c r="AM1213" s="18"/>
      <c r="AN1213" s="18"/>
      <c r="AO1213" s="18"/>
      <c r="AP1213" s="18"/>
      <c r="AQ1213" s="18"/>
      <c r="AR1213" s="18"/>
      <c r="AS1213" s="18"/>
      <c r="AT1213" s="216"/>
      <c r="AU1213" s="18"/>
      <c r="AV1213" s="18"/>
      <c r="AW1213" s="18"/>
      <c r="AX1213" s="18"/>
      <c r="AY1213" s="18"/>
      <c r="AZ1213" s="18"/>
      <c r="BA1213" s="18"/>
      <c r="BB1213" s="18"/>
      <c r="BC1213" s="18"/>
      <c r="BD1213" s="18"/>
      <c r="BE1213" s="18"/>
      <c r="BF1213" s="15"/>
      <c r="BG1213" s="15"/>
    </row>
    <row r="1214" spans="1:59" ht="15.75" customHeight="1">
      <c r="A1214" s="216"/>
      <c r="B1214" s="12"/>
      <c r="C1214" s="12"/>
      <c r="D1214" s="13"/>
      <c r="E1214" s="12"/>
      <c r="F1214" s="13"/>
      <c r="G1214" s="13"/>
      <c r="H1214" s="12"/>
      <c r="I1214" s="18"/>
      <c r="J1214" s="16"/>
      <c r="K1214" s="16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  <c r="AB1214" s="18"/>
      <c r="AC1214" s="18"/>
      <c r="AD1214" s="18"/>
      <c r="AE1214" s="18"/>
      <c r="AF1214" s="18"/>
      <c r="AG1214" s="16"/>
      <c r="AH1214" s="16"/>
      <c r="AI1214" s="18"/>
      <c r="AJ1214" s="18"/>
      <c r="AK1214" s="18"/>
      <c r="AL1214" s="18"/>
      <c r="AM1214" s="18"/>
      <c r="AN1214" s="18"/>
      <c r="AO1214" s="18"/>
      <c r="AP1214" s="18"/>
      <c r="AQ1214" s="18"/>
      <c r="AR1214" s="18"/>
      <c r="AS1214" s="18"/>
      <c r="AT1214" s="216"/>
      <c r="AU1214" s="18"/>
      <c r="AV1214" s="18"/>
      <c r="AW1214" s="18"/>
      <c r="AX1214" s="18"/>
      <c r="AY1214" s="18"/>
      <c r="AZ1214" s="18"/>
      <c r="BA1214" s="18"/>
      <c r="BB1214" s="18"/>
      <c r="BC1214" s="18"/>
      <c r="BD1214" s="18"/>
      <c r="BE1214" s="18"/>
      <c r="BF1214" s="15"/>
      <c r="BG1214" s="15"/>
    </row>
    <row r="1215" spans="1:59" ht="15.75" customHeight="1">
      <c r="A1215" s="216"/>
      <c r="B1215" s="12"/>
      <c r="C1215" s="12"/>
      <c r="D1215" s="13"/>
      <c r="E1215" s="12"/>
      <c r="F1215" s="13"/>
      <c r="G1215" s="13"/>
      <c r="H1215" s="12"/>
      <c r="I1215" s="18"/>
      <c r="J1215" s="16"/>
      <c r="K1215" s="16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  <c r="AF1215" s="18"/>
      <c r="AG1215" s="16"/>
      <c r="AH1215" s="16"/>
      <c r="AI1215" s="18"/>
      <c r="AJ1215" s="18"/>
      <c r="AK1215" s="18"/>
      <c r="AL1215" s="18"/>
      <c r="AM1215" s="18"/>
      <c r="AN1215" s="18"/>
      <c r="AO1215" s="18"/>
      <c r="AP1215" s="18"/>
      <c r="AQ1215" s="18"/>
      <c r="AR1215" s="18"/>
      <c r="AS1215" s="18"/>
      <c r="AT1215" s="216"/>
      <c r="AU1215" s="18"/>
      <c r="AV1215" s="18"/>
      <c r="AW1215" s="18"/>
      <c r="AX1215" s="18"/>
      <c r="AY1215" s="18"/>
      <c r="AZ1215" s="18"/>
      <c r="BA1215" s="18"/>
      <c r="BB1215" s="18"/>
      <c r="BC1215" s="18"/>
      <c r="BD1215" s="18"/>
      <c r="BE1215" s="18"/>
      <c r="BF1215" s="15"/>
      <c r="BG1215" s="15"/>
    </row>
    <row r="1216" spans="1:59" ht="15.75" customHeight="1">
      <c r="A1216" s="216"/>
      <c r="B1216" s="12"/>
      <c r="C1216" s="12"/>
      <c r="D1216" s="13"/>
      <c r="E1216" s="12"/>
      <c r="F1216" s="13"/>
      <c r="G1216" s="13"/>
      <c r="H1216" s="12"/>
      <c r="I1216" s="18"/>
      <c r="J1216" s="16"/>
      <c r="K1216" s="16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  <c r="AC1216" s="18"/>
      <c r="AD1216" s="18"/>
      <c r="AE1216" s="18"/>
      <c r="AF1216" s="18"/>
      <c r="AG1216" s="16"/>
      <c r="AH1216" s="16"/>
      <c r="AI1216" s="18"/>
      <c r="AJ1216" s="18"/>
      <c r="AK1216" s="18"/>
      <c r="AL1216" s="18"/>
      <c r="AM1216" s="18"/>
      <c r="AN1216" s="18"/>
      <c r="AO1216" s="18"/>
      <c r="AP1216" s="18"/>
      <c r="AQ1216" s="18"/>
      <c r="AR1216" s="18"/>
      <c r="AS1216" s="18"/>
      <c r="AT1216" s="216"/>
      <c r="AU1216" s="18"/>
      <c r="AV1216" s="18"/>
      <c r="AW1216" s="18"/>
      <c r="AX1216" s="18"/>
      <c r="AY1216" s="18"/>
      <c r="AZ1216" s="18"/>
      <c r="BA1216" s="18"/>
      <c r="BB1216" s="18"/>
      <c r="BC1216" s="18"/>
      <c r="BD1216" s="18"/>
      <c r="BE1216" s="18"/>
      <c r="BF1216" s="15"/>
      <c r="BG1216" s="15"/>
    </row>
    <row r="1217" spans="1:59" ht="15.75" customHeight="1">
      <c r="A1217" s="216"/>
      <c r="B1217" s="12"/>
      <c r="C1217" s="12"/>
      <c r="D1217" s="13"/>
      <c r="E1217" s="12"/>
      <c r="F1217" s="13"/>
      <c r="G1217" s="13"/>
      <c r="H1217" s="12"/>
      <c r="I1217" s="18"/>
      <c r="J1217" s="16"/>
      <c r="K1217" s="16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  <c r="AF1217" s="18"/>
      <c r="AG1217" s="16"/>
      <c r="AH1217" s="16"/>
      <c r="AI1217" s="18"/>
      <c r="AJ1217" s="18"/>
      <c r="AK1217" s="18"/>
      <c r="AL1217" s="18"/>
      <c r="AM1217" s="18"/>
      <c r="AN1217" s="18"/>
      <c r="AO1217" s="18"/>
      <c r="AP1217" s="18"/>
      <c r="AQ1217" s="18"/>
      <c r="AR1217" s="18"/>
      <c r="AS1217" s="18"/>
      <c r="AT1217" s="216"/>
      <c r="AU1217" s="18"/>
      <c r="AV1217" s="18"/>
      <c r="AW1217" s="18"/>
      <c r="AX1217" s="18"/>
      <c r="AY1217" s="18"/>
      <c r="AZ1217" s="18"/>
      <c r="BA1217" s="18"/>
      <c r="BB1217" s="18"/>
      <c r="BC1217" s="18"/>
      <c r="BD1217" s="18"/>
      <c r="BE1217" s="18"/>
      <c r="BF1217" s="15"/>
      <c r="BG1217" s="15"/>
    </row>
    <row r="1218" spans="1:59" ht="15.75" customHeight="1">
      <c r="A1218" s="216"/>
      <c r="B1218" s="12"/>
      <c r="C1218" s="12"/>
      <c r="D1218" s="13"/>
      <c r="E1218" s="12"/>
      <c r="F1218" s="13"/>
      <c r="G1218" s="13"/>
      <c r="H1218" s="12"/>
      <c r="I1218" s="18"/>
      <c r="J1218" s="16"/>
      <c r="K1218" s="16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  <c r="AB1218" s="18"/>
      <c r="AC1218" s="18"/>
      <c r="AD1218" s="18"/>
      <c r="AE1218" s="18"/>
      <c r="AF1218" s="18"/>
      <c r="AG1218" s="16"/>
      <c r="AH1218" s="16"/>
      <c r="AI1218" s="18"/>
      <c r="AJ1218" s="18"/>
      <c r="AK1218" s="18"/>
      <c r="AL1218" s="18"/>
      <c r="AM1218" s="18"/>
      <c r="AN1218" s="18"/>
      <c r="AO1218" s="18"/>
      <c r="AP1218" s="18"/>
      <c r="AQ1218" s="18"/>
      <c r="AR1218" s="18"/>
      <c r="AS1218" s="18"/>
      <c r="AT1218" s="216"/>
      <c r="AU1218" s="18"/>
      <c r="AV1218" s="18"/>
      <c r="AW1218" s="18"/>
      <c r="AX1218" s="18"/>
      <c r="AY1218" s="18"/>
      <c r="AZ1218" s="18"/>
      <c r="BA1218" s="18"/>
      <c r="BB1218" s="18"/>
      <c r="BC1218" s="18"/>
      <c r="BD1218" s="18"/>
      <c r="BE1218" s="18"/>
      <c r="BF1218" s="15"/>
      <c r="BG1218" s="15"/>
    </row>
    <row r="1219" spans="1:59" ht="15.75" customHeight="1">
      <c r="A1219" s="216"/>
      <c r="B1219" s="12"/>
      <c r="C1219" s="12"/>
      <c r="D1219" s="13"/>
      <c r="E1219" s="12"/>
      <c r="F1219" s="13"/>
      <c r="G1219" s="13"/>
      <c r="H1219" s="12"/>
      <c r="I1219" s="18"/>
      <c r="J1219" s="16"/>
      <c r="K1219" s="16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  <c r="AA1219" s="18"/>
      <c r="AB1219" s="18"/>
      <c r="AC1219" s="18"/>
      <c r="AD1219" s="18"/>
      <c r="AE1219" s="18"/>
      <c r="AF1219" s="18"/>
      <c r="AG1219" s="16"/>
      <c r="AH1219" s="16"/>
      <c r="AI1219" s="18"/>
      <c r="AJ1219" s="18"/>
      <c r="AK1219" s="18"/>
      <c r="AL1219" s="18"/>
      <c r="AM1219" s="18"/>
      <c r="AN1219" s="18"/>
      <c r="AO1219" s="18"/>
      <c r="AP1219" s="18"/>
      <c r="AQ1219" s="18"/>
      <c r="AR1219" s="18"/>
      <c r="AS1219" s="18"/>
      <c r="AT1219" s="216"/>
      <c r="AU1219" s="18"/>
      <c r="AV1219" s="18"/>
      <c r="AW1219" s="18"/>
      <c r="AX1219" s="18"/>
      <c r="AY1219" s="18"/>
      <c r="AZ1219" s="18"/>
      <c r="BA1219" s="18"/>
      <c r="BB1219" s="18"/>
      <c r="BC1219" s="18"/>
      <c r="BD1219" s="18"/>
      <c r="BE1219" s="18"/>
      <c r="BF1219" s="15"/>
      <c r="BG1219" s="15"/>
    </row>
    <row r="1220" spans="1:59" ht="15.75" customHeight="1">
      <c r="A1220" s="216"/>
      <c r="B1220" s="12"/>
      <c r="C1220" s="12"/>
      <c r="D1220" s="13"/>
      <c r="E1220" s="12"/>
      <c r="F1220" s="13"/>
      <c r="G1220" s="13"/>
      <c r="H1220" s="12"/>
      <c r="I1220" s="18"/>
      <c r="J1220" s="16"/>
      <c r="K1220" s="16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  <c r="AB1220" s="18"/>
      <c r="AC1220" s="18"/>
      <c r="AD1220" s="18"/>
      <c r="AE1220" s="18"/>
      <c r="AF1220" s="18"/>
      <c r="AG1220" s="16"/>
      <c r="AH1220" s="16"/>
      <c r="AI1220" s="18"/>
      <c r="AJ1220" s="18"/>
      <c r="AK1220" s="18"/>
      <c r="AL1220" s="18"/>
      <c r="AM1220" s="18"/>
      <c r="AN1220" s="18"/>
      <c r="AO1220" s="18"/>
      <c r="AP1220" s="18"/>
      <c r="AQ1220" s="18"/>
      <c r="AR1220" s="18"/>
      <c r="AS1220" s="18"/>
      <c r="AT1220" s="216"/>
      <c r="AU1220" s="18"/>
      <c r="AV1220" s="18"/>
      <c r="AW1220" s="18"/>
      <c r="AX1220" s="18"/>
      <c r="AY1220" s="18"/>
      <c r="AZ1220" s="18"/>
      <c r="BA1220" s="18"/>
      <c r="BB1220" s="18"/>
      <c r="BC1220" s="18"/>
      <c r="BD1220" s="18"/>
      <c r="BE1220" s="18"/>
      <c r="BF1220" s="15"/>
      <c r="BG1220" s="15"/>
    </row>
    <row r="1221" spans="1:59" ht="15.75" customHeight="1">
      <c r="A1221" s="216"/>
      <c r="B1221" s="12"/>
      <c r="C1221" s="12"/>
      <c r="D1221" s="13"/>
      <c r="E1221" s="12"/>
      <c r="F1221" s="13"/>
      <c r="G1221" s="13"/>
      <c r="H1221" s="12"/>
      <c r="I1221" s="18"/>
      <c r="J1221" s="16"/>
      <c r="K1221" s="16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  <c r="AB1221" s="18"/>
      <c r="AC1221" s="18"/>
      <c r="AD1221" s="18"/>
      <c r="AE1221" s="18"/>
      <c r="AF1221" s="18"/>
      <c r="AG1221" s="16"/>
      <c r="AH1221" s="16"/>
      <c r="AI1221" s="18"/>
      <c r="AJ1221" s="18"/>
      <c r="AK1221" s="18"/>
      <c r="AL1221" s="18"/>
      <c r="AM1221" s="18"/>
      <c r="AN1221" s="18"/>
      <c r="AO1221" s="18"/>
      <c r="AP1221" s="18"/>
      <c r="AQ1221" s="18"/>
      <c r="AR1221" s="18"/>
      <c r="AS1221" s="18"/>
      <c r="AT1221" s="216"/>
      <c r="AU1221" s="18"/>
      <c r="AV1221" s="18"/>
      <c r="AW1221" s="18"/>
      <c r="AX1221" s="18"/>
      <c r="AY1221" s="18"/>
      <c r="AZ1221" s="18"/>
      <c r="BA1221" s="18"/>
      <c r="BB1221" s="18"/>
      <c r="BC1221" s="18"/>
      <c r="BD1221" s="18"/>
      <c r="BE1221" s="18"/>
      <c r="BF1221" s="15"/>
      <c r="BG1221" s="15"/>
    </row>
    <row r="1222" spans="1:59" ht="15.75" customHeight="1">
      <c r="A1222" s="216"/>
      <c r="B1222" s="12"/>
      <c r="C1222" s="12"/>
      <c r="D1222" s="13"/>
      <c r="E1222" s="12"/>
      <c r="F1222" s="13"/>
      <c r="G1222" s="13"/>
      <c r="H1222" s="12"/>
      <c r="I1222" s="18"/>
      <c r="J1222" s="16"/>
      <c r="K1222" s="16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  <c r="AA1222" s="18"/>
      <c r="AB1222" s="18"/>
      <c r="AC1222" s="18"/>
      <c r="AD1222" s="18"/>
      <c r="AE1222" s="18"/>
      <c r="AF1222" s="18"/>
      <c r="AG1222" s="16"/>
      <c r="AH1222" s="16"/>
      <c r="AI1222" s="18"/>
      <c r="AJ1222" s="18"/>
      <c r="AK1222" s="18"/>
      <c r="AL1222" s="18"/>
      <c r="AM1222" s="18"/>
      <c r="AN1222" s="18"/>
      <c r="AO1222" s="18"/>
      <c r="AP1222" s="18"/>
      <c r="AQ1222" s="18"/>
      <c r="AR1222" s="18"/>
      <c r="AS1222" s="18"/>
      <c r="AT1222" s="216"/>
      <c r="AU1222" s="18"/>
      <c r="AV1222" s="18"/>
      <c r="AW1222" s="18"/>
      <c r="AX1222" s="18"/>
      <c r="AY1222" s="18"/>
      <c r="AZ1222" s="18"/>
      <c r="BA1222" s="18"/>
      <c r="BB1222" s="18"/>
      <c r="BC1222" s="18"/>
      <c r="BD1222" s="18"/>
      <c r="BE1222" s="18"/>
      <c r="BF1222" s="15"/>
      <c r="BG1222" s="15"/>
    </row>
    <row r="1223" spans="1:59" ht="15.75" customHeight="1">
      <c r="A1223" s="216"/>
      <c r="B1223" s="12"/>
      <c r="C1223" s="12"/>
      <c r="D1223" s="13"/>
      <c r="E1223" s="12"/>
      <c r="F1223" s="13"/>
      <c r="G1223" s="13"/>
      <c r="H1223" s="12"/>
      <c r="I1223" s="18"/>
      <c r="J1223" s="16"/>
      <c r="K1223" s="16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  <c r="AA1223" s="18"/>
      <c r="AB1223" s="18"/>
      <c r="AC1223" s="18"/>
      <c r="AD1223" s="18"/>
      <c r="AE1223" s="18"/>
      <c r="AF1223" s="18"/>
      <c r="AG1223" s="16"/>
      <c r="AH1223" s="16"/>
      <c r="AI1223" s="18"/>
      <c r="AJ1223" s="18"/>
      <c r="AK1223" s="18"/>
      <c r="AL1223" s="18"/>
      <c r="AM1223" s="18"/>
      <c r="AN1223" s="18"/>
      <c r="AO1223" s="18"/>
      <c r="AP1223" s="18"/>
      <c r="AQ1223" s="18"/>
      <c r="AR1223" s="18"/>
      <c r="AS1223" s="18"/>
      <c r="AT1223" s="216"/>
      <c r="AU1223" s="18"/>
      <c r="AV1223" s="18"/>
      <c r="AW1223" s="18"/>
      <c r="AX1223" s="18"/>
      <c r="AY1223" s="18"/>
      <c r="AZ1223" s="18"/>
      <c r="BA1223" s="18"/>
      <c r="BB1223" s="18"/>
      <c r="BC1223" s="18"/>
      <c r="BD1223" s="18"/>
      <c r="BE1223" s="18"/>
      <c r="BF1223" s="15"/>
      <c r="BG1223" s="15"/>
    </row>
    <row r="1224" spans="1:59" ht="15.75" customHeight="1">
      <c r="A1224" s="216"/>
      <c r="B1224" s="12"/>
      <c r="C1224" s="12"/>
      <c r="D1224" s="13"/>
      <c r="E1224" s="12"/>
      <c r="F1224" s="13"/>
      <c r="G1224" s="13"/>
      <c r="H1224" s="12"/>
      <c r="I1224" s="18"/>
      <c r="J1224" s="16"/>
      <c r="K1224" s="16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18"/>
      <c r="AF1224" s="18"/>
      <c r="AG1224" s="16"/>
      <c r="AH1224" s="16"/>
      <c r="AI1224" s="18"/>
      <c r="AJ1224" s="18"/>
      <c r="AK1224" s="18"/>
      <c r="AL1224" s="18"/>
      <c r="AM1224" s="18"/>
      <c r="AN1224" s="18"/>
      <c r="AO1224" s="18"/>
      <c r="AP1224" s="18"/>
      <c r="AQ1224" s="18"/>
      <c r="AR1224" s="18"/>
      <c r="AS1224" s="18"/>
      <c r="AT1224" s="216"/>
      <c r="AU1224" s="18"/>
      <c r="AV1224" s="18"/>
      <c r="AW1224" s="18"/>
      <c r="AX1224" s="18"/>
      <c r="AY1224" s="18"/>
      <c r="AZ1224" s="18"/>
      <c r="BA1224" s="18"/>
      <c r="BB1224" s="18"/>
      <c r="BC1224" s="18"/>
      <c r="BD1224" s="18"/>
      <c r="BE1224" s="18"/>
      <c r="BF1224" s="15"/>
      <c r="BG1224" s="15"/>
    </row>
    <row r="1225" spans="1:59" ht="15.75" customHeight="1">
      <c r="A1225" s="216"/>
      <c r="B1225" s="12"/>
      <c r="C1225" s="12"/>
      <c r="D1225" s="13"/>
      <c r="E1225" s="12"/>
      <c r="F1225" s="13"/>
      <c r="G1225" s="13"/>
      <c r="H1225" s="12"/>
      <c r="I1225" s="18"/>
      <c r="J1225" s="16"/>
      <c r="K1225" s="16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  <c r="AF1225" s="18"/>
      <c r="AG1225" s="16"/>
      <c r="AH1225" s="16"/>
      <c r="AI1225" s="18"/>
      <c r="AJ1225" s="18"/>
      <c r="AK1225" s="18"/>
      <c r="AL1225" s="18"/>
      <c r="AM1225" s="18"/>
      <c r="AN1225" s="18"/>
      <c r="AO1225" s="18"/>
      <c r="AP1225" s="18"/>
      <c r="AQ1225" s="18"/>
      <c r="AR1225" s="18"/>
      <c r="AS1225" s="18"/>
      <c r="AT1225" s="216"/>
      <c r="AU1225" s="18"/>
      <c r="AV1225" s="18"/>
      <c r="AW1225" s="18"/>
      <c r="AX1225" s="18"/>
      <c r="AY1225" s="18"/>
      <c r="AZ1225" s="18"/>
      <c r="BA1225" s="18"/>
      <c r="BB1225" s="18"/>
      <c r="BC1225" s="18"/>
      <c r="BD1225" s="18"/>
      <c r="BE1225" s="18"/>
      <c r="BF1225" s="15"/>
      <c r="BG1225" s="15"/>
    </row>
    <row r="1226" spans="1:59" ht="15.75" customHeight="1">
      <c r="A1226" s="216"/>
      <c r="B1226" s="12"/>
      <c r="C1226" s="12"/>
      <c r="D1226" s="13"/>
      <c r="E1226" s="12"/>
      <c r="F1226" s="13"/>
      <c r="G1226" s="13"/>
      <c r="H1226" s="12"/>
      <c r="I1226" s="18"/>
      <c r="J1226" s="16"/>
      <c r="K1226" s="16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18"/>
      <c r="AG1226" s="16"/>
      <c r="AH1226" s="16"/>
      <c r="AI1226" s="18"/>
      <c r="AJ1226" s="18"/>
      <c r="AK1226" s="18"/>
      <c r="AL1226" s="18"/>
      <c r="AM1226" s="18"/>
      <c r="AN1226" s="18"/>
      <c r="AO1226" s="18"/>
      <c r="AP1226" s="18"/>
      <c r="AQ1226" s="18"/>
      <c r="AR1226" s="18"/>
      <c r="AS1226" s="18"/>
      <c r="AT1226" s="216"/>
      <c r="AU1226" s="18"/>
      <c r="AV1226" s="18"/>
      <c r="AW1226" s="18"/>
      <c r="AX1226" s="18"/>
      <c r="AY1226" s="18"/>
      <c r="AZ1226" s="18"/>
      <c r="BA1226" s="18"/>
      <c r="BB1226" s="18"/>
      <c r="BC1226" s="18"/>
      <c r="BD1226" s="18"/>
      <c r="BE1226" s="18"/>
      <c r="BF1226" s="15"/>
      <c r="BG1226" s="15"/>
    </row>
    <row r="1227" spans="1:59" ht="15.75" customHeight="1">
      <c r="A1227" s="216"/>
      <c r="B1227" s="12"/>
      <c r="C1227" s="12"/>
      <c r="D1227" s="13"/>
      <c r="E1227" s="12"/>
      <c r="F1227" s="13"/>
      <c r="G1227" s="13"/>
      <c r="H1227" s="12"/>
      <c r="I1227" s="18"/>
      <c r="J1227" s="16"/>
      <c r="K1227" s="16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18"/>
      <c r="AF1227" s="18"/>
      <c r="AG1227" s="16"/>
      <c r="AH1227" s="16"/>
      <c r="AI1227" s="18"/>
      <c r="AJ1227" s="18"/>
      <c r="AK1227" s="18"/>
      <c r="AL1227" s="18"/>
      <c r="AM1227" s="18"/>
      <c r="AN1227" s="18"/>
      <c r="AO1227" s="18"/>
      <c r="AP1227" s="18"/>
      <c r="AQ1227" s="18"/>
      <c r="AR1227" s="18"/>
      <c r="AS1227" s="18"/>
      <c r="AT1227" s="216"/>
      <c r="AU1227" s="18"/>
      <c r="AV1227" s="18"/>
      <c r="AW1227" s="18"/>
      <c r="AX1227" s="18"/>
      <c r="AY1227" s="18"/>
      <c r="AZ1227" s="18"/>
      <c r="BA1227" s="18"/>
      <c r="BB1227" s="18"/>
      <c r="BC1227" s="18"/>
      <c r="BD1227" s="18"/>
      <c r="BE1227" s="18"/>
      <c r="BF1227" s="15"/>
      <c r="BG1227" s="15"/>
    </row>
    <row r="1228" spans="1:59" ht="15.75" customHeight="1">
      <c r="A1228" s="216"/>
      <c r="B1228" s="12"/>
      <c r="C1228" s="12"/>
      <c r="D1228" s="13"/>
      <c r="E1228" s="12"/>
      <c r="F1228" s="13"/>
      <c r="G1228" s="13"/>
      <c r="H1228" s="12"/>
      <c r="I1228" s="18"/>
      <c r="J1228" s="16"/>
      <c r="K1228" s="16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  <c r="AB1228" s="18"/>
      <c r="AC1228" s="18"/>
      <c r="AD1228" s="18"/>
      <c r="AE1228" s="18"/>
      <c r="AF1228" s="18"/>
      <c r="AG1228" s="16"/>
      <c r="AH1228" s="16"/>
      <c r="AI1228" s="18"/>
      <c r="AJ1228" s="18"/>
      <c r="AK1228" s="18"/>
      <c r="AL1228" s="18"/>
      <c r="AM1228" s="18"/>
      <c r="AN1228" s="18"/>
      <c r="AO1228" s="18"/>
      <c r="AP1228" s="18"/>
      <c r="AQ1228" s="18"/>
      <c r="AR1228" s="18"/>
      <c r="AS1228" s="18"/>
      <c r="AT1228" s="216"/>
      <c r="AU1228" s="18"/>
      <c r="AV1228" s="18"/>
      <c r="AW1228" s="18"/>
      <c r="AX1228" s="18"/>
      <c r="AY1228" s="18"/>
      <c r="AZ1228" s="18"/>
      <c r="BA1228" s="18"/>
      <c r="BB1228" s="18"/>
      <c r="BC1228" s="18"/>
      <c r="BD1228" s="18"/>
      <c r="BE1228" s="18"/>
      <c r="BF1228" s="15"/>
      <c r="BG1228" s="15"/>
    </row>
    <row r="1229" spans="1:59" ht="15.75" customHeight="1">
      <c r="A1229" s="216"/>
      <c r="B1229" s="12"/>
      <c r="C1229" s="12"/>
      <c r="D1229" s="13"/>
      <c r="E1229" s="12"/>
      <c r="F1229" s="13"/>
      <c r="G1229" s="13"/>
      <c r="H1229" s="12"/>
      <c r="I1229" s="18"/>
      <c r="J1229" s="16"/>
      <c r="K1229" s="16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  <c r="AA1229" s="18"/>
      <c r="AB1229" s="18"/>
      <c r="AC1229" s="18"/>
      <c r="AD1229" s="18"/>
      <c r="AE1229" s="18"/>
      <c r="AF1229" s="18"/>
      <c r="AG1229" s="16"/>
      <c r="AH1229" s="16"/>
      <c r="AI1229" s="18"/>
      <c r="AJ1229" s="18"/>
      <c r="AK1229" s="18"/>
      <c r="AL1229" s="18"/>
      <c r="AM1229" s="18"/>
      <c r="AN1229" s="18"/>
      <c r="AO1229" s="18"/>
      <c r="AP1229" s="18"/>
      <c r="AQ1229" s="18"/>
      <c r="AR1229" s="18"/>
      <c r="AS1229" s="18"/>
      <c r="AT1229" s="216"/>
      <c r="AU1229" s="18"/>
      <c r="AV1229" s="18"/>
      <c r="AW1229" s="18"/>
      <c r="AX1229" s="18"/>
      <c r="AY1229" s="18"/>
      <c r="AZ1229" s="18"/>
      <c r="BA1229" s="18"/>
      <c r="BB1229" s="18"/>
      <c r="BC1229" s="18"/>
      <c r="BD1229" s="18"/>
      <c r="BE1229" s="18"/>
      <c r="BF1229" s="15"/>
      <c r="BG1229" s="15"/>
    </row>
    <row r="1230" spans="1:59" ht="15.75" customHeight="1">
      <c r="A1230" s="216"/>
      <c r="B1230" s="12"/>
      <c r="C1230" s="12"/>
      <c r="D1230" s="13"/>
      <c r="E1230" s="12"/>
      <c r="F1230" s="13"/>
      <c r="G1230" s="13"/>
      <c r="H1230" s="12"/>
      <c r="I1230" s="18"/>
      <c r="J1230" s="16"/>
      <c r="K1230" s="16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18"/>
      <c r="AG1230" s="16"/>
      <c r="AH1230" s="16"/>
      <c r="AI1230" s="18"/>
      <c r="AJ1230" s="18"/>
      <c r="AK1230" s="18"/>
      <c r="AL1230" s="18"/>
      <c r="AM1230" s="18"/>
      <c r="AN1230" s="18"/>
      <c r="AO1230" s="18"/>
      <c r="AP1230" s="18"/>
      <c r="AQ1230" s="18"/>
      <c r="AR1230" s="18"/>
      <c r="AS1230" s="18"/>
      <c r="AT1230" s="216"/>
      <c r="AU1230" s="18"/>
      <c r="AV1230" s="18"/>
      <c r="AW1230" s="18"/>
      <c r="AX1230" s="18"/>
      <c r="AY1230" s="18"/>
      <c r="AZ1230" s="18"/>
      <c r="BA1230" s="18"/>
      <c r="BB1230" s="18"/>
      <c r="BC1230" s="18"/>
      <c r="BD1230" s="18"/>
      <c r="BE1230" s="18"/>
      <c r="BF1230" s="15"/>
      <c r="BG1230" s="15"/>
    </row>
    <row r="1231" spans="1:59" ht="15.75" customHeight="1">
      <c r="A1231" s="216"/>
      <c r="B1231" s="12"/>
      <c r="C1231" s="12"/>
      <c r="D1231" s="13"/>
      <c r="E1231" s="12"/>
      <c r="F1231" s="13"/>
      <c r="G1231" s="13"/>
      <c r="H1231" s="12"/>
      <c r="I1231" s="18"/>
      <c r="J1231" s="16"/>
      <c r="K1231" s="16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  <c r="AF1231" s="18"/>
      <c r="AG1231" s="16"/>
      <c r="AH1231" s="16"/>
      <c r="AI1231" s="18"/>
      <c r="AJ1231" s="18"/>
      <c r="AK1231" s="18"/>
      <c r="AL1231" s="18"/>
      <c r="AM1231" s="18"/>
      <c r="AN1231" s="18"/>
      <c r="AO1231" s="18"/>
      <c r="AP1231" s="18"/>
      <c r="AQ1231" s="18"/>
      <c r="AR1231" s="18"/>
      <c r="AS1231" s="18"/>
      <c r="AT1231" s="216"/>
      <c r="AU1231" s="18"/>
      <c r="AV1231" s="18"/>
      <c r="AW1231" s="18"/>
      <c r="AX1231" s="18"/>
      <c r="AY1231" s="18"/>
      <c r="AZ1231" s="18"/>
      <c r="BA1231" s="18"/>
      <c r="BB1231" s="18"/>
      <c r="BC1231" s="18"/>
      <c r="BD1231" s="18"/>
      <c r="BE1231" s="18"/>
      <c r="BF1231" s="15"/>
      <c r="BG1231" s="15"/>
    </row>
    <row r="1232" spans="1:59" ht="15.75" customHeight="1">
      <c r="A1232" s="216"/>
      <c r="B1232" s="12"/>
      <c r="C1232" s="12"/>
      <c r="D1232" s="13"/>
      <c r="E1232" s="12"/>
      <c r="F1232" s="13"/>
      <c r="G1232" s="13"/>
      <c r="H1232" s="12"/>
      <c r="I1232" s="18"/>
      <c r="J1232" s="16"/>
      <c r="K1232" s="16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18"/>
      <c r="AC1232" s="18"/>
      <c r="AD1232" s="18"/>
      <c r="AE1232" s="18"/>
      <c r="AF1232" s="18"/>
      <c r="AG1232" s="16"/>
      <c r="AH1232" s="16"/>
      <c r="AI1232" s="18"/>
      <c r="AJ1232" s="18"/>
      <c r="AK1232" s="18"/>
      <c r="AL1232" s="18"/>
      <c r="AM1232" s="18"/>
      <c r="AN1232" s="18"/>
      <c r="AO1232" s="18"/>
      <c r="AP1232" s="18"/>
      <c r="AQ1232" s="18"/>
      <c r="AR1232" s="18"/>
      <c r="AS1232" s="18"/>
      <c r="AT1232" s="216"/>
      <c r="AU1232" s="18"/>
      <c r="AV1232" s="18"/>
      <c r="AW1232" s="18"/>
      <c r="AX1232" s="18"/>
      <c r="AY1232" s="18"/>
      <c r="AZ1232" s="18"/>
      <c r="BA1232" s="18"/>
      <c r="BB1232" s="18"/>
      <c r="BC1232" s="18"/>
      <c r="BD1232" s="18"/>
      <c r="BE1232" s="18"/>
      <c r="BF1232" s="15"/>
      <c r="BG1232" s="15"/>
    </row>
    <row r="1233" spans="1:59" ht="15.75" customHeight="1">
      <c r="A1233" s="216"/>
      <c r="B1233" s="12"/>
      <c r="C1233" s="12"/>
      <c r="D1233" s="13"/>
      <c r="E1233" s="12"/>
      <c r="F1233" s="13"/>
      <c r="G1233" s="13"/>
      <c r="H1233" s="12"/>
      <c r="I1233" s="18"/>
      <c r="J1233" s="16"/>
      <c r="K1233" s="16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  <c r="AF1233" s="18"/>
      <c r="AG1233" s="16"/>
      <c r="AH1233" s="16"/>
      <c r="AI1233" s="18"/>
      <c r="AJ1233" s="18"/>
      <c r="AK1233" s="18"/>
      <c r="AL1233" s="18"/>
      <c r="AM1233" s="18"/>
      <c r="AN1233" s="18"/>
      <c r="AO1233" s="18"/>
      <c r="AP1233" s="18"/>
      <c r="AQ1233" s="18"/>
      <c r="AR1233" s="18"/>
      <c r="AS1233" s="18"/>
      <c r="AT1233" s="216"/>
      <c r="AU1233" s="18"/>
      <c r="AV1233" s="18"/>
      <c r="AW1233" s="18"/>
      <c r="AX1233" s="18"/>
      <c r="AY1233" s="18"/>
      <c r="AZ1233" s="18"/>
      <c r="BA1233" s="18"/>
      <c r="BB1233" s="18"/>
      <c r="BC1233" s="18"/>
      <c r="BD1233" s="18"/>
      <c r="BE1233" s="18"/>
      <c r="BF1233" s="15"/>
      <c r="BG1233" s="15"/>
    </row>
    <row r="1234" spans="1:59" ht="15.75" customHeight="1">
      <c r="A1234" s="216"/>
      <c r="B1234" s="12"/>
      <c r="C1234" s="12"/>
      <c r="D1234" s="13"/>
      <c r="E1234" s="12"/>
      <c r="F1234" s="13"/>
      <c r="G1234" s="13"/>
      <c r="H1234" s="12"/>
      <c r="I1234" s="18"/>
      <c r="J1234" s="16"/>
      <c r="K1234" s="16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  <c r="AB1234" s="18"/>
      <c r="AC1234" s="18"/>
      <c r="AD1234" s="18"/>
      <c r="AE1234" s="18"/>
      <c r="AF1234" s="18"/>
      <c r="AG1234" s="16"/>
      <c r="AH1234" s="16"/>
      <c r="AI1234" s="18"/>
      <c r="AJ1234" s="18"/>
      <c r="AK1234" s="18"/>
      <c r="AL1234" s="18"/>
      <c r="AM1234" s="18"/>
      <c r="AN1234" s="18"/>
      <c r="AO1234" s="18"/>
      <c r="AP1234" s="18"/>
      <c r="AQ1234" s="18"/>
      <c r="AR1234" s="18"/>
      <c r="AS1234" s="18"/>
      <c r="AT1234" s="216"/>
      <c r="AU1234" s="18"/>
      <c r="AV1234" s="18"/>
      <c r="AW1234" s="18"/>
      <c r="AX1234" s="18"/>
      <c r="AY1234" s="18"/>
      <c r="AZ1234" s="18"/>
      <c r="BA1234" s="18"/>
      <c r="BB1234" s="18"/>
      <c r="BC1234" s="18"/>
      <c r="BD1234" s="18"/>
      <c r="BE1234" s="18"/>
      <c r="BF1234" s="15"/>
      <c r="BG1234" s="15"/>
    </row>
    <row r="1235" spans="1:59" ht="15.75" customHeight="1">
      <c r="A1235" s="216"/>
      <c r="B1235" s="12"/>
      <c r="C1235" s="12"/>
      <c r="D1235" s="13"/>
      <c r="E1235" s="12"/>
      <c r="F1235" s="13"/>
      <c r="G1235" s="13"/>
      <c r="H1235" s="12"/>
      <c r="I1235" s="18"/>
      <c r="J1235" s="16"/>
      <c r="K1235" s="16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  <c r="AF1235" s="18"/>
      <c r="AG1235" s="16"/>
      <c r="AH1235" s="16"/>
      <c r="AI1235" s="18"/>
      <c r="AJ1235" s="18"/>
      <c r="AK1235" s="18"/>
      <c r="AL1235" s="18"/>
      <c r="AM1235" s="18"/>
      <c r="AN1235" s="18"/>
      <c r="AO1235" s="18"/>
      <c r="AP1235" s="18"/>
      <c r="AQ1235" s="18"/>
      <c r="AR1235" s="18"/>
      <c r="AS1235" s="18"/>
      <c r="AT1235" s="216"/>
      <c r="AU1235" s="18"/>
      <c r="AV1235" s="18"/>
      <c r="AW1235" s="18"/>
      <c r="AX1235" s="18"/>
      <c r="AY1235" s="18"/>
      <c r="AZ1235" s="18"/>
      <c r="BA1235" s="18"/>
      <c r="BB1235" s="18"/>
      <c r="BC1235" s="18"/>
      <c r="BD1235" s="18"/>
      <c r="BE1235" s="18"/>
      <c r="BF1235" s="15"/>
      <c r="BG1235" s="15"/>
    </row>
    <row r="1236" spans="1:59" ht="15.75" customHeight="1">
      <c r="A1236" s="216"/>
      <c r="B1236" s="12"/>
      <c r="C1236" s="12"/>
      <c r="D1236" s="13"/>
      <c r="E1236" s="12"/>
      <c r="F1236" s="13"/>
      <c r="G1236" s="13"/>
      <c r="H1236" s="12"/>
      <c r="I1236" s="18"/>
      <c r="J1236" s="16"/>
      <c r="K1236" s="16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  <c r="AC1236" s="18"/>
      <c r="AD1236" s="18"/>
      <c r="AE1236" s="18"/>
      <c r="AF1236" s="18"/>
      <c r="AG1236" s="16"/>
      <c r="AH1236" s="16"/>
      <c r="AI1236" s="18"/>
      <c r="AJ1236" s="18"/>
      <c r="AK1236" s="18"/>
      <c r="AL1236" s="18"/>
      <c r="AM1236" s="18"/>
      <c r="AN1236" s="18"/>
      <c r="AO1236" s="18"/>
      <c r="AP1236" s="18"/>
      <c r="AQ1236" s="18"/>
      <c r="AR1236" s="18"/>
      <c r="AS1236" s="18"/>
      <c r="AT1236" s="216"/>
      <c r="AU1236" s="18"/>
      <c r="AV1236" s="18"/>
      <c r="AW1236" s="18"/>
      <c r="AX1236" s="18"/>
      <c r="AY1236" s="18"/>
      <c r="AZ1236" s="18"/>
      <c r="BA1236" s="18"/>
      <c r="BB1236" s="18"/>
      <c r="BC1236" s="18"/>
      <c r="BD1236" s="18"/>
      <c r="BE1236" s="18"/>
      <c r="BF1236" s="15"/>
      <c r="BG1236" s="15"/>
    </row>
    <row r="1237" spans="1:59" ht="15.75" customHeight="1">
      <c r="A1237" s="216"/>
      <c r="B1237" s="12"/>
      <c r="C1237" s="12"/>
      <c r="D1237" s="13"/>
      <c r="E1237" s="12"/>
      <c r="F1237" s="13"/>
      <c r="G1237" s="13"/>
      <c r="H1237" s="12"/>
      <c r="I1237" s="18"/>
      <c r="J1237" s="16"/>
      <c r="K1237" s="16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  <c r="AF1237" s="18"/>
      <c r="AG1237" s="16"/>
      <c r="AH1237" s="16"/>
      <c r="AI1237" s="18"/>
      <c r="AJ1237" s="18"/>
      <c r="AK1237" s="18"/>
      <c r="AL1237" s="18"/>
      <c r="AM1237" s="18"/>
      <c r="AN1237" s="18"/>
      <c r="AO1237" s="18"/>
      <c r="AP1237" s="18"/>
      <c r="AQ1237" s="18"/>
      <c r="AR1237" s="18"/>
      <c r="AS1237" s="18"/>
      <c r="AT1237" s="216"/>
      <c r="AU1237" s="18"/>
      <c r="AV1237" s="18"/>
      <c r="AW1237" s="18"/>
      <c r="AX1237" s="18"/>
      <c r="AY1237" s="18"/>
      <c r="AZ1237" s="18"/>
      <c r="BA1237" s="18"/>
      <c r="BB1237" s="18"/>
      <c r="BC1237" s="18"/>
      <c r="BD1237" s="18"/>
      <c r="BE1237" s="18"/>
      <c r="BF1237" s="15"/>
      <c r="BG1237" s="15"/>
    </row>
    <row r="1238" spans="1:59" ht="15.75" customHeight="1">
      <c r="A1238" s="216"/>
      <c r="B1238" s="12"/>
      <c r="C1238" s="12"/>
      <c r="D1238" s="13"/>
      <c r="E1238" s="12"/>
      <c r="F1238" s="13"/>
      <c r="G1238" s="13"/>
      <c r="H1238" s="12"/>
      <c r="I1238" s="18"/>
      <c r="J1238" s="16"/>
      <c r="K1238" s="16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  <c r="AB1238" s="18"/>
      <c r="AC1238" s="18"/>
      <c r="AD1238" s="18"/>
      <c r="AE1238" s="18"/>
      <c r="AF1238" s="18"/>
      <c r="AG1238" s="16"/>
      <c r="AH1238" s="16"/>
      <c r="AI1238" s="18"/>
      <c r="AJ1238" s="18"/>
      <c r="AK1238" s="18"/>
      <c r="AL1238" s="18"/>
      <c r="AM1238" s="18"/>
      <c r="AN1238" s="18"/>
      <c r="AO1238" s="18"/>
      <c r="AP1238" s="18"/>
      <c r="AQ1238" s="18"/>
      <c r="AR1238" s="18"/>
      <c r="AS1238" s="18"/>
      <c r="AT1238" s="216"/>
      <c r="AU1238" s="18"/>
      <c r="AV1238" s="18"/>
      <c r="AW1238" s="18"/>
      <c r="AX1238" s="18"/>
      <c r="AY1238" s="18"/>
      <c r="AZ1238" s="18"/>
      <c r="BA1238" s="18"/>
      <c r="BB1238" s="18"/>
      <c r="BC1238" s="18"/>
      <c r="BD1238" s="18"/>
      <c r="BE1238" s="18"/>
      <c r="BF1238" s="15"/>
      <c r="BG1238" s="15"/>
    </row>
    <row r="1239" spans="1:59" ht="15.75" customHeight="1">
      <c r="A1239" s="216"/>
      <c r="B1239" s="12"/>
      <c r="C1239" s="12"/>
      <c r="D1239" s="13"/>
      <c r="E1239" s="12"/>
      <c r="F1239" s="13"/>
      <c r="G1239" s="13"/>
      <c r="H1239" s="12"/>
      <c r="I1239" s="18"/>
      <c r="J1239" s="16"/>
      <c r="K1239" s="16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18"/>
      <c r="AG1239" s="16"/>
      <c r="AH1239" s="16"/>
      <c r="AI1239" s="18"/>
      <c r="AJ1239" s="18"/>
      <c r="AK1239" s="18"/>
      <c r="AL1239" s="18"/>
      <c r="AM1239" s="18"/>
      <c r="AN1239" s="18"/>
      <c r="AO1239" s="18"/>
      <c r="AP1239" s="18"/>
      <c r="AQ1239" s="18"/>
      <c r="AR1239" s="18"/>
      <c r="AS1239" s="18"/>
      <c r="AT1239" s="216"/>
      <c r="AU1239" s="18"/>
      <c r="AV1239" s="18"/>
      <c r="AW1239" s="18"/>
      <c r="AX1239" s="18"/>
      <c r="AY1239" s="18"/>
      <c r="AZ1239" s="18"/>
      <c r="BA1239" s="18"/>
      <c r="BB1239" s="18"/>
      <c r="BC1239" s="18"/>
      <c r="BD1239" s="18"/>
      <c r="BE1239" s="18"/>
      <c r="BF1239" s="15"/>
      <c r="BG1239" s="15"/>
    </row>
    <row r="1240" spans="1:59" ht="15.75" customHeight="1">
      <c r="A1240" s="216"/>
      <c r="B1240" s="12"/>
      <c r="C1240" s="12"/>
      <c r="D1240" s="13"/>
      <c r="E1240" s="12"/>
      <c r="F1240" s="13"/>
      <c r="G1240" s="13"/>
      <c r="H1240" s="12"/>
      <c r="I1240" s="18"/>
      <c r="J1240" s="16"/>
      <c r="K1240" s="16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  <c r="AB1240" s="18"/>
      <c r="AC1240" s="18"/>
      <c r="AD1240" s="18"/>
      <c r="AE1240" s="18"/>
      <c r="AF1240" s="18"/>
      <c r="AG1240" s="16"/>
      <c r="AH1240" s="16"/>
      <c r="AI1240" s="18"/>
      <c r="AJ1240" s="18"/>
      <c r="AK1240" s="18"/>
      <c r="AL1240" s="18"/>
      <c r="AM1240" s="18"/>
      <c r="AN1240" s="18"/>
      <c r="AO1240" s="18"/>
      <c r="AP1240" s="18"/>
      <c r="AQ1240" s="18"/>
      <c r="AR1240" s="18"/>
      <c r="AS1240" s="18"/>
      <c r="AT1240" s="216"/>
      <c r="AU1240" s="18"/>
      <c r="AV1240" s="18"/>
      <c r="AW1240" s="18"/>
      <c r="AX1240" s="18"/>
      <c r="AY1240" s="18"/>
      <c r="AZ1240" s="18"/>
      <c r="BA1240" s="18"/>
      <c r="BB1240" s="18"/>
      <c r="BC1240" s="18"/>
      <c r="BD1240" s="18"/>
      <c r="BE1240" s="18"/>
      <c r="BF1240" s="15"/>
      <c r="BG1240" s="15"/>
    </row>
    <row r="1241" spans="1:59" ht="15.75" customHeight="1">
      <c r="A1241" s="216"/>
      <c r="B1241" s="12"/>
      <c r="C1241" s="12"/>
      <c r="D1241" s="13"/>
      <c r="E1241" s="12"/>
      <c r="F1241" s="13"/>
      <c r="G1241" s="13"/>
      <c r="H1241" s="12"/>
      <c r="I1241" s="18"/>
      <c r="J1241" s="16"/>
      <c r="K1241" s="16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  <c r="AF1241" s="18"/>
      <c r="AG1241" s="16"/>
      <c r="AH1241" s="16"/>
      <c r="AI1241" s="18"/>
      <c r="AJ1241" s="18"/>
      <c r="AK1241" s="18"/>
      <c r="AL1241" s="18"/>
      <c r="AM1241" s="18"/>
      <c r="AN1241" s="18"/>
      <c r="AO1241" s="18"/>
      <c r="AP1241" s="18"/>
      <c r="AQ1241" s="18"/>
      <c r="AR1241" s="18"/>
      <c r="AS1241" s="18"/>
      <c r="AT1241" s="216"/>
      <c r="AU1241" s="18"/>
      <c r="AV1241" s="18"/>
      <c r="AW1241" s="18"/>
      <c r="AX1241" s="18"/>
      <c r="AY1241" s="18"/>
      <c r="AZ1241" s="18"/>
      <c r="BA1241" s="18"/>
      <c r="BB1241" s="18"/>
      <c r="BC1241" s="18"/>
      <c r="BD1241" s="18"/>
      <c r="BE1241" s="18"/>
      <c r="BF1241" s="15"/>
      <c r="BG1241" s="15"/>
    </row>
    <row r="1242" spans="1:59" ht="15.75" customHeight="1">
      <c r="A1242" s="216"/>
      <c r="B1242" s="12"/>
      <c r="C1242" s="12"/>
      <c r="D1242" s="13"/>
      <c r="E1242" s="12"/>
      <c r="F1242" s="13"/>
      <c r="G1242" s="13"/>
      <c r="H1242" s="12"/>
      <c r="I1242" s="18"/>
      <c r="J1242" s="16"/>
      <c r="K1242" s="16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18"/>
      <c r="AG1242" s="16"/>
      <c r="AH1242" s="16"/>
      <c r="AI1242" s="18"/>
      <c r="AJ1242" s="18"/>
      <c r="AK1242" s="18"/>
      <c r="AL1242" s="18"/>
      <c r="AM1242" s="18"/>
      <c r="AN1242" s="18"/>
      <c r="AO1242" s="18"/>
      <c r="AP1242" s="18"/>
      <c r="AQ1242" s="18"/>
      <c r="AR1242" s="18"/>
      <c r="AS1242" s="18"/>
      <c r="AT1242" s="216"/>
      <c r="AU1242" s="18"/>
      <c r="AV1242" s="18"/>
      <c r="AW1242" s="18"/>
      <c r="AX1242" s="18"/>
      <c r="AY1242" s="18"/>
      <c r="AZ1242" s="18"/>
      <c r="BA1242" s="18"/>
      <c r="BB1242" s="18"/>
      <c r="BC1242" s="18"/>
      <c r="BD1242" s="18"/>
      <c r="BE1242" s="18"/>
      <c r="BF1242" s="15"/>
      <c r="BG1242" s="15"/>
    </row>
    <row r="1243" spans="1:59" ht="15.75" customHeight="1">
      <c r="A1243" s="216"/>
      <c r="B1243" s="12"/>
      <c r="C1243" s="12"/>
      <c r="D1243" s="13"/>
      <c r="E1243" s="12"/>
      <c r="F1243" s="13"/>
      <c r="G1243" s="13"/>
      <c r="H1243" s="12"/>
      <c r="I1243" s="18"/>
      <c r="J1243" s="16"/>
      <c r="K1243" s="16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  <c r="AF1243" s="18"/>
      <c r="AG1243" s="16"/>
      <c r="AH1243" s="16"/>
      <c r="AI1243" s="18"/>
      <c r="AJ1243" s="18"/>
      <c r="AK1243" s="18"/>
      <c r="AL1243" s="18"/>
      <c r="AM1243" s="18"/>
      <c r="AN1243" s="18"/>
      <c r="AO1243" s="18"/>
      <c r="AP1243" s="18"/>
      <c r="AQ1243" s="18"/>
      <c r="AR1243" s="18"/>
      <c r="AS1243" s="18"/>
      <c r="AT1243" s="216"/>
      <c r="AU1243" s="18"/>
      <c r="AV1243" s="18"/>
      <c r="AW1243" s="18"/>
      <c r="AX1243" s="18"/>
      <c r="AY1243" s="18"/>
      <c r="AZ1243" s="18"/>
      <c r="BA1243" s="18"/>
      <c r="BB1243" s="18"/>
      <c r="BC1243" s="18"/>
      <c r="BD1243" s="18"/>
      <c r="BE1243" s="18"/>
      <c r="BF1243" s="15"/>
      <c r="BG1243" s="15"/>
    </row>
    <row r="1244" spans="1:59" ht="15.75" customHeight="1">
      <c r="A1244" s="216"/>
      <c r="B1244" s="12"/>
      <c r="C1244" s="12"/>
      <c r="D1244" s="13"/>
      <c r="E1244" s="12"/>
      <c r="F1244" s="13"/>
      <c r="G1244" s="13"/>
      <c r="H1244" s="12"/>
      <c r="I1244" s="18"/>
      <c r="J1244" s="16"/>
      <c r="K1244" s="16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  <c r="AB1244" s="18"/>
      <c r="AC1244" s="18"/>
      <c r="AD1244" s="18"/>
      <c r="AE1244" s="18"/>
      <c r="AF1244" s="18"/>
      <c r="AG1244" s="16"/>
      <c r="AH1244" s="16"/>
      <c r="AI1244" s="18"/>
      <c r="AJ1244" s="18"/>
      <c r="AK1244" s="18"/>
      <c r="AL1244" s="18"/>
      <c r="AM1244" s="18"/>
      <c r="AN1244" s="18"/>
      <c r="AO1244" s="18"/>
      <c r="AP1244" s="18"/>
      <c r="AQ1244" s="18"/>
      <c r="AR1244" s="18"/>
      <c r="AS1244" s="18"/>
      <c r="AT1244" s="216"/>
      <c r="AU1244" s="18"/>
      <c r="AV1244" s="18"/>
      <c r="AW1244" s="18"/>
      <c r="AX1244" s="18"/>
      <c r="AY1244" s="18"/>
      <c r="AZ1244" s="18"/>
      <c r="BA1244" s="18"/>
      <c r="BB1244" s="18"/>
      <c r="BC1244" s="18"/>
      <c r="BD1244" s="18"/>
      <c r="BE1244" s="18"/>
      <c r="BF1244" s="15"/>
      <c r="BG1244" s="15"/>
    </row>
    <row r="1245" spans="1:59" ht="15.75" customHeight="1">
      <c r="A1245" s="216"/>
      <c r="B1245" s="12"/>
      <c r="C1245" s="12"/>
      <c r="D1245" s="13"/>
      <c r="E1245" s="12"/>
      <c r="F1245" s="13"/>
      <c r="G1245" s="13"/>
      <c r="H1245" s="12"/>
      <c r="I1245" s="18"/>
      <c r="J1245" s="16"/>
      <c r="K1245" s="16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  <c r="AF1245" s="18"/>
      <c r="AG1245" s="16"/>
      <c r="AH1245" s="16"/>
      <c r="AI1245" s="18"/>
      <c r="AJ1245" s="18"/>
      <c r="AK1245" s="18"/>
      <c r="AL1245" s="18"/>
      <c r="AM1245" s="18"/>
      <c r="AN1245" s="18"/>
      <c r="AO1245" s="18"/>
      <c r="AP1245" s="18"/>
      <c r="AQ1245" s="18"/>
      <c r="AR1245" s="18"/>
      <c r="AS1245" s="18"/>
      <c r="AT1245" s="216"/>
      <c r="AU1245" s="18"/>
      <c r="AV1245" s="18"/>
      <c r="AW1245" s="18"/>
      <c r="AX1245" s="18"/>
      <c r="AY1245" s="18"/>
      <c r="AZ1245" s="18"/>
      <c r="BA1245" s="18"/>
      <c r="BB1245" s="18"/>
      <c r="BC1245" s="18"/>
      <c r="BD1245" s="18"/>
      <c r="BE1245" s="18"/>
      <c r="BF1245" s="15"/>
      <c r="BG1245" s="15"/>
    </row>
    <row r="1246" spans="1:59" ht="15.75" customHeight="1">
      <c r="A1246" s="216"/>
      <c r="B1246" s="12"/>
      <c r="C1246" s="12"/>
      <c r="D1246" s="13"/>
      <c r="E1246" s="12"/>
      <c r="F1246" s="13"/>
      <c r="G1246" s="13"/>
      <c r="H1246" s="12"/>
      <c r="I1246" s="18"/>
      <c r="J1246" s="16"/>
      <c r="K1246" s="16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  <c r="AC1246" s="18"/>
      <c r="AD1246" s="18"/>
      <c r="AE1246" s="18"/>
      <c r="AF1246" s="18"/>
      <c r="AG1246" s="16"/>
      <c r="AH1246" s="16"/>
      <c r="AI1246" s="18"/>
      <c r="AJ1246" s="18"/>
      <c r="AK1246" s="18"/>
      <c r="AL1246" s="18"/>
      <c r="AM1246" s="18"/>
      <c r="AN1246" s="18"/>
      <c r="AO1246" s="18"/>
      <c r="AP1246" s="18"/>
      <c r="AQ1246" s="18"/>
      <c r="AR1246" s="18"/>
      <c r="AS1246" s="18"/>
      <c r="AT1246" s="216"/>
      <c r="AU1246" s="18"/>
      <c r="AV1246" s="18"/>
      <c r="AW1246" s="18"/>
      <c r="AX1246" s="18"/>
      <c r="AY1246" s="18"/>
      <c r="AZ1246" s="18"/>
      <c r="BA1246" s="18"/>
      <c r="BB1246" s="18"/>
      <c r="BC1246" s="18"/>
      <c r="BD1246" s="18"/>
      <c r="BE1246" s="18"/>
      <c r="BF1246" s="15"/>
      <c r="BG1246" s="15"/>
    </row>
    <row r="1247" spans="1:59" ht="15.75" customHeight="1">
      <c r="A1247" s="216"/>
      <c r="B1247" s="12"/>
      <c r="C1247" s="12"/>
      <c r="D1247" s="13"/>
      <c r="E1247" s="12"/>
      <c r="F1247" s="13"/>
      <c r="G1247" s="13"/>
      <c r="H1247" s="12"/>
      <c r="I1247" s="18"/>
      <c r="J1247" s="16"/>
      <c r="K1247" s="16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  <c r="AF1247" s="18"/>
      <c r="AG1247" s="16"/>
      <c r="AH1247" s="16"/>
      <c r="AI1247" s="18"/>
      <c r="AJ1247" s="18"/>
      <c r="AK1247" s="18"/>
      <c r="AL1247" s="18"/>
      <c r="AM1247" s="18"/>
      <c r="AN1247" s="18"/>
      <c r="AO1247" s="18"/>
      <c r="AP1247" s="18"/>
      <c r="AQ1247" s="18"/>
      <c r="AR1247" s="18"/>
      <c r="AS1247" s="18"/>
      <c r="AT1247" s="216"/>
      <c r="AU1247" s="18"/>
      <c r="AV1247" s="18"/>
      <c r="AW1247" s="18"/>
      <c r="AX1247" s="18"/>
      <c r="AY1247" s="18"/>
      <c r="AZ1247" s="18"/>
      <c r="BA1247" s="18"/>
      <c r="BB1247" s="18"/>
      <c r="BC1247" s="18"/>
      <c r="BD1247" s="18"/>
      <c r="BE1247" s="18"/>
      <c r="BF1247" s="15"/>
      <c r="BG1247" s="15"/>
    </row>
    <row r="1248" spans="1:59" ht="15.75" customHeight="1">
      <c r="A1248" s="216"/>
      <c r="B1248" s="12"/>
      <c r="C1248" s="12"/>
      <c r="D1248" s="13"/>
      <c r="E1248" s="12"/>
      <c r="F1248" s="13"/>
      <c r="G1248" s="13"/>
      <c r="H1248" s="12"/>
      <c r="I1248" s="18"/>
      <c r="J1248" s="16"/>
      <c r="K1248" s="16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  <c r="AB1248" s="18"/>
      <c r="AC1248" s="18"/>
      <c r="AD1248" s="18"/>
      <c r="AE1248" s="18"/>
      <c r="AF1248" s="18"/>
      <c r="AG1248" s="16"/>
      <c r="AH1248" s="16"/>
      <c r="AI1248" s="18"/>
      <c r="AJ1248" s="18"/>
      <c r="AK1248" s="18"/>
      <c r="AL1248" s="18"/>
      <c r="AM1248" s="18"/>
      <c r="AN1248" s="18"/>
      <c r="AO1248" s="18"/>
      <c r="AP1248" s="18"/>
      <c r="AQ1248" s="18"/>
      <c r="AR1248" s="18"/>
      <c r="AS1248" s="18"/>
      <c r="AT1248" s="216"/>
      <c r="AU1248" s="18"/>
      <c r="AV1248" s="18"/>
      <c r="AW1248" s="18"/>
      <c r="AX1248" s="18"/>
      <c r="AY1248" s="18"/>
      <c r="AZ1248" s="18"/>
      <c r="BA1248" s="18"/>
      <c r="BB1248" s="18"/>
      <c r="BC1248" s="18"/>
      <c r="BD1248" s="18"/>
      <c r="BE1248" s="18"/>
      <c r="BF1248" s="15"/>
      <c r="BG1248" s="15"/>
    </row>
    <row r="1249" spans="1:59" ht="15.75" customHeight="1">
      <c r="A1249" s="216"/>
      <c r="B1249" s="12"/>
      <c r="C1249" s="12"/>
      <c r="D1249" s="13"/>
      <c r="E1249" s="12"/>
      <c r="F1249" s="13"/>
      <c r="G1249" s="13"/>
      <c r="H1249" s="12"/>
      <c r="I1249" s="18"/>
      <c r="J1249" s="16"/>
      <c r="K1249" s="16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  <c r="AF1249" s="18"/>
      <c r="AG1249" s="16"/>
      <c r="AH1249" s="16"/>
      <c r="AI1249" s="18"/>
      <c r="AJ1249" s="18"/>
      <c r="AK1249" s="18"/>
      <c r="AL1249" s="18"/>
      <c r="AM1249" s="18"/>
      <c r="AN1249" s="18"/>
      <c r="AO1249" s="18"/>
      <c r="AP1249" s="18"/>
      <c r="AQ1249" s="18"/>
      <c r="AR1249" s="18"/>
      <c r="AS1249" s="18"/>
      <c r="AT1249" s="216"/>
      <c r="AU1249" s="18"/>
      <c r="AV1249" s="18"/>
      <c r="AW1249" s="18"/>
      <c r="AX1249" s="18"/>
      <c r="AY1249" s="18"/>
      <c r="AZ1249" s="18"/>
      <c r="BA1249" s="18"/>
      <c r="BB1249" s="18"/>
      <c r="BC1249" s="18"/>
      <c r="BD1249" s="18"/>
      <c r="BE1249" s="18"/>
      <c r="BF1249" s="15"/>
      <c r="BG1249" s="15"/>
    </row>
    <row r="1250" spans="1:59" ht="15.75" customHeight="1">
      <c r="A1250" s="216"/>
      <c r="B1250" s="12"/>
      <c r="C1250" s="12"/>
      <c r="D1250" s="13"/>
      <c r="E1250" s="12"/>
      <c r="F1250" s="13"/>
      <c r="G1250" s="13"/>
      <c r="H1250" s="12"/>
      <c r="I1250" s="18"/>
      <c r="J1250" s="16"/>
      <c r="K1250" s="16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  <c r="AB1250" s="18"/>
      <c r="AC1250" s="18"/>
      <c r="AD1250" s="18"/>
      <c r="AE1250" s="18"/>
      <c r="AF1250" s="18"/>
      <c r="AG1250" s="16"/>
      <c r="AH1250" s="16"/>
      <c r="AI1250" s="18"/>
      <c r="AJ1250" s="18"/>
      <c r="AK1250" s="18"/>
      <c r="AL1250" s="18"/>
      <c r="AM1250" s="18"/>
      <c r="AN1250" s="18"/>
      <c r="AO1250" s="18"/>
      <c r="AP1250" s="18"/>
      <c r="AQ1250" s="18"/>
      <c r="AR1250" s="18"/>
      <c r="AS1250" s="18"/>
      <c r="AT1250" s="216"/>
      <c r="AU1250" s="18"/>
      <c r="AV1250" s="18"/>
      <c r="AW1250" s="18"/>
      <c r="AX1250" s="18"/>
      <c r="AY1250" s="18"/>
      <c r="AZ1250" s="18"/>
      <c r="BA1250" s="18"/>
      <c r="BB1250" s="18"/>
      <c r="BC1250" s="18"/>
      <c r="BD1250" s="18"/>
      <c r="BE1250" s="18"/>
      <c r="BF1250" s="15"/>
      <c r="BG1250" s="15"/>
    </row>
    <row r="1251" spans="1:59" ht="15.75" customHeight="1">
      <c r="A1251" s="216"/>
      <c r="B1251" s="12"/>
      <c r="C1251" s="12"/>
      <c r="D1251" s="13"/>
      <c r="E1251" s="12"/>
      <c r="F1251" s="13"/>
      <c r="G1251" s="13"/>
      <c r="H1251" s="12"/>
      <c r="I1251" s="18"/>
      <c r="J1251" s="16"/>
      <c r="K1251" s="16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  <c r="AF1251" s="18"/>
      <c r="AG1251" s="16"/>
      <c r="AH1251" s="16"/>
      <c r="AI1251" s="18"/>
      <c r="AJ1251" s="18"/>
      <c r="AK1251" s="18"/>
      <c r="AL1251" s="18"/>
      <c r="AM1251" s="18"/>
      <c r="AN1251" s="18"/>
      <c r="AO1251" s="18"/>
      <c r="AP1251" s="18"/>
      <c r="AQ1251" s="18"/>
      <c r="AR1251" s="18"/>
      <c r="AS1251" s="18"/>
      <c r="AT1251" s="216"/>
      <c r="AU1251" s="18"/>
      <c r="AV1251" s="18"/>
      <c r="AW1251" s="18"/>
      <c r="AX1251" s="18"/>
      <c r="AY1251" s="18"/>
      <c r="AZ1251" s="18"/>
      <c r="BA1251" s="18"/>
      <c r="BB1251" s="18"/>
      <c r="BC1251" s="18"/>
      <c r="BD1251" s="18"/>
      <c r="BE1251" s="18"/>
      <c r="BF1251" s="15"/>
      <c r="BG1251" s="15"/>
    </row>
    <row r="1252" spans="1:59" ht="15.75" customHeight="1">
      <c r="A1252" s="216"/>
      <c r="B1252" s="12"/>
      <c r="C1252" s="12"/>
      <c r="D1252" s="13"/>
      <c r="E1252" s="12"/>
      <c r="F1252" s="13"/>
      <c r="G1252" s="13"/>
      <c r="H1252" s="12"/>
      <c r="I1252" s="18"/>
      <c r="J1252" s="16"/>
      <c r="K1252" s="16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18"/>
      <c r="AF1252" s="18"/>
      <c r="AG1252" s="16"/>
      <c r="AH1252" s="16"/>
      <c r="AI1252" s="18"/>
      <c r="AJ1252" s="18"/>
      <c r="AK1252" s="18"/>
      <c r="AL1252" s="18"/>
      <c r="AM1252" s="18"/>
      <c r="AN1252" s="18"/>
      <c r="AO1252" s="18"/>
      <c r="AP1252" s="18"/>
      <c r="AQ1252" s="18"/>
      <c r="AR1252" s="18"/>
      <c r="AS1252" s="18"/>
      <c r="AT1252" s="216"/>
      <c r="AU1252" s="18"/>
      <c r="AV1252" s="18"/>
      <c r="AW1252" s="18"/>
      <c r="AX1252" s="18"/>
      <c r="AY1252" s="18"/>
      <c r="AZ1252" s="18"/>
      <c r="BA1252" s="18"/>
      <c r="BB1252" s="18"/>
      <c r="BC1252" s="18"/>
      <c r="BD1252" s="18"/>
      <c r="BE1252" s="18"/>
      <c r="BF1252" s="15"/>
      <c r="BG1252" s="15"/>
    </row>
    <row r="1253" spans="1:59" ht="15.75" customHeight="1">
      <c r="A1253" s="216"/>
      <c r="B1253" s="12"/>
      <c r="C1253" s="12"/>
      <c r="D1253" s="13"/>
      <c r="E1253" s="12"/>
      <c r="F1253" s="13"/>
      <c r="G1253" s="13"/>
      <c r="H1253" s="12"/>
      <c r="I1253" s="18"/>
      <c r="J1253" s="16"/>
      <c r="K1253" s="16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  <c r="AF1253" s="18"/>
      <c r="AG1253" s="16"/>
      <c r="AH1253" s="16"/>
      <c r="AI1253" s="18"/>
      <c r="AJ1253" s="18"/>
      <c r="AK1253" s="18"/>
      <c r="AL1253" s="18"/>
      <c r="AM1253" s="18"/>
      <c r="AN1253" s="18"/>
      <c r="AO1253" s="18"/>
      <c r="AP1253" s="18"/>
      <c r="AQ1253" s="18"/>
      <c r="AR1253" s="18"/>
      <c r="AS1253" s="18"/>
      <c r="AT1253" s="216"/>
      <c r="AU1253" s="18"/>
      <c r="AV1253" s="18"/>
      <c r="AW1253" s="18"/>
      <c r="AX1253" s="18"/>
      <c r="AY1253" s="18"/>
      <c r="AZ1253" s="18"/>
      <c r="BA1253" s="18"/>
      <c r="BB1253" s="18"/>
      <c r="BC1253" s="18"/>
      <c r="BD1253" s="18"/>
      <c r="BE1253" s="18"/>
      <c r="BF1253" s="15"/>
      <c r="BG1253" s="15"/>
    </row>
    <row r="1254" spans="1:59" ht="15.75" customHeight="1">
      <c r="A1254" s="216"/>
      <c r="B1254" s="12"/>
      <c r="C1254" s="12"/>
      <c r="D1254" s="13"/>
      <c r="E1254" s="12"/>
      <c r="F1254" s="13"/>
      <c r="G1254" s="13"/>
      <c r="H1254" s="12"/>
      <c r="I1254" s="18"/>
      <c r="J1254" s="16"/>
      <c r="K1254" s="16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  <c r="AA1254" s="18"/>
      <c r="AB1254" s="18"/>
      <c r="AC1254" s="18"/>
      <c r="AD1254" s="18"/>
      <c r="AE1254" s="18"/>
      <c r="AF1254" s="18"/>
      <c r="AG1254" s="16"/>
      <c r="AH1254" s="16"/>
      <c r="AI1254" s="18"/>
      <c r="AJ1254" s="18"/>
      <c r="AK1254" s="18"/>
      <c r="AL1254" s="18"/>
      <c r="AM1254" s="18"/>
      <c r="AN1254" s="18"/>
      <c r="AO1254" s="18"/>
      <c r="AP1254" s="18"/>
      <c r="AQ1254" s="18"/>
      <c r="AR1254" s="18"/>
      <c r="AS1254" s="18"/>
      <c r="AT1254" s="216"/>
      <c r="AU1254" s="18"/>
      <c r="AV1254" s="18"/>
      <c r="AW1254" s="18"/>
      <c r="AX1254" s="18"/>
      <c r="AY1254" s="18"/>
      <c r="AZ1254" s="18"/>
      <c r="BA1254" s="18"/>
      <c r="BB1254" s="18"/>
      <c r="BC1254" s="18"/>
      <c r="BD1254" s="18"/>
      <c r="BE1254" s="18"/>
      <c r="BF1254" s="15"/>
      <c r="BG1254" s="15"/>
    </row>
    <row r="1255" spans="1:59" ht="15.75" customHeight="1">
      <c r="A1255" s="216"/>
      <c r="B1255" s="12"/>
      <c r="C1255" s="12"/>
      <c r="D1255" s="13"/>
      <c r="E1255" s="12"/>
      <c r="F1255" s="13"/>
      <c r="G1255" s="13"/>
      <c r="H1255" s="12"/>
      <c r="I1255" s="18"/>
      <c r="J1255" s="16"/>
      <c r="K1255" s="16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  <c r="AF1255" s="18"/>
      <c r="AG1255" s="16"/>
      <c r="AH1255" s="16"/>
      <c r="AI1255" s="18"/>
      <c r="AJ1255" s="18"/>
      <c r="AK1255" s="18"/>
      <c r="AL1255" s="18"/>
      <c r="AM1255" s="18"/>
      <c r="AN1255" s="18"/>
      <c r="AO1255" s="18"/>
      <c r="AP1255" s="18"/>
      <c r="AQ1255" s="18"/>
      <c r="AR1255" s="18"/>
      <c r="AS1255" s="18"/>
      <c r="AT1255" s="216"/>
      <c r="AU1255" s="18"/>
      <c r="AV1255" s="18"/>
      <c r="AW1255" s="18"/>
      <c r="AX1255" s="18"/>
      <c r="AY1255" s="18"/>
      <c r="AZ1255" s="18"/>
      <c r="BA1255" s="18"/>
      <c r="BB1255" s="18"/>
      <c r="BC1255" s="18"/>
      <c r="BD1255" s="18"/>
      <c r="BE1255" s="18"/>
      <c r="BF1255" s="15"/>
      <c r="BG1255" s="15"/>
    </row>
    <row r="1256" spans="1:59" ht="15.75" customHeight="1">
      <c r="A1256" s="216"/>
      <c r="B1256" s="12"/>
      <c r="C1256" s="12"/>
      <c r="D1256" s="13"/>
      <c r="E1256" s="12"/>
      <c r="F1256" s="13"/>
      <c r="G1256" s="13"/>
      <c r="H1256" s="12"/>
      <c r="I1256" s="18"/>
      <c r="J1256" s="16"/>
      <c r="K1256" s="16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  <c r="AC1256" s="18"/>
      <c r="AD1256" s="18"/>
      <c r="AE1256" s="18"/>
      <c r="AF1256" s="18"/>
      <c r="AG1256" s="16"/>
      <c r="AH1256" s="16"/>
      <c r="AI1256" s="18"/>
      <c r="AJ1256" s="18"/>
      <c r="AK1256" s="18"/>
      <c r="AL1256" s="18"/>
      <c r="AM1256" s="18"/>
      <c r="AN1256" s="18"/>
      <c r="AO1256" s="18"/>
      <c r="AP1256" s="18"/>
      <c r="AQ1256" s="18"/>
      <c r="AR1256" s="18"/>
      <c r="AS1256" s="18"/>
      <c r="AT1256" s="216"/>
      <c r="AU1256" s="18"/>
      <c r="AV1256" s="18"/>
      <c r="AW1256" s="18"/>
      <c r="AX1256" s="18"/>
      <c r="AY1256" s="18"/>
      <c r="AZ1256" s="18"/>
      <c r="BA1256" s="18"/>
      <c r="BB1256" s="18"/>
      <c r="BC1256" s="18"/>
      <c r="BD1256" s="18"/>
      <c r="BE1256" s="18"/>
      <c r="BF1256" s="15"/>
      <c r="BG1256" s="15"/>
    </row>
    <row r="1257" spans="1:59" ht="15.75" customHeight="1">
      <c r="A1257" s="216"/>
      <c r="B1257" s="12"/>
      <c r="C1257" s="12"/>
      <c r="D1257" s="13"/>
      <c r="E1257" s="12"/>
      <c r="F1257" s="13"/>
      <c r="G1257" s="13"/>
      <c r="H1257" s="12"/>
      <c r="I1257" s="18"/>
      <c r="J1257" s="16"/>
      <c r="K1257" s="16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18"/>
      <c r="AF1257" s="18"/>
      <c r="AG1257" s="16"/>
      <c r="AH1257" s="16"/>
      <c r="AI1257" s="18"/>
      <c r="AJ1257" s="18"/>
      <c r="AK1257" s="18"/>
      <c r="AL1257" s="18"/>
      <c r="AM1257" s="18"/>
      <c r="AN1257" s="18"/>
      <c r="AO1257" s="18"/>
      <c r="AP1257" s="18"/>
      <c r="AQ1257" s="18"/>
      <c r="AR1257" s="18"/>
      <c r="AS1257" s="18"/>
      <c r="AT1257" s="216"/>
      <c r="AU1257" s="18"/>
      <c r="AV1257" s="18"/>
      <c r="AW1257" s="18"/>
      <c r="AX1257" s="18"/>
      <c r="AY1257" s="18"/>
      <c r="AZ1257" s="18"/>
      <c r="BA1257" s="18"/>
      <c r="BB1257" s="18"/>
      <c r="BC1257" s="18"/>
      <c r="BD1257" s="18"/>
      <c r="BE1257" s="18"/>
      <c r="BF1257" s="15"/>
      <c r="BG1257" s="15"/>
    </row>
    <row r="1258" spans="1:59" ht="15.75" customHeight="1">
      <c r="A1258" s="216"/>
      <c r="B1258" s="12"/>
      <c r="C1258" s="12"/>
      <c r="D1258" s="13"/>
      <c r="E1258" s="12"/>
      <c r="F1258" s="13"/>
      <c r="G1258" s="13"/>
      <c r="H1258" s="12"/>
      <c r="I1258" s="18"/>
      <c r="J1258" s="16"/>
      <c r="K1258" s="16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  <c r="AB1258" s="18"/>
      <c r="AC1258" s="18"/>
      <c r="AD1258" s="18"/>
      <c r="AE1258" s="18"/>
      <c r="AF1258" s="18"/>
      <c r="AG1258" s="16"/>
      <c r="AH1258" s="16"/>
      <c r="AI1258" s="18"/>
      <c r="AJ1258" s="18"/>
      <c r="AK1258" s="18"/>
      <c r="AL1258" s="18"/>
      <c r="AM1258" s="18"/>
      <c r="AN1258" s="18"/>
      <c r="AO1258" s="18"/>
      <c r="AP1258" s="18"/>
      <c r="AQ1258" s="18"/>
      <c r="AR1258" s="18"/>
      <c r="AS1258" s="18"/>
      <c r="AT1258" s="216"/>
      <c r="AU1258" s="18"/>
      <c r="AV1258" s="18"/>
      <c r="AW1258" s="18"/>
      <c r="AX1258" s="18"/>
      <c r="AY1258" s="18"/>
      <c r="AZ1258" s="18"/>
      <c r="BA1258" s="18"/>
      <c r="BB1258" s="18"/>
      <c r="BC1258" s="18"/>
      <c r="BD1258" s="18"/>
      <c r="BE1258" s="18"/>
      <c r="BF1258" s="15"/>
      <c r="BG1258" s="15"/>
    </row>
    <row r="1259" spans="1:59" ht="15.75" customHeight="1">
      <c r="A1259" s="216"/>
      <c r="B1259" s="12"/>
      <c r="C1259" s="12"/>
      <c r="D1259" s="13"/>
      <c r="E1259" s="12"/>
      <c r="F1259" s="13"/>
      <c r="G1259" s="13"/>
      <c r="H1259" s="12"/>
      <c r="I1259" s="18"/>
      <c r="J1259" s="16"/>
      <c r="K1259" s="16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  <c r="AA1259" s="18"/>
      <c r="AB1259" s="18"/>
      <c r="AC1259" s="18"/>
      <c r="AD1259" s="18"/>
      <c r="AE1259" s="18"/>
      <c r="AF1259" s="18"/>
      <c r="AG1259" s="16"/>
      <c r="AH1259" s="16"/>
      <c r="AI1259" s="18"/>
      <c r="AJ1259" s="18"/>
      <c r="AK1259" s="18"/>
      <c r="AL1259" s="18"/>
      <c r="AM1259" s="18"/>
      <c r="AN1259" s="18"/>
      <c r="AO1259" s="18"/>
      <c r="AP1259" s="18"/>
      <c r="AQ1259" s="18"/>
      <c r="AR1259" s="18"/>
      <c r="AS1259" s="18"/>
      <c r="AT1259" s="216"/>
      <c r="AU1259" s="18"/>
      <c r="AV1259" s="18"/>
      <c r="AW1259" s="18"/>
      <c r="AX1259" s="18"/>
      <c r="AY1259" s="18"/>
      <c r="AZ1259" s="18"/>
      <c r="BA1259" s="18"/>
      <c r="BB1259" s="18"/>
      <c r="BC1259" s="18"/>
      <c r="BD1259" s="18"/>
      <c r="BE1259" s="18"/>
      <c r="BF1259" s="15"/>
      <c r="BG1259" s="15"/>
    </row>
    <row r="1260" spans="1:59" ht="15.75" customHeight="1">
      <c r="A1260" s="216"/>
      <c r="B1260" s="12"/>
      <c r="C1260" s="12"/>
      <c r="D1260" s="13"/>
      <c r="E1260" s="12"/>
      <c r="F1260" s="13"/>
      <c r="G1260" s="13"/>
      <c r="H1260" s="12"/>
      <c r="I1260" s="18"/>
      <c r="J1260" s="16"/>
      <c r="K1260" s="16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  <c r="AB1260" s="18"/>
      <c r="AC1260" s="18"/>
      <c r="AD1260" s="18"/>
      <c r="AE1260" s="18"/>
      <c r="AF1260" s="18"/>
      <c r="AG1260" s="16"/>
      <c r="AH1260" s="16"/>
      <c r="AI1260" s="18"/>
      <c r="AJ1260" s="18"/>
      <c r="AK1260" s="18"/>
      <c r="AL1260" s="18"/>
      <c r="AM1260" s="18"/>
      <c r="AN1260" s="18"/>
      <c r="AO1260" s="18"/>
      <c r="AP1260" s="18"/>
      <c r="AQ1260" s="18"/>
      <c r="AR1260" s="18"/>
      <c r="AS1260" s="18"/>
      <c r="AT1260" s="216"/>
      <c r="AU1260" s="18"/>
      <c r="AV1260" s="18"/>
      <c r="AW1260" s="18"/>
      <c r="AX1260" s="18"/>
      <c r="AY1260" s="18"/>
      <c r="AZ1260" s="18"/>
      <c r="BA1260" s="18"/>
      <c r="BB1260" s="18"/>
      <c r="BC1260" s="18"/>
      <c r="BD1260" s="18"/>
      <c r="BE1260" s="18"/>
      <c r="BF1260" s="15"/>
      <c r="BG1260" s="15"/>
    </row>
    <row r="1261" spans="1:59" ht="15.75" customHeight="1">
      <c r="A1261" s="216"/>
      <c r="B1261" s="12"/>
      <c r="C1261" s="12"/>
      <c r="D1261" s="13"/>
      <c r="E1261" s="12"/>
      <c r="F1261" s="13"/>
      <c r="G1261" s="13"/>
      <c r="H1261" s="12"/>
      <c r="I1261" s="18"/>
      <c r="J1261" s="16"/>
      <c r="K1261" s="16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  <c r="AB1261" s="18"/>
      <c r="AC1261" s="18"/>
      <c r="AD1261" s="18"/>
      <c r="AE1261" s="18"/>
      <c r="AF1261" s="18"/>
      <c r="AG1261" s="16"/>
      <c r="AH1261" s="16"/>
      <c r="AI1261" s="18"/>
      <c r="AJ1261" s="18"/>
      <c r="AK1261" s="18"/>
      <c r="AL1261" s="18"/>
      <c r="AM1261" s="18"/>
      <c r="AN1261" s="18"/>
      <c r="AO1261" s="18"/>
      <c r="AP1261" s="18"/>
      <c r="AQ1261" s="18"/>
      <c r="AR1261" s="18"/>
      <c r="AS1261" s="18"/>
      <c r="AT1261" s="216"/>
      <c r="AU1261" s="18"/>
      <c r="AV1261" s="18"/>
      <c r="AW1261" s="18"/>
      <c r="AX1261" s="18"/>
      <c r="AY1261" s="18"/>
      <c r="AZ1261" s="18"/>
      <c r="BA1261" s="18"/>
      <c r="BB1261" s="18"/>
      <c r="BC1261" s="18"/>
      <c r="BD1261" s="18"/>
      <c r="BE1261" s="18"/>
      <c r="BF1261" s="15"/>
      <c r="BG1261" s="15"/>
    </row>
    <row r="1262" spans="1:59" ht="15.75" customHeight="1">
      <c r="A1262" s="216"/>
      <c r="B1262" s="12"/>
      <c r="C1262" s="12"/>
      <c r="D1262" s="13"/>
      <c r="E1262" s="12"/>
      <c r="F1262" s="13"/>
      <c r="G1262" s="13"/>
      <c r="H1262" s="12"/>
      <c r="I1262" s="18"/>
      <c r="J1262" s="16"/>
      <c r="K1262" s="16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  <c r="AA1262" s="18"/>
      <c r="AB1262" s="18"/>
      <c r="AC1262" s="18"/>
      <c r="AD1262" s="18"/>
      <c r="AE1262" s="18"/>
      <c r="AF1262" s="18"/>
      <c r="AG1262" s="16"/>
      <c r="AH1262" s="16"/>
      <c r="AI1262" s="18"/>
      <c r="AJ1262" s="18"/>
      <c r="AK1262" s="18"/>
      <c r="AL1262" s="18"/>
      <c r="AM1262" s="18"/>
      <c r="AN1262" s="18"/>
      <c r="AO1262" s="18"/>
      <c r="AP1262" s="18"/>
      <c r="AQ1262" s="18"/>
      <c r="AR1262" s="18"/>
      <c r="AS1262" s="18"/>
      <c r="AT1262" s="216"/>
      <c r="AU1262" s="18"/>
      <c r="AV1262" s="18"/>
      <c r="AW1262" s="18"/>
      <c r="AX1262" s="18"/>
      <c r="AY1262" s="18"/>
      <c r="AZ1262" s="18"/>
      <c r="BA1262" s="18"/>
      <c r="BB1262" s="18"/>
      <c r="BC1262" s="18"/>
      <c r="BD1262" s="18"/>
      <c r="BE1262" s="18"/>
      <c r="BF1262" s="15"/>
      <c r="BG1262" s="15"/>
    </row>
    <row r="1263" spans="1:59" ht="15.75" customHeight="1">
      <c r="A1263" s="216"/>
      <c r="B1263" s="12"/>
      <c r="C1263" s="12"/>
      <c r="D1263" s="13"/>
      <c r="E1263" s="12"/>
      <c r="F1263" s="13"/>
      <c r="G1263" s="13"/>
      <c r="H1263" s="12"/>
      <c r="I1263" s="18"/>
      <c r="J1263" s="16"/>
      <c r="K1263" s="16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  <c r="AB1263" s="18"/>
      <c r="AC1263" s="18"/>
      <c r="AD1263" s="18"/>
      <c r="AE1263" s="18"/>
      <c r="AF1263" s="18"/>
      <c r="AG1263" s="16"/>
      <c r="AH1263" s="16"/>
      <c r="AI1263" s="18"/>
      <c r="AJ1263" s="18"/>
      <c r="AK1263" s="18"/>
      <c r="AL1263" s="18"/>
      <c r="AM1263" s="18"/>
      <c r="AN1263" s="18"/>
      <c r="AO1263" s="18"/>
      <c r="AP1263" s="18"/>
      <c r="AQ1263" s="18"/>
      <c r="AR1263" s="18"/>
      <c r="AS1263" s="18"/>
      <c r="AT1263" s="216"/>
      <c r="AU1263" s="18"/>
      <c r="AV1263" s="18"/>
      <c r="AW1263" s="18"/>
      <c r="AX1263" s="18"/>
      <c r="AY1263" s="18"/>
      <c r="AZ1263" s="18"/>
      <c r="BA1263" s="18"/>
      <c r="BB1263" s="18"/>
      <c r="BC1263" s="18"/>
      <c r="BD1263" s="18"/>
      <c r="BE1263" s="18"/>
      <c r="BF1263" s="15"/>
      <c r="BG1263" s="15"/>
    </row>
    <row r="1264" spans="1:59" ht="15.75" customHeight="1">
      <c r="A1264" s="216"/>
      <c r="B1264" s="12"/>
      <c r="C1264" s="12"/>
      <c r="D1264" s="13"/>
      <c r="E1264" s="12"/>
      <c r="F1264" s="13"/>
      <c r="G1264" s="13"/>
      <c r="H1264" s="12"/>
      <c r="I1264" s="18"/>
      <c r="J1264" s="16"/>
      <c r="K1264" s="16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  <c r="AA1264" s="18"/>
      <c r="AB1264" s="18"/>
      <c r="AC1264" s="18"/>
      <c r="AD1264" s="18"/>
      <c r="AE1264" s="18"/>
      <c r="AF1264" s="18"/>
      <c r="AG1264" s="16"/>
      <c r="AH1264" s="16"/>
      <c r="AI1264" s="18"/>
      <c r="AJ1264" s="18"/>
      <c r="AK1264" s="18"/>
      <c r="AL1264" s="18"/>
      <c r="AM1264" s="18"/>
      <c r="AN1264" s="18"/>
      <c r="AO1264" s="18"/>
      <c r="AP1264" s="18"/>
      <c r="AQ1264" s="18"/>
      <c r="AR1264" s="18"/>
      <c r="AS1264" s="18"/>
      <c r="AT1264" s="216"/>
      <c r="AU1264" s="18"/>
      <c r="AV1264" s="18"/>
      <c r="AW1264" s="18"/>
      <c r="AX1264" s="18"/>
      <c r="AY1264" s="18"/>
      <c r="AZ1264" s="18"/>
      <c r="BA1264" s="18"/>
      <c r="BB1264" s="18"/>
      <c r="BC1264" s="18"/>
      <c r="BD1264" s="18"/>
      <c r="BE1264" s="18"/>
      <c r="BF1264" s="15"/>
      <c r="BG1264" s="15"/>
    </row>
    <row r="1265" spans="1:59" ht="15.75" customHeight="1">
      <c r="A1265" s="216"/>
      <c r="B1265" s="12"/>
      <c r="C1265" s="12"/>
      <c r="D1265" s="13"/>
      <c r="E1265" s="12"/>
      <c r="F1265" s="13"/>
      <c r="G1265" s="13"/>
      <c r="H1265" s="12"/>
      <c r="I1265" s="18"/>
      <c r="J1265" s="16"/>
      <c r="K1265" s="16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18"/>
      <c r="AF1265" s="18"/>
      <c r="AG1265" s="16"/>
      <c r="AH1265" s="16"/>
      <c r="AI1265" s="18"/>
      <c r="AJ1265" s="18"/>
      <c r="AK1265" s="18"/>
      <c r="AL1265" s="18"/>
      <c r="AM1265" s="18"/>
      <c r="AN1265" s="18"/>
      <c r="AO1265" s="18"/>
      <c r="AP1265" s="18"/>
      <c r="AQ1265" s="18"/>
      <c r="AR1265" s="18"/>
      <c r="AS1265" s="18"/>
      <c r="AT1265" s="216"/>
      <c r="AU1265" s="18"/>
      <c r="AV1265" s="18"/>
      <c r="AW1265" s="18"/>
      <c r="AX1265" s="18"/>
      <c r="AY1265" s="18"/>
      <c r="AZ1265" s="18"/>
      <c r="BA1265" s="18"/>
      <c r="BB1265" s="18"/>
      <c r="BC1265" s="18"/>
      <c r="BD1265" s="18"/>
      <c r="BE1265" s="18"/>
      <c r="BF1265" s="15"/>
      <c r="BG1265" s="15"/>
    </row>
    <row r="1266" spans="1:59" ht="15.75" customHeight="1">
      <c r="A1266" s="216"/>
      <c r="B1266" s="12"/>
      <c r="C1266" s="12"/>
      <c r="D1266" s="13"/>
      <c r="E1266" s="12"/>
      <c r="F1266" s="13"/>
      <c r="G1266" s="13"/>
      <c r="H1266" s="12"/>
      <c r="I1266" s="18"/>
      <c r="J1266" s="16"/>
      <c r="K1266" s="16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  <c r="AC1266" s="18"/>
      <c r="AD1266" s="18"/>
      <c r="AE1266" s="18"/>
      <c r="AF1266" s="18"/>
      <c r="AG1266" s="16"/>
      <c r="AH1266" s="16"/>
      <c r="AI1266" s="18"/>
      <c r="AJ1266" s="18"/>
      <c r="AK1266" s="18"/>
      <c r="AL1266" s="18"/>
      <c r="AM1266" s="18"/>
      <c r="AN1266" s="18"/>
      <c r="AO1266" s="18"/>
      <c r="AP1266" s="18"/>
      <c r="AQ1266" s="18"/>
      <c r="AR1266" s="18"/>
      <c r="AS1266" s="18"/>
      <c r="AT1266" s="216"/>
      <c r="AU1266" s="18"/>
      <c r="AV1266" s="18"/>
      <c r="AW1266" s="18"/>
      <c r="AX1266" s="18"/>
      <c r="AY1266" s="18"/>
      <c r="AZ1266" s="18"/>
      <c r="BA1266" s="18"/>
      <c r="BB1266" s="18"/>
      <c r="BC1266" s="18"/>
      <c r="BD1266" s="18"/>
      <c r="BE1266" s="18"/>
      <c r="BF1266" s="15"/>
      <c r="BG1266" s="15"/>
    </row>
    <row r="1267" spans="1:59" ht="15.75" customHeight="1">
      <c r="A1267" s="216"/>
      <c r="B1267" s="12"/>
      <c r="C1267" s="12"/>
      <c r="D1267" s="13"/>
      <c r="E1267" s="12"/>
      <c r="F1267" s="13"/>
      <c r="G1267" s="13"/>
      <c r="H1267" s="12"/>
      <c r="I1267" s="18"/>
      <c r="J1267" s="16"/>
      <c r="K1267" s="16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  <c r="AB1267" s="18"/>
      <c r="AC1267" s="18"/>
      <c r="AD1267" s="18"/>
      <c r="AE1267" s="18"/>
      <c r="AF1267" s="18"/>
      <c r="AG1267" s="16"/>
      <c r="AH1267" s="16"/>
      <c r="AI1267" s="18"/>
      <c r="AJ1267" s="18"/>
      <c r="AK1267" s="18"/>
      <c r="AL1267" s="18"/>
      <c r="AM1267" s="18"/>
      <c r="AN1267" s="18"/>
      <c r="AO1267" s="18"/>
      <c r="AP1267" s="18"/>
      <c r="AQ1267" s="18"/>
      <c r="AR1267" s="18"/>
      <c r="AS1267" s="18"/>
      <c r="AT1267" s="216"/>
      <c r="AU1267" s="18"/>
      <c r="AV1267" s="18"/>
      <c r="AW1267" s="18"/>
      <c r="AX1267" s="18"/>
      <c r="AY1267" s="18"/>
      <c r="AZ1267" s="18"/>
      <c r="BA1267" s="18"/>
      <c r="BB1267" s="18"/>
      <c r="BC1267" s="18"/>
      <c r="BD1267" s="18"/>
      <c r="BE1267" s="18"/>
      <c r="BF1267" s="15"/>
      <c r="BG1267" s="15"/>
    </row>
    <row r="1268" spans="1:59" ht="15.75" customHeight="1">
      <c r="A1268" s="216"/>
      <c r="B1268" s="12"/>
      <c r="C1268" s="12"/>
      <c r="D1268" s="13"/>
      <c r="E1268" s="12"/>
      <c r="F1268" s="13"/>
      <c r="G1268" s="13"/>
      <c r="H1268" s="12"/>
      <c r="I1268" s="18"/>
      <c r="J1268" s="16"/>
      <c r="K1268" s="16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  <c r="AB1268" s="18"/>
      <c r="AC1268" s="18"/>
      <c r="AD1268" s="18"/>
      <c r="AE1268" s="18"/>
      <c r="AF1268" s="18"/>
      <c r="AG1268" s="16"/>
      <c r="AH1268" s="16"/>
      <c r="AI1268" s="18"/>
      <c r="AJ1268" s="18"/>
      <c r="AK1268" s="18"/>
      <c r="AL1268" s="18"/>
      <c r="AM1268" s="18"/>
      <c r="AN1268" s="18"/>
      <c r="AO1268" s="18"/>
      <c r="AP1268" s="18"/>
      <c r="AQ1268" s="18"/>
      <c r="AR1268" s="18"/>
      <c r="AS1268" s="18"/>
      <c r="AT1268" s="216"/>
      <c r="AU1268" s="18"/>
      <c r="AV1268" s="18"/>
      <c r="AW1268" s="18"/>
      <c r="AX1268" s="18"/>
      <c r="AY1268" s="18"/>
      <c r="AZ1268" s="18"/>
      <c r="BA1268" s="18"/>
      <c r="BB1268" s="18"/>
      <c r="BC1268" s="18"/>
      <c r="BD1268" s="18"/>
      <c r="BE1268" s="18"/>
      <c r="BF1268" s="15"/>
      <c r="BG1268" s="15"/>
    </row>
    <row r="1269" spans="1:59" ht="15.75" customHeight="1">
      <c r="A1269" s="216"/>
      <c r="B1269" s="12"/>
      <c r="C1269" s="12"/>
      <c r="D1269" s="13"/>
      <c r="E1269" s="12"/>
      <c r="F1269" s="13"/>
      <c r="G1269" s="13"/>
      <c r="H1269" s="12"/>
      <c r="I1269" s="18"/>
      <c r="J1269" s="16"/>
      <c r="K1269" s="16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  <c r="AB1269" s="18"/>
      <c r="AC1269" s="18"/>
      <c r="AD1269" s="18"/>
      <c r="AE1269" s="18"/>
      <c r="AF1269" s="18"/>
      <c r="AG1269" s="16"/>
      <c r="AH1269" s="16"/>
      <c r="AI1269" s="18"/>
      <c r="AJ1269" s="18"/>
      <c r="AK1269" s="18"/>
      <c r="AL1269" s="18"/>
      <c r="AM1269" s="18"/>
      <c r="AN1269" s="18"/>
      <c r="AO1269" s="18"/>
      <c r="AP1269" s="18"/>
      <c r="AQ1269" s="18"/>
      <c r="AR1269" s="18"/>
      <c r="AS1269" s="18"/>
      <c r="AT1269" s="216"/>
      <c r="AU1269" s="18"/>
      <c r="AV1269" s="18"/>
      <c r="AW1269" s="18"/>
      <c r="AX1269" s="18"/>
      <c r="AY1269" s="18"/>
      <c r="AZ1269" s="18"/>
      <c r="BA1269" s="18"/>
      <c r="BB1269" s="18"/>
      <c r="BC1269" s="18"/>
      <c r="BD1269" s="18"/>
      <c r="BE1269" s="18"/>
      <c r="BF1269" s="15"/>
      <c r="BG1269" s="15"/>
    </row>
    <row r="1270" spans="1:59" ht="15.75" customHeight="1">
      <c r="A1270" s="216"/>
      <c r="B1270" s="12"/>
      <c r="C1270" s="12"/>
      <c r="D1270" s="13"/>
      <c r="E1270" s="12"/>
      <c r="F1270" s="13"/>
      <c r="G1270" s="13"/>
      <c r="H1270" s="12"/>
      <c r="I1270" s="18"/>
      <c r="J1270" s="16"/>
      <c r="K1270" s="16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  <c r="AC1270" s="18"/>
      <c r="AD1270" s="18"/>
      <c r="AE1270" s="18"/>
      <c r="AF1270" s="18"/>
      <c r="AG1270" s="16"/>
      <c r="AH1270" s="16"/>
      <c r="AI1270" s="18"/>
      <c r="AJ1270" s="18"/>
      <c r="AK1270" s="18"/>
      <c r="AL1270" s="18"/>
      <c r="AM1270" s="18"/>
      <c r="AN1270" s="18"/>
      <c r="AO1270" s="18"/>
      <c r="AP1270" s="18"/>
      <c r="AQ1270" s="18"/>
      <c r="AR1270" s="18"/>
      <c r="AS1270" s="18"/>
      <c r="AT1270" s="216"/>
      <c r="AU1270" s="18"/>
      <c r="AV1270" s="18"/>
      <c r="AW1270" s="18"/>
      <c r="AX1270" s="18"/>
      <c r="AY1270" s="18"/>
      <c r="AZ1270" s="18"/>
      <c r="BA1270" s="18"/>
      <c r="BB1270" s="18"/>
      <c r="BC1270" s="18"/>
      <c r="BD1270" s="18"/>
      <c r="BE1270" s="18"/>
      <c r="BF1270" s="15"/>
      <c r="BG1270" s="15"/>
    </row>
    <row r="1271" spans="1:59" ht="15.75" customHeight="1">
      <c r="A1271" s="216"/>
      <c r="B1271" s="12"/>
      <c r="C1271" s="12"/>
      <c r="D1271" s="13"/>
      <c r="E1271" s="12"/>
      <c r="F1271" s="13"/>
      <c r="G1271" s="13"/>
      <c r="H1271" s="12"/>
      <c r="I1271" s="18"/>
      <c r="J1271" s="16"/>
      <c r="K1271" s="16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  <c r="AC1271" s="18"/>
      <c r="AD1271" s="18"/>
      <c r="AE1271" s="18"/>
      <c r="AF1271" s="18"/>
      <c r="AG1271" s="16"/>
      <c r="AH1271" s="16"/>
      <c r="AI1271" s="18"/>
      <c r="AJ1271" s="18"/>
      <c r="AK1271" s="18"/>
      <c r="AL1271" s="18"/>
      <c r="AM1271" s="18"/>
      <c r="AN1271" s="18"/>
      <c r="AO1271" s="18"/>
      <c r="AP1271" s="18"/>
      <c r="AQ1271" s="18"/>
      <c r="AR1271" s="18"/>
      <c r="AS1271" s="18"/>
      <c r="AT1271" s="216"/>
      <c r="AU1271" s="18"/>
      <c r="AV1271" s="18"/>
      <c r="AW1271" s="18"/>
      <c r="AX1271" s="18"/>
      <c r="AY1271" s="18"/>
      <c r="AZ1271" s="18"/>
      <c r="BA1271" s="18"/>
      <c r="BB1271" s="18"/>
      <c r="BC1271" s="18"/>
      <c r="BD1271" s="18"/>
      <c r="BE1271" s="18"/>
      <c r="BF1271" s="15"/>
      <c r="BG1271" s="15"/>
    </row>
    <row r="1272" spans="1:59" ht="15.75" customHeight="1">
      <c r="A1272" s="216"/>
      <c r="B1272" s="12"/>
      <c r="C1272" s="12"/>
      <c r="D1272" s="13"/>
      <c r="E1272" s="12"/>
      <c r="F1272" s="13"/>
      <c r="G1272" s="13"/>
      <c r="H1272" s="12"/>
      <c r="I1272" s="18"/>
      <c r="J1272" s="16"/>
      <c r="K1272" s="16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  <c r="AC1272" s="18"/>
      <c r="AD1272" s="18"/>
      <c r="AE1272" s="18"/>
      <c r="AF1272" s="18"/>
      <c r="AG1272" s="16"/>
      <c r="AH1272" s="16"/>
      <c r="AI1272" s="18"/>
      <c r="AJ1272" s="18"/>
      <c r="AK1272" s="18"/>
      <c r="AL1272" s="18"/>
      <c r="AM1272" s="18"/>
      <c r="AN1272" s="18"/>
      <c r="AO1272" s="18"/>
      <c r="AP1272" s="18"/>
      <c r="AQ1272" s="18"/>
      <c r="AR1272" s="18"/>
      <c r="AS1272" s="18"/>
      <c r="AT1272" s="216"/>
      <c r="AU1272" s="18"/>
      <c r="AV1272" s="18"/>
      <c r="AW1272" s="18"/>
      <c r="AX1272" s="18"/>
      <c r="AY1272" s="18"/>
      <c r="AZ1272" s="18"/>
      <c r="BA1272" s="18"/>
      <c r="BB1272" s="18"/>
      <c r="BC1272" s="18"/>
      <c r="BD1272" s="18"/>
      <c r="BE1272" s="18"/>
      <c r="BF1272" s="15"/>
      <c r="BG1272" s="15"/>
    </row>
    <row r="1273" spans="1:59" ht="15.75" customHeight="1">
      <c r="A1273" s="216"/>
      <c r="B1273" s="12"/>
      <c r="C1273" s="12"/>
      <c r="D1273" s="13"/>
      <c r="E1273" s="12"/>
      <c r="F1273" s="13"/>
      <c r="G1273" s="13"/>
      <c r="H1273" s="12"/>
      <c r="I1273" s="18"/>
      <c r="J1273" s="16"/>
      <c r="K1273" s="16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  <c r="AA1273" s="18"/>
      <c r="AB1273" s="18"/>
      <c r="AC1273" s="18"/>
      <c r="AD1273" s="18"/>
      <c r="AE1273" s="18"/>
      <c r="AF1273" s="18"/>
      <c r="AG1273" s="16"/>
      <c r="AH1273" s="16"/>
      <c r="AI1273" s="18"/>
      <c r="AJ1273" s="18"/>
      <c r="AK1273" s="18"/>
      <c r="AL1273" s="18"/>
      <c r="AM1273" s="18"/>
      <c r="AN1273" s="18"/>
      <c r="AO1273" s="18"/>
      <c r="AP1273" s="18"/>
      <c r="AQ1273" s="18"/>
      <c r="AR1273" s="18"/>
      <c r="AS1273" s="18"/>
      <c r="AT1273" s="216"/>
      <c r="AU1273" s="18"/>
      <c r="AV1273" s="18"/>
      <c r="AW1273" s="18"/>
      <c r="AX1273" s="18"/>
      <c r="AY1273" s="18"/>
      <c r="AZ1273" s="18"/>
      <c r="BA1273" s="18"/>
      <c r="BB1273" s="18"/>
      <c r="BC1273" s="18"/>
      <c r="BD1273" s="18"/>
      <c r="BE1273" s="18"/>
      <c r="BF1273" s="15"/>
      <c r="BG1273" s="15"/>
    </row>
    <row r="1274" spans="1:59" ht="15.75" customHeight="1">
      <c r="A1274" s="216"/>
      <c r="B1274" s="12"/>
      <c r="C1274" s="12"/>
      <c r="D1274" s="13"/>
      <c r="E1274" s="12"/>
      <c r="F1274" s="13"/>
      <c r="G1274" s="13"/>
      <c r="H1274" s="12"/>
      <c r="I1274" s="18"/>
      <c r="J1274" s="16"/>
      <c r="K1274" s="16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  <c r="AB1274" s="18"/>
      <c r="AC1274" s="18"/>
      <c r="AD1274" s="18"/>
      <c r="AE1274" s="18"/>
      <c r="AF1274" s="18"/>
      <c r="AG1274" s="16"/>
      <c r="AH1274" s="16"/>
      <c r="AI1274" s="18"/>
      <c r="AJ1274" s="18"/>
      <c r="AK1274" s="18"/>
      <c r="AL1274" s="18"/>
      <c r="AM1274" s="18"/>
      <c r="AN1274" s="18"/>
      <c r="AO1274" s="18"/>
      <c r="AP1274" s="18"/>
      <c r="AQ1274" s="18"/>
      <c r="AR1274" s="18"/>
      <c r="AS1274" s="18"/>
      <c r="AT1274" s="216"/>
      <c r="AU1274" s="18"/>
      <c r="AV1274" s="18"/>
      <c r="AW1274" s="18"/>
      <c r="AX1274" s="18"/>
      <c r="AY1274" s="18"/>
      <c r="AZ1274" s="18"/>
      <c r="BA1274" s="18"/>
      <c r="BB1274" s="18"/>
      <c r="BC1274" s="18"/>
      <c r="BD1274" s="18"/>
      <c r="BE1274" s="18"/>
      <c r="BF1274" s="15"/>
      <c r="BG1274" s="15"/>
    </row>
    <row r="1275" spans="1:59" ht="15.75" customHeight="1">
      <c r="A1275" s="216"/>
      <c r="B1275" s="12"/>
      <c r="C1275" s="12"/>
      <c r="D1275" s="13"/>
      <c r="E1275" s="12"/>
      <c r="F1275" s="13"/>
      <c r="G1275" s="13"/>
      <c r="H1275" s="12"/>
      <c r="I1275" s="18"/>
      <c r="J1275" s="16"/>
      <c r="K1275" s="16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  <c r="AA1275" s="18"/>
      <c r="AB1275" s="18"/>
      <c r="AC1275" s="18"/>
      <c r="AD1275" s="18"/>
      <c r="AE1275" s="18"/>
      <c r="AF1275" s="18"/>
      <c r="AG1275" s="16"/>
      <c r="AH1275" s="16"/>
      <c r="AI1275" s="18"/>
      <c r="AJ1275" s="18"/>
      <c r="AK1275" s="18"/>
      <c r="AL1275" s="18"/>
      <c r="AM1275" s="18"/>
      <c r="AN1275" s="18"/>
      <c r="AO1275" s="18"/>
      <c r="AP1275" s="18"/>
      <c r="AQ1275" s="18"/>
      <c r="AR1275" s="18"/>
      <c r="AS1275" s="18"/>
      <c r="AT1275" s="216"/>
      <c r="AU1275" s="18"/>
      <c r="AV1275" s="18"/>
      <c r="AW1275" s="18"/>
      <c r="AX1275" s="18"/>
      <c r="AY1275" s="18"/>
      <c r="AZ1275" s="18"/>
      <c r="BA1275" s="18"/>
      <c r="BB1275" s="18"/>
      <c r="BC1275" s="18"/>
      <c r="BD1275" s="18"/>
      <c r="BE1275" s="18"/>
      <c r="BF1275" s="15"/>
      <c r="BG1275" s="15"/>
    </row>
    <row r="1276" spans="1:59" ht="15.75" customHeight="1">
      <c r="A1276" s="216"/>
      <c r="B1276" s="12"/>
      <c r="C1276" s="12"/>
      <c r="D1276" s="13"/>
      <c r="E1276" s="12"/>
      <c r="F1276" s="13"/>
      <c r="G1276" s="13"/>
      <c r="H1276" s="12"/>
      <c r="I1276" s="18"/>
      <c r="J1276" s="16"/>
      <c r="K1276" s="16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  <c r="AC1276" s="18"/>
      <c r="AD1276" s="18"/>
      <c r="AE1276" s="18"/>
      <c r="AF1276" s="18"/>
      <c r="AG1276" s="16"/>
      <c r="AH1276" s="16"/>
      <c r="AI1276" s="18"/>
      <c r="AJ1276" s="18"/>
      <c r="AK1276" s="18"/>
      <c r="AL1276" s="18"/>
      <c r="AM1276" s="18"/>
      <c r="AN1276" s="18"/>
      <c r="AO1276" s="18"/>
      <c r="AP1276" s="18"/>
      <c r="AQ1276" s="18"/>
      <c r="AR1276" s="18"/>
      <c r="AS1276" s="18"/>
      <c r="AT1276" s="216"/>
      <c r="AU1276" s="18"/>
      <c r="AV1276" s="18"/>
      <c r="AW1276" s="18"/>
      <c r="AX1276" s="18"/>
      <c r="AY1276" s="18"/>
      <c r="AZ1276" s="18"/>
      <c r="BA1276" s="18"/>
      <c r="BB1276" s="18"/>
      <c r="BC1276" s="18"/>
      <c r="BD1276" s="18"/>
      <c r="BE1276" s="18"/>
      <c r="BF1276" s="15"/>
      <c r="BG1276" s="15"/>
    </row>
    <row r="1277" spans="1:59" ht="15.75" customHeight="1">
      <c r="A1277" s="216"/>
      <c r="B1277" s="12"/>
      <c r="C1277" s="12"/>
      <c r="D1277" s="13"/>
      <c r="E1277" s="12"/>
      <c r="F1277" s="13"/>
      <c r="G1277" s="13"/>
      <c r="H1277" s="12"/>
      <c r="I1277" s="18"/>
      <c r="J1277" s="16"/>
      <c r="K1277" s="16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  <c r="AA1277" s="18"/>
      <c r="AB1277" s="18"/>
      <c r="AC1277" s="18"/>
      <c r="AD1277" s="18"/>
      <c r="AE1277" s="18"/>
      <c r="AF1277" s="18"/>
      <c r="AG1277" s="16"/>
      <c r="AH1277" s="16"/>
      <c r="AI1277" s="18"/>
      <c r="AJ1277" s="18"/>
      <c r="AK1277" s="18"/>
      <c r="AL1277" s="18"/>
      <c r="AM1277" s="18"/>
      <c r="AN1277" s="18"/>
      <c r="AO1277" s="18"/>
      <c r="AP1277" s="18"/>
      <c r="AQ1277" s="18"/>
      <c r="AR1277" s="18"/>
      <c r="AS1277" s="18"/>
      <c r="AT1277" s="216"/>
      <c r="AU1277" s="18"/>
      <c r="AV1277" s="18"/>
      <c r="AW1277" s="18"/>
      <c r="AX1277" s="18"/>
      <c r="AY1277" s="18"/>
      <c r="AZ1277" s="18"/>
      <c r="BA1277" s="18"/>
      <c r="BB1277" s="18"/>
      <c r="BC1277" s="18"/>
      <c r="BD1277" s="18"/>
      <c r="BE1277" s="18"/>
      <c r="BF1277" s="15"/>
      <c r="BG1277" s="15"/>
    </row>
    <row r="1278" spans="1:59" ht="15.75" customHeight="1">
      <c r="A1278" s="216"/>
      <c r="B1278" s="12"/>
      <c r="C1278" s="12"/>
      <c r="D1278" s="13"/>
      <c r="E1278" s="12"/>
      <c r="F1278" s="13"/>
      <c r="G1278" s="13"/>
      <c r="H1278" s="12"/>
      <c r="I1278" s="18"/>
      <c r="J1278" s="16"/>
      <c r="K1278" s="16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  <c r="AC1278" s="18"/>
      <c r="AD1278" s="18"/>
      <c r="AE1278" s="18"/>
      <c r="AF1278" s="18"/>
      <c r="AG1278" s="16"/>
      <c r="AH1278" s="16"/>
      <c r="AI1278" s="18"/>
      <c r="AJ1278" s="18"/>
      <c r="AK1278" s="18"/>
      <c r="AL1278" s="18"/>
      <c r="AM1278" s="18"/>
      <c r="AN1278" s="18"/>
      <c r="AO1278" s="18"/>
      <c r="AP1278" s="18"/>
      <c r="AQ1278" s="18"/>
      <c r="AR1278" s="18"/>
      <c r="AS1278" s="18"/>
      <c r="AT1278" s="216"/>
      <c r="AU1278" s="18"/>
      <c r="AV1278" s="18"/>
      <c r="AW1278" s="18"/>
      <c r="AX1278" s="18"/>
      <c r="AY1278" s="18"/>
      <c r="AZ1278" s="18"/>
      <c r="BA1278" s="18"/>
      <c r="BB1278" s="18"/>
      <c r="BC1278" s="18"/>
      <c r="BD1278" s="18"/>
      <c r="BE1278" s="18"/>
      <c r="BF1278" s="15"/>
      <c r="BG1278" s="15"/>
    </row>
    <row r="1279" spans="1:59" ht="15.75" customHeight="1">
      <c r="A1279" s="216"/>
      <c r="B1279" s="12"/>
      <c r="C1279" s="12"/>
      <c r="D1279" s="13"/>
      <c r="E1279" s="12"/>
      <c r="F1279" s="13"/>
      <c r="G1279" s="13"/>
      <c r="H1279" s="12"/>
      <c r="I1279" s="18"/>
      <c r="J1279" s="16"/>
      <c r="K1279" s="16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  <c r="AB1279" s="18"/>
      <c r="AC1279" s="18"/>
      <c r="AD1279" s="18"/>
      <c r="AE1279" s="18"/>
      <c r="AF1279" s="18"/>
      <c r="AG1279" s="16"/>
      <c r="AH1279" s="16"/>
      <c r="AI1279" s="18"/>
      <c r="AJ1279" s="18"/>
      <c r="AK1279" s="18"/>
      <c r="AL1279" s="18"/>
      <c r="AM1279" s="18"/>
      <c r="AN1279" s="18"/>
      <c r="AO1279" s="18"/>
      <c r="AP1279" s="18"/>
      <c r="AQ1279" s="18"/>
      <c r="AR1279" s="18"/>
      <c r="AS1279" s="18"/>
      <c r="AT1279" s="216"/>
      <c r="AU1279" s="18"/>
      <c r="AV1279" s="18"/>
      <c r="AW1279" s="18"/>
      <c r="AX1279" s="18"/>
      <c r="AY1279" s="18"/>
      <c r="AZ1279" s="18"/>
      <c r="BA1279" s="18"/>
      <c r="BB1279" s="18"/>
      <c r="BC1279" s="18"/>
      <c r="BD1279" s="18"/>
      <c r="BE1279" s="18"/>
      <c r="BF1279" s="15"/>
      <c r="BG1279" s="15"/>
    </row>
    <row r="1280" spans="1:59" ht="15.75" customHeight="1">
      <c r="A1280" s="216"/>
      <c r="B1280" s="12"/>
      <c r="C1280" s="12"/>
      <c r="D1280" s="13"/>
      <c r="E1280" s="12"/>
      <c r="F1280" s="13"/>
      <c r="G1280" s="13"/>
      <c r="H1280" s="12"/>
      <c r="I1280" s="18"/>
      <c r="J1280" s="16"/>
      <c r="K1280" s="16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  <c r="AB1280" s="18"/>
      <c r="AC1280" s="18"/>
      <c r="AD1280" s="18"/>
      <c r="AE1280" s="18"/>
      <c r="AF1280" s="18"/>
      <c r="AG1280" s="16"/>
      <c r="AH1280" s="16"/>
      <c r="AI1280" s="18"/>
      <c r="AJ1280" s="18"/>
      <c r="AK1280" s="18"/>
      <c r="AL1280" s="18"/>
      <c r="AM1280" s="18"/>
      <c r="AN1280" s="18"/>
      <c r="AO1280" s="18"/>
      <c r="AP1280" s="18"/>
      <c r="AQ1280" s="18"/>
      <c r="AR1280" s="18"/>
      <c r="AS1280" s="18"/>
      <c r="AT1280" s="216"/>
      <c r="AU1280" s="18"/>
      <c r="AV1280" s="18"/>
      <c r="AW1280" s="18"/>
      <c r="AX1280" s="18"/>
      <c r="AY1280" s="18"/>
      <c r="AZ1280" s="18"/>
      <c r="BA1280" s="18"/>
      <c r="BB1280" s="18"/>
      <c r="BC1280" s="18"/>
      <c r="BD1280" s="18"/>
      <c r="BE1280" s="18"/>
      <c r="BF1280" s="15"/>
      <c r="BG1280" s="15"/>
    </row>
    <row r="1281" spans="1:59" ht="15.75" customHeight="1">
      <c r="A1281" s="216"/>
      <c r="B1281" s="12"/>
      <c r="C1281" s="12"/>
      <c r="D1281" s="13"/>
      <c r="E1281" s="12"/>
      <c r="F1281" s="13"/>
      <c r="G1281" s="13"/>
      <c r="H1281" s="12"/>
      <c r="I1281" s="18"/>
      <c r="J1281" s="16"/>
      <c r="K1281" s="16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  <c r="AC1281" s="18"/>
      <c r="AD1281" s="18"/>
      <c r="AE1281" s="18"/>
      <c r="AF1281" s="18"/>
      <c r="AG1281" s="16"/>
      <c r="AH1281" s="16"/>
      <c r="AI1281" s="18"/>
      <c r="AJ1281" s="18"/>
      <c r="AK1281" s="18"/>
      <c r="AL1281" s="18"/>
      <c r="AM1281" s="18"/>
      <c r="AN1281" s="18"/>
      <c r="AO1281" s="18"/>
      <c r="AP1281" s="18"/>
      <c r="AQ1281" s="18"/>
      <c r="AR1281" s="18"/>
      <c r="AS1281" s="18"/>
      <c r="AT1281" s="216"/>
      <c r="AU1281" s="18"/>
      <c r="AV1281" s="18"/>
      <c r="AW1281" s="18"/>
      <c r="AX1281" s="18"/>
      <c r="AY1281" s="18"/>
      <c r="AZ1281" s="18"/>
      <c r="BA1281" s="18"/>
      <c r="BB1281" s="18"/>
      <c r="BC1281" s="18"/>
      <c r="BD1281" s="18"/>
      <c r="BE1281" s="18"/>
      <c r="BF1281" s="15"/>
      <c r="BG1281" s="15"/>
    </row>
    <row r="1282" spans="1:59" ht="15.75" customHeight="1">
      <c r="A1282" s="216"/>
      <c r="B1282" s="12"/>
      <c r="C1282" s="12"/>
      <c r="D1282" s="13"/>
      <c r="E1282" s="12"/>
      <c r="F1282" s="13"/>
      <c r="G1282" s="13"/>
      <c r="H1282" s="12"/>
      <c r="I1282" s="18"/>
      <c r="J1282" s="16"/>
      <c r="K1282" s="16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  <c r="AC1282" s="18"/>
      <c r="AD1282" s="18"/>
      <c r="AE1282" s="18"/>
      <c r="AF1282" s="18"/>
      <c r="AG1282" s="16"/>
      <c r="AH1282" s="16"/>
      <c r="AI1282" s="18"/>
      <c r="AJ1282" s="18"/>
      <c r="AK1282" s="18"/>
      <c r="AL1282" s="18"/>
      <c r="AM1282" s="18"/>
      <c r="AN1282" s="18"/>
      <c r="AO1282" s="18"/>
      <c r="AP1282" s="18"/>
      <c r="AQ1282" s="18"/>
      <c r="AR1282" s="18"/>
      <c r="AS1282" s="18"/>
      <c r="AT1282" s="216"/>
      <c r="AU1282" s="18"/>
      <c r="AV1282" s="18"/>
      <c r="AW1282" s="18"/>
      <c r="AX1282" s="18"/>
      <c r="AY1282" s="18"/>
      <c r="AZ1282" s="18"/>
      <c r="BA1282" s="18"/>
      <c r="BB1282" s="18"/>
      <c r="BC1282" s="18"/>
      <c r="BD1282" s="18"/>
      <c r="BE1282" s="18"/>
      <c r="BF1282" s="15"/>
      <c r="BG1282" s="15"/>
    </row>
    <row r="1283" spans="1:59" ht="15.75" customHeight="1">
      <c r="A1283" s="216"/>
      <c r="B1283" s="12"/>
      <c r="C1283" s="12"/>
      <c r="D1283" s="13"/>
      <c r="E1283" s="12"/>
      <c r="F1283" s="13"/>
      <c r="G1283" s="13"/>
      <c r="H1283" s="12"/>
      <c r="I1283" s="18"/>
      <c r="J1283" s="16"/>
      <c r="K1283" s="16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  <c r="AA1283" s="18"/>
      <c r="AB1283" s="18"/>
      <c r="AC1283" s="18"/>
      <c r="AD1283" s="18"/>
      <c r="AE1283" s="18"/>
      <c r="AF1283" s="18"/>
      <c r="AG1283" s="16"/>
      <c r="AH1283" s="16"/>
      <c r="AI1283" s="18"/>
      <c r="AJ1283" s="18"/>
      <c r="AK1283" s="18"/>
      <c r="AL1283" s="18"/>
      <c r="AM1283" s="18"/>
      <c r="AN1283" s="18"/>
      <c r="AO1283" s="18"/>
      <c r="AP1283" s="18"/>
      <c r="AQ1283" s="18"/>
      <c r="AR1283" s="18"/>
      <c r="AS1283" s="18"/>
      <c r="AT1283" s="216"/>
      <c r="AU1283" s="18"/>
      <c r="AV1283" s="18"/>
      <c r="AW1283" s="18"/>
      <c r="AX1283" s="18"/>
      <c r="AY1283" s="18"/>
      <c r="AZ1283" s="18"/>
      <c r="BA1283" s="18"/>
      <c r="BB1283" s="18"/>
      <c r="BC1283" s="18"/>
      <c r="BD1283" s="18"/>
      <c r="BE1283" s="18"/>
      <c r="BF1283" s="15"/>
      <c r="BG1283" s="15"/>
    </row>
    <row r="1284" spans="1:59" ht="15.75" customHeight="1">
      <c r="A1284" s="216"/>
      <c r="B1284" s="12"/>
      <c r="C1284" s="12"/>
      <c r="D1284" s="13"/>
      <c r="E1284" s="12"/>
      <c r="F1284" s="13"/>
      <c r="G1284" s="13"/>
      <c r="H1284" s="12"/>
      <c r="I1284" s="18"/>
      <c r="J1284" s="16"/>
      <c r="K1284" s="16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18"/>
      <c r="AF1284" s="18"/>
      <c r="AG1284" s="16"/>
      <c r="AH1284" s="16"/>
      <c r="AI1284" s="18"/>
      <c r="AJ1284" s="18"/>
      <c r="AK1284" s="18"/>
      <c r="AL1284" s="18"/>
      <c r="AM1284" s="18"/>
      <c r="AN1284" s="18"/>
      <c r="AO1284" s="18"/>
      <c r="AP1284" s="18"/>
      <c r="AQ1284" s="18"/>
      <c r="AR1284" s="18"/>
      <c r="AS1284" s="18"/>
      <c r="AT1284" s="216"/>
      <c r="AU1284" s="18"/>
      <c r="AV1284" s="18"/>
      <c r="AW1284" s="18"/>
      <c r="AX1284" s="18"/>
      <c r="AY1284" s="18"/>
      <c r="AZ1284" s="18"/>
      <c r="BA1284" s="18"/>
      <c r="BB1284" s="18"/>
      <c r="BC1284" s="18"/>
      <c r="BD1284" s="18"/>
      <c r="BE1284" s="18"/>
      <c r="BF1284" s="15"/>
      <c r="BG1284" s="15"/>
    </row>
    <row r="1285" spans="1:59" ht="15.75" customHeight="1">
      <c r="A1285" s="216"/>
      <c r="B1285" s="12"/>
      <c r="C1285" s="12"/>
      <c r="D1285" s="13"/>
      <c r="E1285" s="12"/>
      <c r="F1285" s="13"/>
      <c r="G1285" s="13"/>
      <c r="H1285" s="12"/>
      <c r="I1285" s="18"/>
      <c r="J1285" s="16"/>
      <c r="K1285" s="16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18"/>
      <c r="AF1285" s="18"/>
      <c r="AG1285" s="16"/>
      <c r="AH1285" s="16"/>
      <c r="AI1285" s="18"/>
      <c r="AJ1285" s="18"/>
      <c r="AK1285" s="18"/>
      <c r="AL1285" s="18"/>
      <c r="AM1285" s="18"/>
      <c r="AN1285" s="18"/>
      <c r="AO1285" s="18"/>
      <c r="AP1285" s="18"/>
      <c r="AQ1285" s="18"/>
      <c r="AR1285" s="18"/>
      <c r="AS1285" s="18"/>
      <c r="AT1285" s="216"/>
      <c r="AU1285" s="18"/>
      <c r="AV1285" s="18"/>
      <c r="AW1285" s="18"/>
      <c r="AX1285" s="18"/>
      <c r="AY1285" s="18"/>
      <c r="AZ1285" s="18"/>
      <c r="BA1285" s="18"/>
      <c r="BB1285" s="18"/>
      <c r="BC1285" s="18"/>
      <c r="BD1285" s="18"/>
      <c r="BE1285" s="18"/>
      <c r="BF1285" s="15"/>
      <c r="BG1285" s="15"/>
    </row>
    <row r="1286" spans="1:59" ht="15.75" customHeight="1">
      <c r="A1286" s="216"/>
      <c r="B1286" s="12"/>
      <c r="C1286" s="12"/>
      <c r="D1286" s="13"/>
      <c r="E1286" s="12"/>
      <c r="F1286" s="13"/>
      <c r="G1286" s="13"/>
      <c r="H1286" s="12"/>
      <c r="I1286" s="18"/>
      <c r="J1286" s="16"/>
      <c r="K1286" s="16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8"/>
      <c r="AD1286" s="18"/>
      <c r="AE1286" s="18"/>
      <c r="AF1286" s="18"/>
      <c r="AG1286" s="16"/>
      <c r="AH1286" s="16"/>
      <c r="AI1286" s="18"/>
      <c r="AJ1286" s="18"/>
      <c r="AK1286" s="18"/>
      <c r="AL1286" s="18"/>
      <c r="AM1286" s="18"/>
      <c r="AN1286" s="18"/>
      <c r="AO1286" s="18"/>
      <c r="AP1286" s="18"/>
      <c r="AQ1286" s="18"/>
      <c r="AR1286" s="18"/>
      <c r="AS1286" s="18"/>
      <c r="AT1286" s="216"/>
      <c r="AU1286" s="18"/>
      <c r="AV1286" s="18"/>
      <c r="AW1286" s="18"/>
      <c r="AX1286" s="18"/>
      <c r="AY1286" s="18"/>
      <c r="AZ1286" s="18"/>
      <c r="BA1286" s="18"/>
      <c r="BB1286" s="18"/>
      <c r="BC1286" s="18"/>
      <c r="BD1286" s="18"/>
      <c r="BE1286" s="18"/>
      <c r="BF1286" s="15"/>
      <c r="BG1286" s="15"/>
    </row>
    <row r="1287" spans="1:59" ht="15.75" customHeight="1">
      <c r="A1287" s="216"/>
      <c r="B1287" s="12"/>
      <c r="C1287" s="12"/>
      <c r="D1287" s="13"/>
      <c r="E1287" s="12"/>
      <c r="F1287" s="13"/>
      <c r="G1287" s="13"/>
      <c r="H1287" s="12"/>
      <c r="I1287" s="18"/>
      <c r="J1287" s="16"/>
      <c r="K1287" s="16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18"/>
      <c r="AF1287" s="18"/>
      <c r="AG1287" s="16"/>
      <c r="AH1287" s="16"/>
      <c r="AI1287" s="18"/>
      <c r="AJ1287" s="18"/>
      <c r="AK1287" s="18"/>
      <c r="AL1287" s="18"/>
      <c r="AM1287" s="18"/>
      <c r="AN1287" s="18"/>
      <c r="AO1287" s="18"/>
      <c r="AP1287" s="18"/>
      <c r="AQ1287" s="18"/>
      <c r="AR1287" s="18"/>
      <c r="AS1287" s="18"/>
      <c r="AT1287" s="216"/>
      <c r="AU1287" s="18"/>
      <c r="AV1287" s="18"/>
      <c r="AW1287" s="18"/>
      <c r="AX1287" s="18"/>
      <c r="AY1287" s="18"/>
      <c r="AZ1287" s="18"/>
      <c r="BA1287" s="18"/>
      <c r="BB1287" s="18"/>
      <c r="BC1287" s="18"/>
      <c r="BD1287" s="18"/>
      <c r="BE1287" s="18"/>
      <c r="BF1287" s="15"/>
      <c r="BG1287" s="15"/>
    </row>
    <row r="1288" spans="1:59" ht="15.75" customHeight="1">
      <c r="A1288" s="216"/>
      <c r="B1288" s="12"/>
      <c r="C1288" s="12"/>
      <c r="D1288" s="13"/>
      <c r="E1288" s="12"/>
      <c r="F1288" s="13"/>
      <c r="G1288" s="13"/>
      <c r="H1288" s="12"/>
      <c r="I1288" s="18"/>
      <c r="J1288" s="16"/>
      <c r="K1288" s="16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  <c r="AC1288" s="18"/>
      <c r="AD1288" s="18"/>
      <c r="AE1288" s="18"/>
      <c r="AF1288" s="18"/>
      <c r="AG1288" s="16"/>
      <c r="AH1288" s="16"/>
      <c r="AI1288" s="18"/>
      <c r="AJ1288" s="18"/>
      <c r="AK1288" s="18"/>
      <c r="AL1288" s="18"/>
      <c r="AM1288" s="18"/>
      <c r="AN1288" s="18"/>
      <c r="AO1288" s="18"/>
      <c r="AP1288" s="18"/>
      <c r="AQ1288" s="18"/>
      <c r="AR1288" s="18"/>
      <c r="AS1288" s="18"/>
      <c r="AT1288" s="216"/>
      <c r="AU1288" s="18"/>
      <c r="AV1288" s="18"/>
      <c r="AW1288" s="18"/>
      <c r="AX1288" s="18"/>
      <c r="AY1288" s="18"/>
      <c r="AZ1288" s="18"/>
      <c r="BA1288" s="18"/>
      <c r="BB1288" s="18"/>
      <c r="BC1288" s="18"/>
      <c r="BD1288" s="18"/>
      <c r="BE1288" s="18"/>
      <c r="BF1288" s="15"/>
      <c r="BG1288" s="15"/>
    </row>
    <row r="1289" spans="1:59" ht="15.75" customHeight="1">
      <c r="A1289" s="216"/>
      <c r="B1289" s="12"/>
      <c r="C1289" s="12"/>
      <c r="D1289" s="13"/>
      <c r="E1289" s="12"/>
      <c r="F1289" s="13"/>
      <c r="G1289" s="13"/>
      <c r="H1289" s="12"/>
      <c r="I1289" s="18"/>
      <c r="J1289" s="16"/>
      <c r="K1289" s="16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18"/>
      <c r="AF1289" s="18"/>
      <c r="AG1289" s="16"/>
      <c r="AH1289" s="16"/>
      <c r="AI1289" s="18"/>
      <c r="AJ1289" s="18"/>
      <c r="AK1289" s="18"/>
      <c r="AL1289" s="18"/>
      <c r="AM1289" s="18"/>
      <c r="AN1289" s="18"/>
      <c r="AO1289" s="18"/>
      <c r="AP1289" s="18"/>
      <c r="AQ1289" s="18"/>
      <c r="AR1289" s="18"/>
      <c r="AS1289" s="18"/>
      <c r="AT1289" s="216"/>
      <c r="AU1289" s="18"/>
      <c r="AV1289" s="18"/>
      <c r="AW1289" s="18"/>
      <c r="AX1289" s="18"/>
      <c r="AY1289" s="18"/>
      <c r="AZ1289" s="18"/>
      <c r="BA1289" s="18"/>
      <c r="BB1289" s="18"/>
      <c r="BC1289" s="18"/>
      <c r="BD1289" s="18"/>
      <c r="BE1289" s="18"/>
      <c r="BF1289" s="15"/>
      <c r="BG1289" s="15"/>
    </row>
    <row r="1290" spans="1:59" ht="15.75" customHeight="1">
      <c r="A1290" s="216"/>
      <c r="B1290" s="12"/>
      <c r="C1290" s="12"/>
      <c r="D1290" s="13"/>
      <c r="E1290" s="12"/>
      <c r="F1290" s="13"/>
      <c r="G1290" s="13"/>
      <c r="H1290" s="12"/>
      <c r="I1290" s="18"/>
      <c r="J1290" s="16"/>
      <c r="K1290" s="16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18"/>
      <c r="AF1290" s="18"/>
      <c r="AG1290" s="16"/>
      <c r="AH1290" s="16"/>
      <c r="AI1290" s="18"/>
      <c r="AJ1290" s="18"/>
      <c r="AK1290" s="18"/>
      <c r="AL1290" s="18"/>
      <c r="AM1290" s="18"/>
      <c r="AN1290" s="18"/>
      <c r="AO1290" s="18"/>
      <c r="AP1290" s="18"/>
      <c r="AQ1290" s="18"/>
      <c r="AR1290" s="18"/>
      <c r="AS1290" s="18"/>
      <c r="AT1290" s="216"/>
      <c r="AU1290" s="18"/>
      <c r="AV1290" s="18"/>
      <c r="AW1290" s="18"/>
      <c r="AX1290" s="18"/>
      <c r="AY1290" s="18"/>
      <c r="AZ1290" s="18"/>
      <c r="BA1290" s="18"/>
      <c r="BB1290" s="18"/>
      <c r="BC1290" s="18"/>
      <c r="BD1290" s="18"/>
      <c r="BE1290" s="18"/>
      <c r="BF1290" s="15"/>
      <c r="BG1290" s="15"/>
    </row>
    <row r="1291" spans="1:59" ht="15.75" customHeight="1">
      <c r="A1291" s="216"/>
      <c r="B1291" s="12"/>
      <c r="C1291" s="12"/>
      <c r="D1291" s="13"/>
      <c r="E1291" s="12"/>
      <c r="F1291" s="13"/>
      <c r="G1291" s="13"/>
      <c r="H1291" s="12"/>
      <c r="I1291" s="18"/>
      <c r="J1291" s="16"/>
      <c r="K1291" s="16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  <c r="AF1291" s="18"/>
      <c r="AG1291" s="16"/>
      <c r="AH1291" s="16"/>
      <c r="AI1291" s="18"/>
      <c r="AJ1291" s="18"/>
      <c r="AK1291" s="18"/>
      <c r="AL1291" s="18"/>
      <c r="AM1291" s="18"/>
      <c r="AN1291" s="18"/>
      <c r="AO1291" s="18"/>
      <c r="AP1291" s="18"/>
      <c r="AQ1291" s="18"/>
      <c r="AR1291" s="18"/>
      <c r="AS1291" s="18"/>
      <c r="AT1291" s="216"/>
      <c r="AU1291" s="18"/>
      <c r="AV1291" s="18"/>
      <c r="AW1291" s="18"/>
      <c r="AX1291" s="18"/>
      <c r="AY1291" s="18"/>
      <c r="AZ1291" s="18"/>
      <c r="BA1291" s="18"/>
      <c r="BB1291" s="18"/>
      <c r="BC1291" s="18"/>
      <c r="BD1291" s="18"/>
      <c r="BE1291" s="18"/>
      <c r="BF1291" s="15"/>
      <c r="BG1291" s="15"/>
    </row>
    <row r="1292" spans="1:59" ht="15.75" customHeight="1">
      <c r="A1292" s="216"/>
      <c r="B1292" s="12"/>
      <c r="C1292" s="12"/>
      <c r="D1292" s="13"/>
      <c r="E1292" s="12"/>
      <c r="F1292" s="13"/>
      <c r="G1292" s="13"/>
      <c r="H1292" s="12"/>
      <c r="I1292" s="18"/>
      <c r="J1292" s="16"/>
      <c r="K1292" s="16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  <c r="AC1292" s="18"/>
      <c r="AD1292" s="18"/>
      <c r="AE1292" s="18"/>
      <c r="AF1292" s="18"/>
      <c r="AG1292" s="16"/>
      <c r="AH1292" s="16"/>
      <c r="AI1292" s="18"/>
      <c r="AJ1292" s="18"/>
      <c r="AK1292" s="18"/>
      <c r="AL1292" s="18"/>
      <c r="AM1292" s="18"/>
      <c r="AN1292" s="18"/>
      <c r="AO1292" s="18"/>
      <c r="AP1292" s="18"/>
      <c r="AQ1292" s="18"/>
      <c r="AR1292" s="18"/>
      <c r="AS1292" s="18"/>
      <c r="AT1292" s="216"/>
      <c r="AU1292" s="18"/>
      <c r="AV1292" s="18"/>
      <c r="AW1292" s="18"/>
      <c r="AX1292" s="18"/>
      <c r="AY1292" s="18"/>
      <c r="AZ1292" s="18"/>
      <c r="BA1292" s="18"/>
      <c r="BB1292" s="18"/>
      <c r="BC1292" s="18"/>
      <c r="BD1292" s="18"/>
      <c r="BE1292" s="18"/>
      <c r="BF1292" s="15"/>
      <c r="BG1292" s="15"/>
    </row>
    <row r="1293" spans="1:59" ht="15.75" customHeight="1">
      <c r="A1293" s="216"/>
      <c r="B1293" s="12"/>
      <c r="C1293" s="12"/>
      <c r="D1293" s="13"/>
      <c r="E1293" s="12"/>
      <c r="F1293" s="13"/>
      <c r="G1293" s="13"/>
      <c r="H1293" s="12"/>
      <c r="I1293" s="18"/>
      <c r="J1293" s="16"/>
      <c r="K1293" s="16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18"/>
      <c r="AF1293" s="18"/>
      <c r="AG1293" s="16"/>
      <c r="AH1293" s="16"/>
      <c r="AI1293" s="18"/>
      <c r="AJ1293" s="18"/>
      <c r="AK1293" s="18"/>
      <c r="AL1293" s="18"/>
      <c r="AM1293" s="18"/>
      <c r="AN1293" s="18"/>
      <c r="AO1293" s="18"/>
      <c r="AP1293" s="18"/>
      <c r="AQ1293" s="18"/>
      <c r="AR1293" s="18"/>
      <c r="AS1293" s="18"/>
      <c r="AT1293" s="216"/>
      <c r="AU1293" s="18"/>
      <c r="AV1293" s="18"/>
      <c r="AW1293" s="18"/>
      <c r="AX1293" s="18"/>
      <c r="AY1293" s="18"/>
      <c r="AZ1293" s="18"/>
      <c r="BA1293" s="18"/>
      <c r="BB1293" s="18"/>
      <c r="BC1293" s="18"/>
      <c r="BD1293" s="18"/>
      <c r="BE1293" s="18"/>
      <c r="BF1293" s="15"/>
      <c r="BG1293" s="15"/>
    </row>
    <row r="1294" spans="1:59" ht="15.75" customHeight="1">
      <c r="A1294" s="216"/>
      <c r="B1294" s="12"/>
      <c r="C1294" s="12"/>
      <c r="D1294" s="13"/>
      <c r="E1294" s="12"/>
      <c r="F1294" s="13"/>
      <c r="G1294" s="13"/>
      <c r="H1294" s="12"/>
      <c r="I1294" s="18"/>
      <c r="J1294" s="16"/>
      <c r="K1294" s="16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  <c r="AC1294" s="18"/>
      <c r="AD1294" s="18"/>
      <c r="AE1294" s="18"/>
      <c r="AF1294" s="18"/>
      <c r="AG1294" s="16"/>
      <c r="AH1294" s="16"/>
      <c r="AI1294" s="18"/>
      <c r="AJ1294" s="18"/>
      <c r="AK1294" s="18"/>
      <c r="AL1294" s="18"/>
      <c r="AM1294" s="18"/>
      <c r="AN1294" s="18"/>
      <c r="AO1294" s="18"/>
      <c r="AP1294" s="18"/>
      <c r="AQ1294" s="18"/>
      <c r="AR1294" s="18"/>
      <c r="AS1294" s="18"/>
      <c r="AT1294" s="216"/>
      <c r="AU1294" s="18"/>
      <c r="AV1294" s="18"/>
      <c r="AW1294" s="18"/>
      <c r="AX1294" s="18"/>
      <c r="AY1294" s="18"/>
      <c r="AZ1294" s="18"/>
      <c r="BA1294" s="18"/>
      <c r="BB1294" s="18"/>
      <c r="BC1294" s="18"/>
      <c r="BD1294" s="18"/>
      <c r="BE1294" s="18"/>
      <c r="BF1294" s="15"/>
      <c r="BG1294" s="15"/>
    </row>
    <row r="1295" spans="1:59" ht="15.75" customHeight="1">
      <c r="A1295" s="216"/>
      <c r="B1295" s="12"/>
      <c r="C1295" s="12"/>
      <c r="D1295" s="13"/>
      <c r="E1295" s="12"/>
      <c r="F1295" s="13"/>
      <c r="G1295" s="13"/>
      <c r="H1295" s="12"/>
      <c r="I1295" s="18"/>
      <c r="J1295" s="16"/>
      <c r="K1295" s="16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  <c r="AB1295" s="18"/>
      <c r="AC1295" s="18"/>
      <c r="AD1295" s="18"/>
      <c r="AE1295" s="18"/>
      <c r="AF1295" s="18"/>
      <c r="AG1295" s="16"/>
      <c r="AH1295" s="16"/>
      <c r="AI1295" s="18"/>
      <c r="AJ1295" s="18"/>
      <c r="AK1295" s="18"/>
      <c r="AL1295" s="18"/>
      <c r="AM1295" s="18"/>
      <c r="AN1295" s="18"/>
      <c r="AO1295" s="18"/>
      <c r="AP1295" s="18"/>
      <c r="AQ1295" s="18"/>
      <c r="AR1295" s="18"/>
      <c r="AS1295" s="18"/>
      <c r="AT1295" s="216"/>
      <c r="AU1295" s="18"/>
      <c r="AV1295" s="18"/>
      <c r="AW1295" s="18"/>
      <c r="AX1295" s="18"/>
      <c r="AY1295" s="18"/>
      <c r="AZ1295" s="18"/>
      <c r="BA1295" s="18"/>
      <c r="BB1295" s="18"/>
      <c r="BC1295" s="18"/>
      <c r="BD1295" s="18"/>
      <c r="BE1295" s="18"/>
      <c r="BF1295" s="15"/>
      <c r="BG1295" s="15"/>
    </row>
    <row r="1296" spans="1:59" ht="15.75" customHeight="1">
      <c r="A1296" s="216"/>
      <c r="B1296" s="12"/>
      <c r="C1296" s="12"/>
      <c r="D1296" s="13"/>
      <c r="E1296" s="12"/>
      <c r="F1296" s="13"/>
      <c r="G1296" s="13"/>
      <c r="H1296" s="12"/>
      <c r="I1296" s="18"/>
      <c r="J1296" s="16"/>
      <c r="K1296" s="16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8"/>
      <c r="AD1296" s="18"/>
      <c r="AE1296" s="18"/>
      <c r="AF1296" s="18"/>
      <c r="AG1296" s="16"/>
      <c r="AH1296" s="16"/>
      <c r="AI1296" s="18"/>
      <c r="AJ1296" s="18"/>
      <c r="AK1296" s="18"/>
      <c r="AL1296" s="18"/>
      <c r="AM1296" s="18"/>
      <c r="AN1296" s="18"/>
      <c r="AO1296" s="18"/>
      <c r="AP1296" s="18"/>
      <c r="AQ1296" s="18"/>
      <c r="AR1296" s="18"/>
      <c r="AS1296" s="18"/>
      <c r="AT1296" s="216"/>
      <c r="AU1296" s="18"/>
      <c r="AV1296" s="18"/>
      <c r="AW1296" s="18"/>
      <c r="AX1296" s="18"/>
      <c r="AY1296" s="18"/>
      <c r="AZ1296" s="18"/>
      <c r="BA1296" s="18"/>
      <c r="BB1296" s="18"/>
      <c r="BC1296" s="18"/>
      <c r="BD1296" s="18"/>
      <c r="BE1296" s="18"/>
      <c r="BF1296" s="15"/>
      <c r="BG1296" s="15"/>
    </row>
    <row r="1297" spans="1:59" ht="15.75" customHeight="1">
      <c r="A1297" s="216"/>
      <c r="B1297" s="12"/>
      <c r="C1297" s="12"/>
      <c r="D1297" s="13"/>
      <c r="E1297" s="12"/>
      <c r="F1297" s="13"/>
      <c r="G1297" s="13"/>
      <c r="H1297" s="12"/>
      <c r="I1297" s="18"/>
      <c r="J1297" s="16"/>
      <c r="K1297" s="16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  <c r="AE1297" s="18"/>
      <c r="AF1297" s="18"/>
      <c r="AG1297" s="16"/>
      <c r="AH1297" s="16"/>
      <c r="AI1297" s="18"/>
      <c r="AJ1297" s="18"/>
      <c r="AK1297" s="18"/>
      <c r="AL1297" s="18"/>
      <c r="AM1297" s="18"/>
      <c r="AN1297" s="18"/>
      <c r="AO1297" s="18"/>
      <c r="AP1297" s="18"/>
      <c r="AQ1297" s="18"/>
      <c r="AR1297" s="18"/>
      <c r="AS1297" s="18"/>
      <c r="AT1297" s="216"/>
      <c r="AU1297" s="18"/>
      <c r="AV1297" s="18"/>
      <c r="AW1297" s="18"/>
      <c r="AX1297" s="18"/>
      <c r="AY1297" s="18"/>
      <c r="AZ1297" s="18"/>
      <c r="BA1297" s="18"/>
      <c r="BB1297" s="18"/>
      <c r="BC1297" s="18"/>
      <c r="BD1297" s="18"/>
      <c r="BE1297" s="18"/>
      <c r="BF1297" s="15"/>
      <c r="BG1297" s="15"/>
    </row>
    <row r="1298" spans="1:59" ht="15.75" customHeight="1">
      <c r="A1298" s="216"/>
      <c r="B1298" s="12"/>
      <c r="C1298" s="12"/>
      <c r="D1298" s="13"/>
      <c r="E1298" s="12"/>
      <c r="F1298" s="13"/>
      <c r="G1298" s="13"/>
      <c r="H1298" s="12"/>
      <c r="I1298" s="18"/>
      <c r="J1298" s="16"/>
      <c r="K1298" s="16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  <c r="AC1298" s="18"/>
      <c r="AD1298" s="18"/>
      <c r="AE1298" s="18"/>
      <c r="AF1298" s="18"/>
      <c r="AG1298" s="16"/>
      <c r="AH1298" s="16"/>
      <c r="AI1298" s="18"/>
      <c r="AJ1298" s="18"/>
      <c r="AK1298" s="18"/>
      <c r="AL1298" s="18"/>
      <c r="AM1298" s="18"/>
      <c r="AN1298" s="18"/>
      <c r="AO1298" s="18"/>
      <c r="AP1298" s="18"/>
      <c r="AQ1298" s="18"/>
      <c r="AR1298" s="18"/>
      <c r="AS1298" s="18"/>
      <c r="AT1298" s="216"/>
      <c r="AU1298" s="18"/>
      <c r="AV1298" s="18"/>
      <c r="AW1298" s="18"/>
      <c r="AX1298" s="18"/>
      <c r="AY1298" s="18"/>
      <c r="AZ1298" s="18"/>
      <c r="BA1298" s="18"/>
      <c r="BB1298" s="18"/>
      <c r="BC1298" s="18"/>
      <c r="BD1298" s="18"/>
      <c r="BE1298" s="18"/>
      <c r="BF1298" s="15"/>
      <c r="BG1298" s="15"/>
    </row>
    <row r="1299" spans="1:59" ht="15.75" customHeight="1">
      <c r="A1299" s="216"/>
      <c r="B1299" s="12"/>
      <c r="C1299" s="12"/>
      <c r="D1299" s="13"/>
      <c r="E1299" s="12"/>
      <c r="F1299" s="13"/>
      <c r="G1299" s="13"/>
      <c r="H1299" s="12"/>
      <c r="I1299" s="18"/>
      <c r="J1299" s="16"/>
      <c r="K1299" s="16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18"/>
      <c r="AF1299" s="18"/>
      <c r="AG1299" s="16"/>
      <c r="AH1299" s="16"/>
      <c r="AI1299" s="18"/>
      <c r="AJ1299" s="18"/>
      <c r="AK1299" s="18"/>
      <c r="AL1299" s="18"/>
      <c r="AM1299" s="18"/>
      <c r="AN1299" s="18"/>
      <c r="AO1299" s="18"/>
      <c r="AP1299" s="18"/>
      <c r="AQ1299" s="18"/>
      <c r="AR1299" s="18"/>
      <c r="AS1299" s="18"/>
      <c r="AT1299" s="216"/>
      <c r="AU1299" s="18"/>
      <c r="AV1299" s="18"/>
      <c r="AW1299" s="18"/>
      <c r="AX1299" s="18"/>
      <c r="AY1299" s="18"/>
      <c r="AZ1299" s="18"/>
      <c r="BA1299" s="18"/>
      <c r="BB1299" s="18"/>
      <c r="BC1299" s="18"/>
      <c r="BD1299" s="18"/>
      <c r="BE1299" s="18"/>
      <c r="BF1299" s="15"/>
      <c r="BG1299" s="15"/>
    </row>
    <row r="1300" spans="1:59" ht="15.75" customHeight="1">
      <c r="A1300" s="216"/>
      <c r="B1300" s="12"/>
      <c r="C1300" s="12"/>
      <c r="D1300" s="13"/>
      <c r="E1300" s="12"/>
      <c r="F1300" s="13"/>
      <c r="G1300" s="13"/>
      <c r="H1300" s="12"/>
      <c r="I1300" s="18"/>
      <c r="J1300" s="16"/>
      <c r="K1300" s="16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  <c r="AC1300" s="18"/>
      <c r="AD1300" s="18"/>
      <c r="AE1300" s="18"/>
      <c r="AF1300" s="18"/>
      <c r="AG1300" s="16"/>
      <c r="AH1300" s="16"/>
      <c r="AI1300" s="18"/>
      <c r="AJ1300" s="18"/>
      <c r="AK1300" s="18"/>
      <c r="AL1300" s="18"/>
      <c r="AM1300" s="18"/>
      <c r="AN1300" s="18"/>
      <c r="AO1300" s="18"/>
      <c r="AP1300" s="18"/>
      <c r="AQ1300" s="18"/>
      <c r="AR1300" s="18"/>
      <c r="AS1300" s="18"/>
      <c r="AT1300" s="216"/>
      <c r="AU1300" s="18"/>
      <c r="AV1300" s="18"/>
      <c r="AW1300" s="18"/>
      <c r="AX1300" s="18"/>
      <c r="AY1300" s="18"/>
      <c r="AZ1300" s="18"/>
      <c r="BA1300" s="18"/>
      <c r="BB1300" s="18"/>
      <c r="BC1300" s="18"/>
      <c r="BD1300" s="18"/>
      <c r="BE1300" s="18"/>
      <c r="BF1300" s="15"/>
      <c r="BG1300" s="15"/>
    </row>
    <row r="1301" spans="1:59" ht="15.75" customHeight="1">
      <c r="A1301" s="216"/>
      <c r="B1301" s="12"/>
      <c r="C1301" s="12"/>
      <c r="D1301" s="13"/>
      <c r="E1301" s="12"/>
      <c r="F1301" s="13"/>
      <c r="G1301" s="13"/>
      <c r="H1301" s="12"/>
      <c r="I1301" s="18"/>
      <c r="J1301" s="16"/>
      <c r="K1301" s="16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18"/>
      <c r="AF1301" s="18"/>
      <c r="AG1301" s="16"/>
      <c r="AH1301" s="16"/>
      <c r="AI1301" s="18"/>
      <c r="AJ1301" s="18"/>
      <c r="AK1301" s="18"/>
      <c r="AL1301" s="18"/>
      <c r="AM1301" s="18"/>
      <c r="AN1301" s="18"/>
      <c r="AO1301" s="18"/>
      <c r="AP1301" s="18"/>
      <c r="AQ1301" s="18"/>
      <c r="AR1301" s="18"/>
      <c r="AS1301" s="18"/>
      <c r="AT1301" s="216"/>
      <c r="AU1301" s="18"/>
      <c r="AV1301" s="18"/>
      <c r="AW1301" s="18"/>
      <c r="AX1301" s="18"/>
      <c r="AY1301" s="18"/>
      <c r="AZ1301" s="18"/>
      <c r="BA1301" s="18"/>
      <c r="BB1301" s="18"/>
      <c r="BC1301" s="18"/>
      <c r="BD1301" s="18"/>
      <c r="BE1301" s="18"/>
      <c r="BF1301" s="15"/>
      <c r="BG1301" s="15"/>
    </row>
    <row r="1302" spans="1:59" ht="15.75" customHeight="1">
      <c r="A1302" s="216"/>
      <c r="B1302" s="12"/>
      <c r="C1302" s="12"/>
      <c r="D1302" s="13"/>
      <c r="E1302" s="12"/>
      <c r="F1302" s="13"/>
      <c r="G1302" s="13"/>
      <c r="H1302" s="12"/>
      <c r="I1302" s="18"/>
      <c r="J1302" s="16"/>
      <c r="K1302" s="16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  <c r="AC1302" s="18"/>
      <c r="AD1302" s="18"/>
      <c r="AE1302" s="18"/>
      <c r="AF1302" s="18"/>
      <c r="AG1302" s="16"/>
      <c r="AH1302" s="16"/>
      <c r="AI1302" s="18"/>
      <c r="AJ1302" s="18"/>
      <c r="AK1302" s="18"/>
      <c r="AL1302" s="18"/>
      <c r="AM1302" s="18"/>
      <c r="AN1302" s="18"/>
      <c r="AO1302" s="18"/>
      <c r="AP1302" s="18"/>
      <c r="AQ1302" s="18"/>
      <c r="AR1302" s="18"/>
      <c r="AS1302" s="18"/>
      <c r="AT1302" s="216"/>
      <c r="AU1302" s="18"/>
      <c r="AV1302" s="18"/>
      <c r="AW1302" s="18"/>
      <c r="AX1302" s="18"/>
      <c r="AY1302" s="18"/>
      <c r="AZ1302" s="18"/>
      <c r="BA1302" s="18"/>
      <c r="BB1302" s="18"/>
      <c r="BC1302" s="18"/>
      <c r="BD1302" s="18"/>
      <c r="BE1302" s="18"/>
      <c r="BF1302" s="15"/>
      <c r="BG1302" s="15"/>
    </row>
    <row r="1303" spans="1:59" ht="15.75" customHeight="1">
      <c r="A1303" s="216"/>
      <c r="B1303" s="12"/>
      <c r="C1303" s="12"/>
      <c r="D1303" s="13"/>
      <c r="E1303" s="12"/>
      <c r="F1303" s="13"/>
      <c r="G1303" s="13"/>
      <c r="H1303" s="12"/>
      <c r="I1303" s="18"/>
      <c r="J1303" s="16"/>
      <c r="K1303" s="16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18"/>
      <c r="AF1303" s="18"/>
      <c r="AG1303" s="16"/>
      <c r="AH1303" s="16"/>
      <c r="AI1303" s="18"/>
      <c r="AJ1303" s="18"/>
      <c r="AK1303" s="18"/>
      <c r="AL1303" s="18"/>
      <c r="AM1303" s="18"/>
      <c r="AN1303" s="18"/>
      <c r="AO1303" s="18"/>
      <c r="AP1303" s="18"/>
      <c r="AQ1303" s="18"/>
      <c r="AR1303" s="18"/>
      <c r="AS1303" s="18"/>
      <c r="AT1303" s="216"/>
      <c r="AU1303" s="18"/>
      <c r="AV1303" s="18"/>
      <c r="AW1303" s="18"/>
      <c r="AX1303" s="18"/>
      <c r="AY1303" s="18"/>
      <c r="AZ1303" s="18"/>
      <c r="BA1303" s="18"/>
      <c r="BB1303" s="18"/>
      <c r="BC1303" s="18"/>
      <c r="BD1303" s="18"/>
      <c r="BE1303" s="18"/>
      <c r="BF1303" s="15"/>
      <c r="BG1303" s="15"/>
    </row>
    <row r="1304" spans="1:59" ht="15.75" customHeight="1">
      <c r="A1304" s="216"/>
      <c r="B1304" s="12"/>
      <c r="C1304" s="12"/>
      <c r="D1304" s="13"/>
      <c r="E1304" s="12"/>
      <c r="F1304" s="13"/>
      <c r="G1304" s="13"/>
      <c r="H1304" s="12"/>
      <c r="I1304" s="18"/>
      <c r="J1304" s="16"/>
      <c r="K1304" s="16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  <c r="AC1304" s="18"/>
      <c r="AD1304" s="18"/>
      <c r="AE1304" s="18"/>
      <c r="AF1304" s="18"/>
      <c r="AG1304" s="16"/>
      <c r="AH1304" s="16"/>
      <c r="AI1304" s="18"/>
      <c r="AJ1304" s="18"/>
      <c r="AK1304" s="18"/>
      <c r="AL1304" s="18"/>
      <c r="AM1304" s="18"/>
      <c r="AN1304" s="18"/>
      <c r="AO1304" s="18"/>
      <c r="AP1304" s="18"/>
      <c r="AQ1304" s="18"/>
      <c r="AR1304" s="18"/>
      <c r="AS1304" s="18"/>
      <c r="AT1304" s="216"/>
      <c r="AU1304" s="18"/>
      <c r="AV1304" s="18"/>
      <c r="AW1304" s="18"/>
      <c r="AX1304" s="18"/>
      <c r="AY1304" s="18"/>
      <c r="AZ1304" s="18"/>
      <c r="BA1304" s="18"/>
      <c r="BB1304" s="18"/>
      <c r="BC1304" s="18"/>
      <c r="BD1304" s="18"/>
      <c r="BE1304" s="18"/>
      <c r="BF1304" s="15"/>
      <c r="BG1304" s="15"/>
    </row>
    <row r="1305" spans="1:59" ht="15.75" customHeight="1">
      <c r="A1305" s="216"/>
      <c r="B1305" s="12"/>
      <c r="C1305" s="12"/>
      <c r="D1305" s="13"/>
      <c r="E1305" s="12"/>
      <c r="F1305" s="13"/>
      <c r="G1305" s="13"/>
      <c r="H1305" s="12"/>
      <c r="I1305" s="18"/>
      <c r="J1305" s="16"/>
      <c r="K1305" s="16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  <c r="AF1305" s="18"/>
      <c r="AG1305" s="16"/>
      <c r="AH1305" s="16"/>
      <c r="AI1305" s="18"/>
      <c r="AJ1305" s="18"/>
      <c r="AK1305" s="18"/>
      <c r="AL1305" s="18"/>
      <c r="AM1305" s="18"/>
      <c r="AN1305" s="18"/>
      <c r="AO1305" s="18"/>
      <c r="AP1305" s="18"/>
      <c r="AQ1305" s="18"/>
      <c r="AR1305" s="18"/>
      <c r="AS1305" s="18"/>
      <c r="AT1305" s="216"/>
      <c r="AU1305" s="18"/>
      <c r="AV1305" s="18"/>
      <c r="AW1305" s="18"/>
      <c r="AX1305" s="18"/>
      <c r="AY1305" s="18"/>
      <c r="AZ1305" s="18"/>
      <c r="BA1305" s="18"/>
      <c r="BB1305" s="18"/>
      <c r="BC1305" s="18"/>
      <c r="BD1305" s="18"/>
      <c r="BE1305" s="18"/>
      <c r="BF1305" s="15"/>
      <c r="BG1305" s="15"/>
    </row>
    <row r="1306" spans="1:59" ht="15.75" customHeight="1">
      <c r="A1306" s="216"/>
      <c r="B1306" s="12"/>
      <c r="C1306" s="12"/>
      <c r="D1306" s="13"/>
      <c r="E1306" s="12"/>
      <c r="F1306" s="13"/>
      <c r="G1306" s="13"/>
      <c r="H1306" s="12"/>
      <c r="I1306" s="18"/>
      <c r="J1306" s="16"/>
      <c r="K1306" s="16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  <c r="AC1306" s="18"/>
      <c r="AD1306" s="18"/>
      <c r="AE1306" s="18"/>
      <c r="AF1306" s="18"/>
      <c r="AG1306" s="16"/>
      <c r="AH1306" s="16"/>
      <c r="AI1306" s="18"/>
      <c r="AJ1306" s="18"/>
      <c r="AK1306" s="18"/>
      <c r="AL1306" s="18"/>
      <c r="AM1306" s="18"/>
      <c r="AN1306" s="18"/>
      <c r="AO1306" s="18"/>
      <c r="AP1306" s="18"/>
      <c r="AQ1306" s="18"/>
      <c r="AR1306" s="18"/>
      <c r="AS1306" s="18"/>
      <c r="AT1306" s="216"/>
      <c r="AU1306" s="18"/>
      <c r="AV1306" s="18"/>
      <c r="AW1306" s="18"/>
      <c r="AX1306" s="18"/>
      <c r="AY1306" s="18"/>
      <c r="AZ1306" s="18"/>
      <c r="BA1306" s="18"/>
      <c r="BB1306" s="18"/>
      <c r="BC1306" s="18"/>
      <c r="BD1306" s="18"/>
      <c r="BE1306" s="18"/>
      <c r="BF1306" s="15"/>
      <c r="BG1306" s="15"/>
    </row>
    <row r="1307" spans="1:59" ht="15.75" customHeight="1">
      <c r="A1307" s="216"/>
      <c r="B1307" s="12"/>
      <c r="C1307" s="12"/>
      <c r="D1307" s="13"/>
      <c r="E1307" s="12"/>
      <c r="F1307" s="13"/>
      <c r="G1307" s="13"/>
      <c r="H1307" s="12"/>
      <c r="I1307" s="18"/>
      <c r="J1307" s="16"/>
      <c r="K1307" s="16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18"/>
      <c r="AF1307" s="18"/>
      <c r="AG1307" s="16"/>
      <c r="AH1307" s="16"/>
      <c r="AI1307" s="18"/>
      <c r="AJ1307" s="18"/>
      <c r="AK1307" s="18"/>
      <c r="AL1307" s="18"/>
      <c r="AM1307" s="18"/>
      <c r="AN1307" s="18"/>
      <c r="AO1307" s="18"/>
      <c r="AP1307" s="18"/>
      <c r="AQ1307" s="18"/>
      <c r="AR1307" s="18"/>
      <c r="AS1307" s="18"/>
      <c r="AT1307" s="216"/>
      <c r="AU1307" s="18"/>
      <c r="AV1307" s="18"/>
      <c r="AW1307" s="18"/>
      <c r="AX1307" s="18"/>
      <c r="AY1307" s="18"/>
      <c r="AZ1307" s="18"/>
      <c r="BA1307" s="18"/>
      <c r="BB1307" s="18"/>
      <c r="BC1307" s="18"/>
      <c r="BD1307" s="18"/>
      <c r="BE1307" s="18"/>
      <c r="BF1307" s="15"/>
      <c r="BG1307" s="15"/>
    </row>
    <row r="1308" spans="1:59" ht="15.75" customHeight="1">
      <c r="A1308" s="216"/>
      <c r="B1308" s="12"/>
      <c r="C1308" s="12"/>
      <c r="D1308" s="13"/>
      <c r="E1308" s="12"/>
      <c r="F1308" s="13"/>
      <c r="G1308" s="13"/>
      <c r="H1308" s="12"/>
      <c r="I1308" s="18"/>
      <c r="J1308" s="16"/>
      <c r="K1308" s="16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  <c r="AB1308" s="18"/>
      <c r="AC1308" s="18"/>
      <c r="AD1308" s="18"/>
      <c r="AE1308" s="18"/>
      <c r="AF1308" s="18"/>
      <c r="AG1308" s="16"/>
      <c r="AH1308" s="16"/>
      <c r="AI1308" s="18"/>
      <c r="AJ1308" s="18"/>
      <c r="AK1308" s="18"/>
      <c r="AL1308" s="18"/>
      <c r="AM1308" s="18"/>
      <c r="AN1308" s="18"/>
      <c r="AO1308" s="18"/>
      <c r="AP1308" s="18"/>
      <c r="AQ1308" s="18"/>
      <c r="AR1308" s="18"/>
      <c r="AS1308" s="18"/>
      <c r="AT1308" s="216"/>
      <c r="AU1308" s="18"/>
      <c r="AV1308" s="18"/>
      <c r="AW1308" s="18"/>
      <c r="AX1308" s="18"/>
      <c r="AY1308" s="18"/>
      <c r="AZ1308" s="18"/>
      <c r="BA1308" s="18"/>
      <c r="BB1308" s="18"/>
      <c r="BC1308" s="18"/>
      <c r="BD1308" s="18"/>
      <c r="BE1308" s="18"/>
      <c r="BF1308" s="15"/>
      <c r="BG1308" s="15"/>
    </row>
    <row r="1309" spans="1:59" ht="15.75" customHeight="1">
      <c r="A1309" s="216"/>
      <c r="B1309" s="12"/>
      <c r="C1309" s="12"/>
      <c r="D1309" s="13"/>
      <c r="E1309" s="12"/>
      <c r="F1309" s="13"/>
      <c r="G1309" s="13"/>
      <c r="H1309" s="12"/>
      <c r="I1309" s="18"/>
      <c r="J1309" s="16"/>
      <c r="K1309" s="16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  <c r="AF1309" s="18"/>
      <c r="AG1309" s="16"/>
      <c r="AH1309" s="16"/>
      <c r="AI1309" s="18"/>
      <c r="AJ1309" s="18"/>
      <c r="AK1309" s="18"/>
      <c r="AL1309" s="18"/>
      <c r="AM1309" s="18"/>
      <c r="AN1309" s="18"/>
      <c r="AO1309" s="18"/>
      <c r="AP1309" s="18"/>
      <c r="AQ1309" s="18"/>
      <c r="AR1309" s="18"/>
      <c r="AS1309" s="18"/>
      <c r="AT1309" s="216"/>
      <c r="AU1309" s="18"/>
      <c r="AV1309" s="18"/>
      <c r="AW1309" s="18"/>
      <c r="AX1309" s="18"/>
      <c r="AY1309" s="18"/>
      <c r="AZ1309" s="18"/>
      <c r="BA1309" s="18"/>
      <c r="BB1309" s="18"/>
      <c r="BC1309" s="18"/>
      <c r="BD1309" s="18"/>
      <c r="BE1309" s="18"/>
      <c r="BF1309" s="15"/>
      <c r="BG1309" s="15"/>
    </row>
    <row r="1310" spans="1:59" ht="15.75" customHeight="1">
      <c r="A1310" s="216"/>
      <c r="B1310" s="12"/>
      <c r="C1310" s="12"/>
      <c r="D1310" s="13"/>
      <c r="E1310" s="12"/>
      <c r="F1310" s="13"/>
      <c r="G1310" s="13"/>
      <c r="H1310" s="12"/>
      <c r="I1310" s="18"/>
      <c r="J1310" s="16"/>
      <c r="K1310" s="16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  <c r="AB1310" s="18"/>
      <c r="AC1310" s="18"/>
      <c r="AD1310" s="18"/>
      <c r="AE1310" s="18"/>
      <c r="AF1310" s="18"/>
      <c r="AG1310" s="16"/>
      <c r="AH1310" s="16"/>
      <c r="AI1310" s="18"/>
      <c r="AJ1310" s="18"/>
      <c r="AK1310" s="18"/>
      <c r="AL1310" s="18"/>
      <c r="AM1310" s="18"/>
      <c r="AN1310" s="18"/>
      <c r="AO1310" s="18"/>
      <c r="AP1310" s="18"/>
      <c r="AQ1310" s="18"/>
      <c r="AR1310" s="18"/>
      <c r="AS1310" s="18"/>
      <c r="AT1310" s="216"/>
      <c r="AU1310" s="18"/>
      <c r="AV1310" s="18"/>
      <c r="AW1310" s="18"/>
      <c r="AX1310" s="18"/>
      <c r="AY1310" s="18"/>
      <c r="AZ1310" s="18"/>
      <c r="BA1310" s="18"/>
      <c r="BB1310" s="18"/>
      <c r="BC1310" s="18"/>
      <c r="BD1310" s="18"/>
      <c r="BE1310" s="18"/>
      <c r="BF1310" s="15"/>
      <c r="BG1310" s="15"/>
    </row>
    <row r="1311" spans="1:59" ht="15.75" customHeight="1">
      <c r="A1311" s="216"/>
      <c r="B1311" s="12"/>
      <c r="C1311" s="12"/>
      <c r="D1311" s="13"/>
      <c r="E1311" s="12"/>
      <c r="F1311" s="13"/>
      <c r="G1311" s="13"/>
      <c r="H1311" s="12"/>
      <c r="I1311" s="18"/>
      <c r="J1311" s="16"/>
      <c r="K1311" s="16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  <c r="AF1311" s="18"/>
      <c r="AG1311" s="16"/>
      <c r="AH1311" s="16"/>
      <c r="AI1311" s="18"/>
      <c r="AJ1311" s="18"/>
      <c r="AK1311" s="18"/>
      <c r="AL1311" s="18"/>
      <c r="AM1311" s="18"/>
      <c r="AN1311" s="18"/>
      <c r="AO1311" s="18"/>
      <c r="AP1311" s="18"/>
      <c r="AQ1311" s="18"/>
      <c r="AR1311" s="18"/>
      <c r="AS1311" s="18"/>
      <c r="AT1311" s="216"/>
      <c r="AU1311" s="18"/>
      <c r="AV1311" s="18"/>
      <c r="AW1311" s="18"/>
      <c r="AX1311" s="18"/>
      <c r="AY1311" s="18"/>
      <c r="AZ1311" s="18"/>
      <c r="BA1311" s="18"/>
      <c r="BB1311" s="18"/>
      <c r="BC1311" s="18"/>
      <c r="BD1311" s="18"/>
      <c r="BE1311" s="18"/>
      <c r="BF1311" s="15"/>
      <c r="BG1311" s="15"/>
    </row>
    <row r="1312" spans="1:59" ht="15.75" customHeight="1">
      <c r="A1312" s="216"/>
      <c r="B1312" s="12"/>
      <c r="C1312" s="12"/>
      <c r="D1312" s="13"/>
      <c r="E1312" s="12"/>
      <c r="F1312" s="13"/>
      <c r="G1312" s="13"/>
      <c r="H1312" s="12"/>
      <c r="I1312" s="18"/>
      <c r="J1312" s="16"/>
      <c r="K1312" s="16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  <c r="AB1312" s="18"/>
      <c r="AC1312" s="18"/>
      <c r="AD1312" s="18"/>
      <c r="AE1312" s="18"/>
      <c r="AF1312" s="18"/>
      <c r="AG1312" s="16"/>
      <c r="AH1312" s="16"/>
      <c r="AI1312" s="18"/>
      <c r="AJ1312" s="18"/>
      <c r="AK1312" s="18"/>
      <c r="AL1312" s="18"/>
      <c r="AM1312" s="18"/>
      <c r="AN1312" s="18"/>
      <c r="AO1312" s="18"/>
      <c r="AP1312" s="18"/>
      <c r="AQ1312" s="18"/>
      <c r="AR1312" s="18"/>
      <c r="AS1312" s="18"/>
      <c r="AT1312" s="216"/>
      <c r="AU1312" s="18"/>
      <c r="AV1312" s="18"/>
      <c r="AW1312" s="18"/>
      <c r="AX1312" s="18"/>
      <c r="AY1312" s="18"/>
      <c r="AZ1312" s="18"/>
      <c r="BA1312" s="18"/>
      <c r="BB1312" s="18"/>
      <c r="BC1312" s="18"/>
      <c r="BD1312" s="18"/>
      <c r="BE1312" s="18"/>
      <c r="BF1312" s="15"/>
      <c r="BG1312" s="15"/>
    </row>
    <row r="1313" spans="1:59" ht="15.75" customHeight="1">
      <c r="A1313" s="216"/>
      <c r="B1313" s="12"/>
      <c r="C1313" s="12"/>
      <c r="D1313" s="13"/>
      <c r="E1313" s="12"/>
      <c r="F1313" s="13"/>
      <c r="G1313" s="13"/>
      <c r="H1313" s="12"/>
      <c r="I1313" s="18"/>
      <c r="J1313" s="16"/>
      <c r="K1313" s="16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  <c r="AA1313" s="18"/>
      <c r="AB1313" s="18"/>
      <c r="AC1313" s="18"/>
      <c r="AD1313" s="18"/>
      <c r="AE1313" s="18"/>
      <c r="AF1313" s="18"/>
      <c r="AG1313" s="16"/>
      <c r="AH1313" s="16"/>
      <c r="AI1313" s="18"/>
      <c r="AJ1313" s="18"/>
      <c r="AK1313" s="18"/>
      <c r="AL1313" s="18"/>
      <c r="AM1313" s="18"/>
      <c r="AN1313" s="18"/>
      <c r="AO1313" s="18"/>
      <c r="AP1313" s="18"/>
      <c r="AQ1313" s="18"/>
      <c r="AR1313" s="18"/>
      <c r="AS1313" s="18"/>
      <c r="AT1313" s="216"/>
      <c r="AU1313" s="18"/>
      <c r="AV1313" s="18"/>
      <c r="AW1313" s="18"/>
      <c r="AX1313" s="18"/>
      <c r="AY1313" s="18"/>
      <c r="AZ1313" s="18"/>
      <c r="BA1313" s="18"/>
      <c r="BB1313" s="18"/>
      <c r="BC1313" s="18"/>
      <c r="BD1313" s="18"/>
      <c r="BE1313" s="18"/>
      <c r="BF1313" s="15"/>
      <c r="BG1313" s="15"/>
    </row>
    <row r="1314" spans="1:59" ht="15.75" customHeight="1">
      <c r="A1314" s="216"/>
      <c r="B1314" s="12"/>
      <c r="C1314" s="12"/>
      <c r="D1314" s="13"/>
      <c r="E1314" s="12"/>
      <c r="F1314" s="13"/>
      <c r="G1314" s="13"/>
      <c r="H1314" s="12"/>
      <c r="I1314" s="18"/>
      <c r="J1314" s="16"/>
      <c r="K1314" s="16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  <c r="AA1314" s="18"/>
      <c r="AB1314" s="18"/>
      <c r="AC1314" s="18"/>
      <c r="AD1314" s="18"/>
      <c r="AE1314" s="18"/>
      <c r="AF1314" s="18"/>
      <c r="AG1314" s="16"/>
      <c r="AH1314" s="16"/>
      <c r="AI1314" s="18"/>
      <c r="AJ1314" s="18"/>
      <c r="AK1314" s="18"/>
      <c r="AL1314" s="18"/>
      <c r="AM1314" s="18"/>
      <c r="AN1314" s="18"/>
      <c r="AO1314" s="18"/>
      <c r="AP1314" s="18"/>
      <c r="AQ1314" s="18"/>
      <c r="AR1314" s="18"/>
      <c r="AS1314" s="18"/>
      <c r="AT1314" s="216"/>
      <c r="AU1314" s="18"/>
      <c r="AV1314" s="18"/>
      <c r="AW1314" s="18"/>
      <c r="AX1314" s="18"/>
      <c r="AY1314" s="18"/>
      <c r="AZ1314" s="18"/>
      <c r="BA1314" s="18"/>
      <c r="BB1314" s="18"/>
      <c r="BC1314" s="18"/>
      <c r="BD1314" s="18"/>
      <c r="BE1314" s="18"/>
      <c r="BF1314" s="15"/>
      <c r="BG1314" s="15"/>
    </row>
    <row r="1315" spans="1:59" ht="15.75" customHeight="1">
      <c r="A1315" s="216"/>
      <c r="B1315" s="12"/>
      <c r="C1315" s="12"/>
      <c r="D1315" s="13"/>
      <c r="E1315" s="12"/>
      <c r="F1315" s="13"/>
      <c r="G1315" s="13"/>
      <c r="H1315" s="12"/>
      <c r="I1315" s="18"/>
      <c r="J1315" s="16"/>
      <c r="K1315" s="16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  <c r="AB1315" s="18"/>
      <c r="AC1315" s="18"/>
      <c r="AD1315" s="18"/>
      <c r="AE1315" s="18"/>
      <c r="AF1315" s="18"/>
      <c r="AG1315" s="16"/>
      <c r="AH1315" s="16"/>
      <c r="AI1315" s="18"/>
      <c r="AJ1315" s="18"/>
      <c r="AK1315" s="18"/>
      <c r="AL1315" s="18"/>
      <c r="AM1315" s="18"/>
      <c r="AN1315" s="18"/>
      <c r="AO1315" s="18"/>
      <c r="AP1315" s="18"/>
      <c r="AQ1315" s="18"/>
      <c r="AR1315" s="18"/>
      <c r="AS1315" s="18"/>
      <c r="AT1315" s="216"/>
      <c r="AU1315" s="18"/>
      <c r="AV1315" s="18"/>
      <c r="AW1315" s="18"/>
      <c r="AX1315" s="18"/>
      <c r="AY1315" s="18"/>
      <c r="AZ1315" s="18"/>
      <c r="BA1315" s="18"/>
      <c r="BB1315" s="18"/>
      <c r="BC1315" s="18"/>
      <c r="BD1315" s="18"/>
      <c r="BE1315" s="18"/>
      <c r="BF1315" s="15"/>
      <c r="BG1315" s="15"/>
    </row>
    <row r="1316" spans="1:59" ht="15.75" customHeight="1">
      <c r="A1316" s="216"/>
      <c r="B1316" s="12"/>
      <c r="C1316" s="12"/>
      <c r="D1316" s="13"/>
      <c r="E1316" s="12"/>
      <c r="F1316" s="13"/>
      <c r="G1316" s="13"/>
      <c r="H1316" s="12"/>
      <c r="I1316" s="18"/>
      <c r="J1316" s="16"/>
      <c r="K1316" s="16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  <c r="AB1316" s="18"/>
      <c r="AC1316" s="18"/>
      <c r="AD1316" s="18"/>
      <c r="AE1316" s="18"/>
      <c r="AF1316" s="18"/>
      <c r="AG1316" s="16"/>
      <c r="AH1316" s="16"/>
      <c r="AI1316" s="18"/>
      <c r="AJ1316" s="18"/>
      <c r="AK1316" s="18"/>
      <c r="AL1316" s="18"/>
      <c r="AM1316" s="18"/>
      <c r="AN1316" s="18"/>
      <c r="AO1316" s="18"/>
      <c r="AP1316" s="18"/>
      <c r="AQ1316" s="18"/>
      <c r="AR1316" s="18"/>
      <c r="AS1316" s="18"/>
      <c r="AT1316" s="216"/>
      <c r="AU1316" s="18"/>
      <c r="AV1316" s="18"/>
      <c r="AW1316" s="18"/>
      <c r="AX1316" s="18"/>
      <c r="AY1316" s="18"/>
      <c r="AZ1316" s="18"/>
      <c r="BA1316" s="18"/>
      <c r="BB1316" s="18"/>
      <c r="BC1316" s="18"/>
      <c r="BD1316" s="18"/>
      <c r="BE1316" s="18"/>
      <c r="BF1316" s="15"/>
      <c r="BG1316" s="15"/>
    </row>
    <row r="1317" spans="1:59" ht="15.75" customHeight="1">
      <c r="A1317" s="216"/>
      <c r="B1317" s="12"/>
      <c r="C1317" s="12"/>
      <c r="D1317" s="13"/>
      <c r="E1317" s="12"/>
      <c r="F1317" s="13"/>
      <c r="G1317" s="13"/>
      <c r="H1317" s="12"/>
      <c r="I1317" s="18"/>
      <c r="J1317" s="16"/>
      <c r="K1317" s="16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  <c r="AF1317" s="18"/>
      <c r="AG1317" s="16"/>
      <c r="AH1317" s="16"/>
      <c r="AI1317" s="18"/>
      <c r="AJ1317" s="18"/>
      <c r="AK1317" s="18"/>
      <c r="AL1317" s="18"/>
      <c r="AM1317" s="18"/>
      <c r="AN1317" s="18"/>
      <c r="AO1317" s="18"/>
      <c r="AP1317" s="18"/>
      <c r="AQ1317" s="18"/>
      <c r="AR1317" s="18"/>
      <c r="AS1317" s="18"/>
      <c r="AT1317" s="216"/>
      <c r="AU1317" s="18"/>
      <c r="AV1317" s="18"/>
      <c r="AW1317" s="18"/>
      <c r="AX1317" s="18"/>
      <c r="AY1317" s="18"/>
      <c r="AZ1317" s="18"/>
      <c r="BA1317" s="18"/>
      <c r="BB1317" s="18"/>
      <c r="BC1317" s="18"/>
      <c r="BD1317" s="18"/>
      <c r="BE1317" s="18"/>
      <c r="BF1317" s="15"/>
      <c r="BG1317" s="15"/>
    </row>
    <row r="1318" spans="1:59" ht="15.75" customHeight="1">
      <c r="A1318" s="216"/>
      <c r="B1318" s="12"/>
      <c r="C1318" s="12"/>
      <c r="D1318" s="13"/>
      <c r="E1318" s="12"/>
      <c r="F1318" s="13"/>
      <c r="G1318" s="13"/>
      <c r="H1318" s="12"/>
      <c r="I1318" s="18"/>
      <c r="J1318" s="16"/>
      <c r="K1318" s="16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  <c r="AA1318" s="18"/>
      <c r="AB1318" s="18"/>
      <c r="AC1318" s="18"/>
      <c r="AD1318" s="18"/>
      <c r="AE1318" s="18"/>
      <c r="AF1318" s="18"/>
      <c r="AG1318" s="16"/>
      <c r="AH1318" s="16"/>
      <c r="AI1318" s="18"/>
      <c r="AJ1318" s="18"/>
      <c r="AK1318" s="18"/>
      <c r="AL1318" s="18"/>
      <c r="AM1318" s="18"/>
      <c r="AN1318" s="18"/>
      <c r="AO1318" s="18"/>
      <c r="AP1318" s="18"/>
      <c r="AQ1318" s="18"/>
      <c r="AR1318" s="18"/>
      <c r="AS1318" s="18"/>
      <c r="AT1318" s="216"/>
      <c r="AU1318" s="18"/>
      <c r="AV1318" s="18"/>
      <c r="AW1318" s="18"/>
      <c r="AX1318" s="18"/>
      <c r="AY1318" s="18"/>
      <c r="AZ1318" s="18"/>
      <c r="BA1318" s="18"/>
      <c r="BB1318" s="18"/>
      <c r="BC1318" s="18"/>
      <c r="BD1318" s="18"/>
      <c r="BE1318" s="18"/>
      <c r="BF1318" s="15"/>
      <c r="BG1318" s="15"/>
    </row>
    <row r="1319" spans="1:59" ht="15.75" customHeight="1">
      <c r="A1319" s="216"/>
      <c r="B1319" s="12"/>
      <c r="C1319" s="12"/>
      <c r="D1319" s="13"/>
      <c r="E1319" s="12"/>
      <c r="F1319" s="13"/>
      <c r="G1319" s="13"/>
      <c r="H1319" s="12"/>
      <c r="I1319" s="18"/>
      <c r="J1319" s="16"/>
      <c r="K1319" s="16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  <c r="AA1319" s="18"/>
      <c r="AB1319" s="18"/>
      <c r="AC1319" s="18"/>
      <c r="AD1319" s="18"/>
      <c r="AE1319" s="18"/>
      <c r="AF1319" s="18"/>
      <c r="AG1319" s="16"/>
      <c r="AH1319" s="16"/>
      <c r="AI1319" s="18"/>
      <c r="AJ1319" s="18"/>
      <c r="AK1319" s="18"/>
      <c r="AL1319" s="18"/>
      <c r="AM1319" s="18"/>
      <c r="AN1319" s="18"/>
      <c r="AO1319" s="18"/>
      <c r="AP1319" s="18"/>
      <c r="AQ1319" s="18"/>
      <c r="AR1319" s="18"/>
      <c r="AS1319" s="18"/>
      <c r="AT1319" s="216"/>
      <c r="AU1319" s="18"/>
      <c r="AV1319" s="18"/>
      <c r="AW1319" s="18"/>
      <c r="AX1319" s="18"/>
      <c r="AY1319" s="18"/>
      <c r="AZ1319" s="18"/>
      <c r="BA1319" s="18"/>
      <c r="BB1319" s="18"/>
      <c r="BC1319" s="18"/>
      <c r="BD1319" s="18"/>
      <c r="BE1319" s="18"/>
      <c r="BF1319" s="15"/>
      <c r="BG1319" s="15"/>
    </row>
    <row r="1320" spans="1:59" ht="15.75" customHeight="1">
      <c r="A1320" s="216"/>
      <c r="B1320" s="12"/>
      <c r="C1320" s="12"/>
      <c r="D1320" s="13"/>
      <c r="E1320" s="12"/>
      <c r="F1320" s="13"/>
      <c r="G1320" s="13"/>
      <c r="H1320" s="12"/>
      <c r="I1320" s="18"/>
      <c r="J1320" s="16"/>
      <c r="K1320" s="16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  <c r="AC1320" s="18"/>
      <c r="AD1320" s="18"/>
      <c r="AE1320" s="18"/>
      <c r="AF1320" s="18"/>
      <c r="AG1320" s="16"/>
      <c r="AH1320" s="16"/>
      <c r="AI1320" s="18"/>
      <c r="AJ1320" s="18"/>
      <c r="AK1320" s="18"/>
      <c r="AL1320" s="18"/>
      <c r="AM1320" s="18"/>
      <c r="AN1320" s="18"/>
      <c r="AO1320" s="18"/>
      <c r="AP1320" s="18"/>
      <c r="AQ1320" s="18"/>
      <c r="AR1320" s="18"/>
      <c r="AS1320" s="18"/>
      <c r="AT1320" s="216"/>
      <c r="AU1320" s="18"/>
      <c r="AV1320" s="18"/>
      <c r="AW1320" s="18"/>
      <c r="AX1320" s="18"/>
      <c r="AY1320" s="18"/>
      <c r="AZ1320" s="18"/>
      <c r="BA1320" s="18"/>
      <c r="BB1320" s="18"/>
      <c r="BC1320" s="18"/>
      <c r="BD1320" s="18"/>
      <c r="BE1320" s="18"/>
      <c r="BF1320" s="15"/>
      <c r="BG1320" s="15"/>
    </row>
    <row r="1321" spans="1:59" ht="15.75" customHeight="1">
      <c r="A1321" s="216"/>
      <c r="B1321" s="12"/>
      <c r="C1321" s="12"/>
      <c r="D1321" s="13"/>
      <c r="E1321" s="12"/>
      <c r="F1321" s="13"/>
      <c r="G1321" s="13"/>
      <c r="H1321" s="12"/>
      <c r="I1321" s="18"/>
      <c r="J1321" s="16"/>
      <c r="K1321" s="16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18"/>
      <c r="AF1321" s="18"/>
      <c r="AG1321" s="16"/>
      <c r="AH1321" s="16"/>
      <c r="AI1321" s="18"/>
      <c r="AJ1321" s="18"/>
      <c r="AK1321" s="18"/>
      <c r="AL1321" s="18"/>
      <c r="AM1321" s="18"/>
      <c r="AN1321" s="18"/>
      <c r="AO1321" s="18"/>
      <c r="AP1321" s="18"/>
      <c r="AQ1321" s="18"/>
      <c r="AR1321" s="18"/>
      <c r="AS1321" s="18"/>
      <c r="AT1321" s="216"/>
      <c r="AU1321" s="18"/>
      <c r="AV1321" s="18"/>
      <c r="AW1321" s="18"/>
      <c r="AX1321" s="18"/>
      <c r="AY1321" s="18"/>
      <c r="AZ1321" s="18"/>
      <c r="BA1321" s="18"/>
      <c r="BB1321" s="18"/>
      <c r="BC1321" s="18"/>
      <c r="BD1321" s="18"/>
      <c r="BE1321" s="18"/>
      <c r="BF1321" s="15"/>
      <c r="BG1321" s="15"/>
    </row>
    <row r="1322" spans="1:59" ht="15.75" customHeight="1">
      <c r="A1322" s="216"/>
      <c r="B1322" s="12"/>
      <c r="C1322" s="12"/>
      <c r="D1322" s="13"/>
      <c r="E1322" s="12"/>
      <c r="F1322" s="13"/>
      <c r="G1322" s="13"/>
      <c r="H1322" s="12"/>
      <c r="I1322" s="18"/>
      <c r="J1322" s="16"/>
      <c r="K1322" s="16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  <c r="AA1322" s="18"/>
      <c r="AB1322" s="18"/>
      <c r="AC1322" s="18"/>
      <c r="AD1322" s="18"/>
      <c r="AE1322" s="18"/>
      <c r="AF1322" s="18"/>
      <c r="AG1322" s="16"/>
      <c r="AH1322" s="16"/>
      <c r="AI1322" s="18"/>
      <c r="AJ1322" s="18"/>
      <c r="AK1322" s="18"/>
      <c r="AL1322" s="18"/>
      <c r="AM1322" s="18"/>
      <c r="AN1322" s="18"/>
      <c r="AO1322" s="18"/>
      <c r="AP1322" s="18"/>
      <c r="AQ1322" s="18"/>
      <c r="AR1322" s="18"/>
      <c r="AS1322" s="18"/>
      <c r="AT1322" s="216"/>
      <c r="AU1322" s="18"/>
      <c r="AV1322" s="18"/>
      <c r="AW1322" s="18"/>
      <c r="AX1322" s="18"/>
      <c r="AY1322" s="18"/>
      <c r="AZ1322" s="18"/>
      <c r="BA1322" s="18"/>
      <c r="BB1322" s="18"/>
      <c r="BC1322" s="18"/>
      <c r="BD1322" s="18"/>
      <c r="BE1322" s="18"/>
      <c r="BF1322" s="15"/>
      <c r="BG1322" s="15"/>
    </row>
    <row r="1323" spans="1:59" ht="15.75" customHeight="1">
      <c r="A1323" s="216"/>
      <c r="B1323" s="12"/>
      <c r="C1323" s="12"/>
      <c r="D1323" s="13"/>
      <c r="E1323" s="12"/>
      <c r="F1323" s="13"/>
      <c r="G1323" s="13"/>
      <c r="H1323" s="12"/>
      <c r="I1323" s="18"/>
      <c r="J1323" s="16"/>
      <c r="K1323" s="16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  <c r="AB1323" s="18"/>
      <c r="AC1323" s="18"/>
      <c r="AD1323" s="18"/>
      <c r="AE1323" s="18"/>
      <c r="AF1323" s="18"/>
      <c r="AG1323" s="16"/>
      <c r="AH1323" s="16"/>
      <c r="AI1323" s="18"/>
      <c r="AJ1323" s="18"/>
      <c r="AK1323" s="18"/>
      <c r="AL1323" s="18"/>
      <c r="AM1323" s="18"/>
      <c r="AN1323" s="18"/>
      <c r="AO1323" s="18"/>
      <c r="AP1323" s="18"/>
      <c r="AQ1323" s="18"/>
      <c r="AR1323" s="18"/>
      <c r="AS1323" s="18"/>
      <c r="AT1323" s="216"/>
      <c r="AU1323" s="18"/>
      <c r="AV1323" s="18"/>
      <c r="AW1323" s="18"/>
      <c r="AX1323" s="18"/>
      <c r="AY1323" s="18"/>
      <c r="AZ1323" s="18"/>
      <c r="BA1323" s="18"/>
      <c r="BB1323" s="18"/>
      <c r="BC1323" s="18"/>
      <c r="BD1323" s="18"/>
      <c r="BE1323" s="18"/>
      <c r="BF1323" s="15"/>
      <c r="BG1323" s="15"/>
    </row>
    <row r="1324" spans="1:59" ht="15.75" customHeight="1">
      <c r="A1324" s="216"/>
      <c r="B1324" s="12"/>
      <c r="C1324" s="12"/>
      <c r="D1324" s="13"/>
      <c r="E1324" s="12"/>
      <c r="F1324" s="13"/>
      <c r="G1324" s="13"/>
      <c r="H1324" s="12"/>
      <c r="I1324" s="18"/>
      <c r="J1324" s="16"/>
      <c r="K1324" s="16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  <c r="AB1324" s="18"/>
      <c r="AC1324" s="18"/>
      <c r="AD1324" s="18"/>
      <c r="AE1324" s="18"/>
      <c r="AF1324" s="18"/>
      <c r="AG1324" s="16"/>
      <c r="AH1324" s="16"/>
      <c r="AI1324" s="18"/>
      <c r="AJ1324" s="18"/>
      <c r="AK1324" s="18"/>
      <c r="AL1324" s="18"/>
      <c r="AM1324" s="18"/>
      <c r="AN1324" s="18"/>
      <c r="AO1324" s="18"/>
      <c r="AP1324" s="18"/>
      <c r="AQ1324" s="18"/>
      <c r="AR1324" s="18"/>
      <c r="AS1324" s="18"/>
      <c r="AT1324" s="216"/>
      <c r="AU1324" s="18"/>
      <c r="AV1324" s="18"/>
      <c r="AW1324" s="18"/>
      <c r="AX1324" s="18"/>
      <c r="AY1324" s="18"/>
      <c r="AZ1324" s="18"/>
      <c r="BA1324" s="18"/>
      <c r="BB1324" s="18"/>
      <c r="BC1324" s="18"/>
      <c r="BD1324" s="18"/>
      <c r="BE1324" s="18"/>
      <c r="BF1324" s="15"/>
      <c r="BG1324" s="15"/>
    </row>
    <row r="1325" spans="1:59" ht="15.75" customHeight="1">
      <c r="A1325" s="216"/>
      <c r="B1325" s="12"/>
      <c r="C1325" s="12"/>
      <c r="D1325" s="13"/>
      <c r="E1325" s="12"/>
      <c r="F1325" s="13"/>
      <c r="G1325" s="13"/>
      <c r="H1325" s="12"/>
      <c r="I1325" s="18"/>
      <c r="J1325" s="16"/>
      <c r="K1325" s="16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18"/>
      <c r="AF1325" s="18"/>
      <c r="AG1325" s="16"/>
      <c r="AH1325" s="16"/>
      <c r="AI1325" s="18"/>
      <c r="AJ1325" s="18"/>
      <c r="AK1325" s="18"/>
      <c r="AL1325" s="18"/>
      <c r="AM1325" s="18"/>
      <c r="AN1325" s="18"/>
      <c r="AO1325" s="18"/>
      <c r="AP1325" s="18"/>
      <c r="AQ1325" s="18"/>
      <c r="AR1325" s="18"/>
      <c r="AS1325" s="18"/>
      <c r="AT1325" s="216"/>
      <c r="AU1325" s="18"/>
      <c r="AV1325" s="18"/>
      <c r="AW1325" s="18"/>
      <c r="AX1325" s="18"/>
      <c r="AY1325" s="18"/>
      <c r="AZ1325" s="18"/>
      <c r="BA1325" s="18"/>
      <c r="BB1325" s="18"/>
      <c r="BC1325" s="18"/>
      <c r="BD1325" s="18"/>
      <c r="BE1325" s="18"/>
      <c r="BF1325" s="15"/>
      <c r="BG1325" s="15"/>
    </row>
    <row r="1326" spans="1:59" ht="15.75" customHeight="1">
      <c r="A1326" s="216"/>
      <c r="B1326" s="12"/>
      <c r="C1326" s="12"/>
      <c r="D1326" s="13"/>
      <c r="E1326" s="12"/>
      <c r="F1326" s="13"/>
      <c r="G1326" s="13"/>
      <c r="H1326" s="12"/>
      <c r="I1326" s="18"/>
      <c r="J1326" s="16"/>
      <c r="K1326" s="16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6"/>
      <c r="AH1326" s="16"/>
      <c r="AI1326" s="18"/>
      <c r="AJ1326" s="18"/>
      <c r="AK1326" s="18"/>
      <c r="AL1326" s="18"/>
      <c r="AM1326" s="18"/>
      <c r="AN1326" s="18"/>
      <c r="AO1326" s="18"/>
      <c r="AP1326" s="18"/>
      <c r="AQ1326" s="18"/>
      <c r="AR1326" s="18"/>
      <c r="AS1326" s="18"/>
      <c r="AT1326" s="216"/>
      <c r="AU1326" s="18"/>
      <c r="AV1326" s="18"/>
      <c r="AW1326" s="18"/>
      <c r="AX1326" s="18"/>
      <c r="AY1326" s="18"/>
      <c r="AZ1326" s="18"/>
      <c r="BA1326" s="18"/>
      <c r="BB1326" s="18"/>
      <c r="BC1326" s="18"/>
      <c r="BD1326" s="18"/>
      <c r="BE1326" s="18"/>
      <c r="BF1326" s="15"/>
      <c r="BG1326" s="15"/>
    </row>
    <row r="1327" spans="1:59" ht="15.75" customHeight="1">
      <c r="A1327" s="216"/>
      <c r="B1327" s="12"/>
      <c r="C1327" s="12"/>
      <c r="D1327" s="13"/>
      <c r="E1327" s="12"/>
      <c r="F1327" s="13"/>
      <c r="G1327" s="13"/>
      <c r="H1327" s="12"/>
      <c r="I1327" s="18"/>
      <c r="J1327" s="16"/>
      <c r="K1327" s="16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  <c r="AF1327" s="18"/>
      <c r="AG1327" s="16"/>
      <c r="AH1327" s="16"/>
      <c r="AI1327" s="18"/>
      <c r="AJ1327" s="18"/>
      <c r="AK1327" s="18"/>
      <c r="AL1327" s="18"/>
      <c r="AM1327" s="18"/>
      <c r="AN1327" s="18"/>
      <c r="AO1327" s="18"/>
      <c r="AP1327" s="18"/>
      <c r="AQ1327" s="18"/>
      <c r="AR1327" s="18"/>
      <c r="AS1327" s="18"/>
      <c r="AT1327" s="216"/>
      <c r="AU1327" s="18"/>
      <c r="AV1327" s="18"/>
      <c r="AW1327" s="18"/>
      <c r="AX1327" s="18"/>
      <c r="AY1327" s="18"/>
      <c r="AZ1327" s="18"/>
      <c r="BA1327" s="18"/>
      <c r="BB1327" s="18"/>
      <c r="BC1327" s="18"/>
      <c r="BD1327" s="18"/>
      <c r="BE1327" s="18"/>
      <c r="BF1327" s="15"/>
      <c r="BG1327" s="15"/>
    </row>
    <row r="1328" spans="1:59" ht="15.75" customHeight="1">
      <c r="A1328" s="216"/>
      <c r="B1328" s="12"/>
      <c r="C1328" s="12"/>
      <c r="D1328" s="13"/>
      <c r="E1328" s="12"/>
      <c r="F1328" s="13"/>
      <c r="G1328" s="13"/>
      <c r="H1328" s="12"/>
      <c r="I1328" s="18"/>
      <c r="J1328" s="16"/>
      <c r="K1328" s="16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  <c r="AB1328" s="18"/>
      <c r="AC1328" s="18"/>
      <c r="AD1328" s="18"/>
      <c r="AE1328" s="18"/>
      <c r="AF1328" s="18"/>
      <c r="AG1328" s="16"/>
      <c r="AH1328" s="16"/>
      <c r="AI1328" s="18"/>
      <c r="AJ1328" s="18"/>
      <c r="AK1328" s="18"/>
      <c r="AL1328" s="18"/>
      <c r="AM1328" s="18"/>
      <c r="AN1328" s="18"/>
      <c r="AO1328" s="18"/>
      <c r="AP1328" s="18"/>
      <c r="AQ1328" s="18"/>
      <c r="AR1328" s="18"/>
      <c r="AS1328" s="18"/>
      <c r="AT1328" s="216"/>
      <c r="AU1328" s="18"/>
      <c r="AV1328" s="18"/>
      <c r="AW1328" s="18"/>
      <c r="AX1328" s="18"/>
      <c r="AY1328" s="18"/>
      <c r="AZ1328" s="18"/>
      <c r="BA1328" s="18"/>
      <c r="BB1328" s="18"/>
      <c r="BC1328" s="18"/>
      <c r="BD1328" s="18"/>
      <c r="BE1328" s="18"/>
      <c r="BF1328" s="15"/>
      <c r="BG1328" s="15"/>
    </row>
    <row r="1329" spans="1:59" ht="15.75" customHeight="1">
      <c r="A1329" s="216"/>
      <c r="B1329" s="12"/>
      <c r="C1329" s="12"/>
      <c r="D1329" s="13"/>
      <c r="E1329" s="12"/>
      <c r="F1329" s="13"/>
      <c r="G1329" s="13"/>
      <c r="H1329" s="12"/>
      <c r="I1329" s="18"/>
      <c r="J1329" s="16"/>
      <c r="K1329" s="16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  <c r="AF1329" s="18"/>
      <c r="AG1329" s="16"/>
      <c r="AH1329" s="16"/>
      <c r="AI1329" s="18"/>
      <c r="AJ1329" s="18"/>
      <c r="AK1329" s="18"/>
      <c r="AL1329" s="18"/>
      <c r="AM1329" s="18"/>
      <c r="AN1329" s="18"/>
      <c r="AO1329" s="18"/>
      <c r="AP1329" s="18"/>
      <c r="AQ1329" s="18"/>
      <c r="AR1329" s="18"/>
      <c r="AS1329" s="18"/>
      <c r="AT1329" s="216"/>
      <c r="AU1329" s="18"/>
      <c r="AV1329" s="18"/>
      <c r="AW1329" s="18"/>
      <c r="AX1329" s="18"/>
      <c r="AY1329" s="18"/>
      <c r="AZ1329" s="18"/>
      <c r="BA1329" s="18"/>
      <c r="BB1329" s="18"/>
      <c r="BC1329" s="18"/>
      <c r="BD1329" s="18"/>
      <c r="BE1329" s="18"/>
      <c r="BF1329" s="15"/>
      <c r="BG1329" s="15"/>
    </row>
    <row r="1330" spans="1:59" ht="15.75" customHeight="1">
      <c r="A1330" s="216"/>
      <c r="B1330" s="12"/>
      <c r="C1330" s="12"/>
      <c r="D1330" s="13"/>
      <c r="E1330" s="12"/>
      <c r="F1330" s="13"/>
      <c r="G1330" s="13"/>
      <c r="H1330" s="12"/>
      <c r="I1330" s="18"/>
      <c r="J1330" s="16"/>
      <c r="K1330" s="16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6"/>
      <c r="AH1330" s="16"/>
      <c r="AI1330" s="18"/>
      <c r="AJ1330" s="18"/>
      <c r="AK1330" s="18"/>
      <c r="AL1330" s="18"/>
      <c r="AM1330" s="18"/>
      <c r="AN1330" s="18"/>
      <c r="AO1330" s="18"/>
      <c r="AP1330" s="18"/>
      <c r="AQ1330" s="18"/>
      <c r="AR1330" s="18"/>
      <c r="AS1330" s="18"/>
      <c r="AT1330" s="216"/>
      <c r="AU1330" s="18"/>
      <c r="AV1330" s="18"/>
      <c r="AW1330" s="18"/>
      <c r="AX1330" s="18"/>
      <c r="AY1330" s="18"/>
      <c r="AZ1330" s="18"/>
      <c r="BA1330" s="18"/>
      <c r="BB1330" s="18"/>
      <c r="BC1330" s="18"/>
      <c r="BD1330" s="18"/>
      <c r="BE1330" s="18"/>
      <c r="BF1330" s="15"/>
      <c r="BG1330" s="15"/>
    </row>
    <row r="1331" spans="1:59" ht="15.75" customHeight="1">
      <c r="A1331" s="216"/>
      <c r="B1331" s="12"/>
      <c r="C1331" s="12"/>
      <c r="D1331" s="13"/>
      <c r="E1331" s="12"/>
      <c r="F1331" s="13"/>
      <c r="G1331" s="13"/>
      <c r="H1331" s="12"/>
      <c r="I1331" s="18"/>
      <c r="J1331" s="16"/>
      <c r="K1331" s="16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  <c r="AC1331" s="18"/>
      <c r="AD1331" s="18"/>
      <c r="AE1331" s="18"/>
      <c r="AF1331" s="18"/>
      <c r="AG1331" s="16"/>
      <c r="AH1331" s="16"/>
      <c r="AI1331" s="18"/>
      <c r="AJ1331" s="18"/>
      <c r="AK1331" s="18"/>
      <c r="AL1331" s="18"/>
      <c r="AM1331" s="18"/>
      <c r="AN1331" s="18"/>
      <c r="AO1331" s="18"/>
      <c r="AP1331" s="18"/>
      <c r="AQ1331" s="18"/>
      <c r="AR1331" s="18"/>
      <c r="AS1331" s="18"/>
      <c r="AT1331" s="216"/>
      <c r="AU1331" s="18"/>
      <c r="AV1331" s="18"/>
      <c r="AW1331" s="18"/>
      <c r="AX1331" s="18"/>
      <c r="AY1331" s="18"/>
      <c r="AZ1331" s="18"/>
      <c r="BA1331" s="18"/>
      <c r="BB1331" s="18"/>
      <c r="BC1331" s="18"/>
      <c r="BD1331" s="18"/>
      <c r="BE1331" s="18"/>
      <c r="BF1331" s="15"/>
      <c r="BG1331" s="15"/>
    </row>
    <row r="1332" spans="1:59" ht="15.75" customHeight="1">
      <c r="A1332" s="216"/>
      <c r="B1332" s="12"/>
      <c r="C1332" s="12"/>
      <c r="D1332" s="13"/>
      <c r="E1332" s="12"/>
      <c r="F1332" s="13"/>
      <c r="G1332" s="13"/>
      <c r="H1332" s="12"/>
      <c r="I1332" s="18"/>
      <c r="J1332" s="16"/>
      <c r="K1332" s="16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18"/>
      <c r="AF1332" s="18"/>
      <c r="AG1332" s="16"/>
      <c r="AH1332" s="16"/>
      <c r="AI1332" s="18"/>
      <c r="AJ1332" s="18"/>
      <c r="AK1332" s="18"/>
      <c r="AL1332" s="18"/>
      <c r="AM1332" s="18"/>
      <c r="AN1332" s="18"/>
      <c r="AO1332" s="18"/>
      <c r="AP1332" s="18"/>
      <c r="AQ1332" s="18"/>
      <c r="AR1332" s="18"/>
      <c r="AS1332" s="18"/>
      <c r="AT1332" s="216"/>
      <c r="AU1332" s="18"/>
      <c r="AV1332" s="18"/>
      <c r="AW1332" s="18"/>
      <c r="AX1332" s="18"/>
      <c r="AY1332" s="18"/>
      <c r="AZ1332" s="18"/>
      <c r="BA1332" s="18"/>
      <c r="BB1332" s="18"/>
      <c r="BC1332" s="18"/>
      <c r="BD1332" s="18"/>
      <c r="BE1332" s="18"/>
      <c r="BF1332" s="15"/>
      <c r="BG1332" s="15"/>
    </row>
    <row r="1333" spans="1:59" ht="15.75" customHeight="1">
      <c r="A1333" s="216"/>
      <c r="B1333" s="12"/>
      <c r="C1333" s="12"/>
      <c r="D1333" s="13"/>
      <c r="E1333" s="12"/>
      <c r="F1333" s="13"/>
      <c r="G1333" s="13"/>
      <c r="H1333" s="12"/>
      <c r="I1333" s="18"/>
      <c r="J1333" s="16"/>
      <c r="K1333" s="16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  <c r="AF1333" s="18"/>
      <c r="AG1333" s="16"/>
      <c r="AH1333" s="16"/>
      <c r="AI1333" s="18"/>
      <c r="AJ1333" s="18"/>
      <c r="AK1333" s="18"/>
      <c r="AL1333" s="18"/>
      <c r="AM1333" s="18"/>
      <c r="AN1333" s="18"/>
      <c r="AO1333" s="18"/>
      <c r="AP1333" s="18"/>
      <c r="AQ1333" s="18"/>
      <c r="AR1333" s="18"/>
      <c r="AS1333" s="18"/>
      <c r="AT1333" s="216"/>
      <c r="AU1333" s="18"/>
      <c r="AV1333" s="18"/>
      <c r="AW1333" s="18"/>
      <c r="AX1333" s="18"/>
      <c r="AY1333" s="18"/>
      <c r="AZ1333" s="18"/>
      <c r="BA1333" s="18"/>
      <c r="BB1333" s="18"/>
      <c r="BC1333" s="18"/>
      <c r="BD1333" s="18"/>
      <c r="BE1333" s="18"/>
      <c r="BF1333" s="15"/>
      <c r="BG1333" s="15"/>
    </row>
    <row r="1334" spans="1:59" ht="15.75" customHeight="1">
      <c r="A1334" s="216"/>
      <c r="B1334" s="12"/>
      <c r="C1334" s="12"/>
      <c r="D1334" s="13"/>
      <c r="E1334" s="12"/>
      <c r="F1334" s="13"/>
      <c r="G1334" s="13"/>
      <c r="H1334" s="12"/>
      <c r="I1334" s="18"/>
      <c r="J1334" s="16"/>
      <c r="K1334" s="16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  <c r="AB1334" s="18"/>
      <c r="AC1334" s="18"/>
      <c r="AD1334" s="18"/>
      <c r="AE1334" s="18"/>
      <c r="AF1334" s="18"/>
      <c r="AG1334" s="16"/>
      <c r="AH1334" s="16"/>
      <c r="AI1334" s="18"/>
      <c r="AJ1334" s="18"/>
      <c r="AK1334" s="18"/>
      <c r="AL1334" s="18"/>
      <c r="AM1334" s="18"/>
      <c r="AN1334" s="18"/>
      <c r="AO1334" s="18"/>
      <c r="AP1334" s="18"/>
      <c r="AQ1334" s="18"/>
      <c r="AR1334" s="18"/>
      <c r="AS1334" s="18"/>
      <c r="AT1334" s="216"/>
      <c r="AU1334" s="18"/>
      <c r="AV1334" s="18"/>
      <c r="AW1334" s="18"/>
      <c r="AX1334" s="18"/>
      <c r="AY1334" s="18"/>
      <c r="AZ1334" s="18"/>
      <c r="BA1334" s="18"/>
      <c r="BB1334" s="18"/>
      <c r="BC1334" s="18"/>
      <c r="BD1334" s="18"/>
      <c r="BE1334" s="18"/>
      <c r="BF1334" s="15"/>
      <c r="BG1334" s="15"/>
    </row>
    <row r="1335" spans="1:59" ht="15.75" customHeight="1">
      <c r="A1335" s="216"/>
      <c r="B1335" s="12"/>
      <c r="C1335" s="12"/>
      <c r="D1335" s="13"/>
      <c r="E1335" s="12"/>
      <c r="F1335" s="13"/>
      <c r="G1335" s="13"/>
      <c r="H1335" s="12"/>
      <c r="I1335" s="18"/>
      <c r="J1335" s="16"/>
      <c r="K1335" s="16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18"/>
      <c r="AF1335" s="18"/>
      <c r="AG1335" s="16"/>
      <c r="AH1335" s="16"/>
      <c r="AI1335" s="18"/>
      <c r="AJ1335" s="18"/>
      <c r="AK1335" s="18"/>
      <c r="AL1335" s="18"/>
      <c r="AM1335" s="18"/>
      <c r="AN1335" s="18"/>
      <c r="AO1335" s="18"/>
      <c r="AP1335" s="18"/>
      <c r="AQ1335" s="18"/>
      <c r="AR1335" s="18"/>
      <c r="AS1335" s="18"/>
      <c r="AT1335" s="216"/>
      <c r="AU1335" s="18"/>
      <c r="AV1335" s="18"/>
      <c r="AW1335" s="18"/>
      <c r="AX1335" s="18"/>
      <c r="AY1335" s="18"/>
      <c r="AZ1335" s="18"/>
      <c r="BA1335" s="18"/>
      <c r="BB1335" s="18"/>
      <c r="BC1335" s="18"/>
      <c r="BD1335" s="18"/>
      <c r="BE1335" s="18"/>
      <c r="BF1335" s="15"/>
      <c r="BG1335" s="15"/>
    </row>
    <row r="1336" spans="1:59" ht="15.75" customHeight="1">
      <c r="A1336" s="216"/>
      <c r="B1336" s="12"/>
      <c r="C1336" s="12"/>
      <c r="D1336" s="13"/>
      <c r="E1336" s="12"/>
      <c r="F1336" s="13"/>
      <c r="G1336" s="13"/>
      <c r="H1336" s="12"/>
      <c r="I1336" s="18"/>
      <c r="J1336" s="16"/>
      <c r="K1336" s="16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  <c r="AB1336" s="18"/>
      <c r="AC1336" s="18"/>
      <c r="AD1336" s="18"/>
      <c r="AE1336" s="18"/>
      <c r="AF1336" s="18"/>
      <c r="AG1336" s="16"/>
      <c r="AH1336" s="16"/>
      <c r="AI1336" s="18"/>
      <c r="AJ1336" s="18"/>
      <c r="AK1336" s="18"/>
      <c r="AL1336" s="18"/>
      <c r="AM1336" s="18"/>
      <c r="AN1336" s="18"/>
      <c r="AO1336" s="18"/>
      <c r="AP1336" s="18"/>
      <c r="AQ1336" s="18"/>
      <c r="AR1336" s="18"/>
      <c r="AS1336" s="18"/>
      <c r="AT1336" s="216"/>
      <c r="AU1336" s="18"/>
      <c r="AV1336" s="18"/>
      <c r="AW1336" s="18"/>
      <c r="AX1336" s="18"/>
      <c r="AY1336" s="18"/>
      <c r="AZ1336" s="18"/>
      <c r="BA1336" s="18"/>
      <c r="BB1336" s="18"/>
      <c r="BC1336" s="18"/>
      <c r="BD1336" s="18"/>
      <c r="BE1336" s="18"/>
      <c r="BF1336" s="15"/>
      <c r="BG1336" s="15"/>
    </row>
    <row r="1337" spans="1:59" ht="15.75" customHeight="1">
      <c r="A1337" s="216"/>
      <c r="B1337" s="12"/>
      <c r="C1337" s="12"/>
      <c r="D1337" s="13"/>
      <c r="E1337" s="12"/>
      <c r="F1337" s="13"/>
      <c r="G1337" s="13"/>
      <c r="H1337" s="12"/>
      <c r="I1337" s="18"/>
      <c r="J1337" s="16"/>
      <c r="K1337" s="16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18"/>
      <c r="AF1337" s="18"/>
      <c r="AG1337" s="16"/>
      <c r="AH1337" s="16"/>
      <c r="AI1337" s="18"/>
      <c r="AJ1337" s="18"/>
      <c r="AK1337" s="18"/>
      <c r="AL1337" s="18"/>
      <c r="AM1337" s="18"/>
      <c r="AN1337" s="18"/>
      <c r="AO1337" s="18"/>
      <c r="AP1337" s="18"/>
      <c r="AQ1337" s="18"/>
      <c r="AR1337" s="18"/>
      <c r="AS1337" s="18"/>
      <c r="AT1337" s="216"/>
      <c r="AU1337" s="18"/>
      <c r="AV1337" s="18"/>
      <c r="AW1337" s="18"/>
      <c r="AX1337" s="18"/>
      <c r="AY1337" s="18"/>
      <c r="AZ1337" s="18"/>
      <c r="BA1337" s="18"/>
      <c r="BB1337" s="18"/>
      <c r="BC1337" s="18"/>
      <c r="BD1337" s="18"/>
      <c r="BE1337" s="18"/>
      <c r="BF1337" s="15"/>
      <c r="BG1337" s="15"/>
    </row>
    <row r="1338" spans="1:59" ht="15.75" customHeight="1">
      <c r="A1338" s="216"/>
      <c r="B1338" s="12"/>
      <c r="C1338" s="12"/>
      <c r="D1338" s="13"/>
      <c r="E1338" s="12"/>
      <c r="F1338" s="13"/>
      <c r="G1338" s="13"/>
      <c r="H1338" s="12"/>
      <c r="I1338" s="18"/>
      <c r="J1338" s="16"/>
      <c r="K1338" s="16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  <c r="AB1338" s="18"/>
      <c r="AC1338" s="18"/>
      <c r="AD1338" s="18"/>
      <c r="AE1338" s="18"/>
      <c r="AF1338" s="18"/>
      <c r="AG1338" s="16"/>
      <c r="AH1338" s="16"/>
      <c r="AI1338" s="18"/>
      <c r="AJ1338" s="18"/>
      <c r="AK1338" s="18"/>
      <c r="AL1338" s="18"/>
      <c r="AM1338" s="18"/>
      <c r="AN1338" s="18"/>
      <c r="AO1338" s="18"/>
      <c r="AP1338" s="18"/>
      <c r="AQ1338" s="18"/>
      <c r="AR1338" s="18"/>
      <c r="AS1338" s="18"/>
      <c r="AT1338" s="216"/>
      <c r="AU1338" s="18"/>
      <c r="AV1338" s="18"/>
      <c r="AW1338" s="18"/>
      <c r="AX1338" s="18"/>
      <c r="AY1338" s="18"/>
      <c r="AZ1338" s="18"/>
      <c r="BA1338" s="18"/>
      <c r="BB1338" s="18"/>
      <c r="BC1338" s="18"/>
      <c r="BD1338" s="18"/>
      <c r="BE1338" s="18"/>
      <c r="BF1338" s="15"/>
      <c r="BG1338" s="15"/>
    </row>
    <row r="1339" spans="1:59" ht="15.75" customHeight="1">
      <c r="A1339" s="216"/>
      <c r="B1339" s="12"/>
      <c r="C1339" s="12"/>
      <c r="D1339" s="13"/>
      <c r="E1339" s="12"/>
      <c r="F1339" s="13"/>
      <c r="G1339" s="13"/>
      <c r="H1339" s="12"/>
      <c r="I1339" s="18"/>
      <c r="J1339" s="16"/>
      <c r="K1339" s="16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  <c r="AA1339" s="18"/>
      <c r="AB1339" s="18"/>
      <c r="AC1339" s="18"/>
      <c r="AD1339" s="18"/>
      <c r="AE1339" s="18"/>
      <c r="AF1339" s="18"/>
      <c r="AG1339" s="16"/>
      <c r="AH1339" s="16"/>
      <c r="AI1339" s="18"/>
      <c r="AJ1339" s="18"/>
      <c r="AK1339" s="18"/>
      <c r="AL1339" s="18"/>
      <c r="AM1339" s="18"/>
      <c r="AN1339" s="18"/>
      <c r="AO1339" s="18"/>
      <c r="AP1339" s="18"/>
      <c r="AQ1339" s="18"/>
      <c r="AR1339" s="18"/>
      <c r="AS1339" s="18"/>
      <c r="AT1339" s="216"/>
      <c r="AU1339" s="18"/>
      <c r="AV1339" s="18"/>
      <c r="AW1339" s="18"/>
      <c r="AX1339" s="18"/>
      <c r="AY1339" s="18"/>
      <c r="AZ1339" s="18"/>
      <c r="BA1339" s="18"/>
      <c r="BB1339" s="18"/>
      <c r="BC1339" s="18"/>
      <c r="BD1339" s="18"/>
      <c r="BE1339" s="18"/>
      <c r="BF1339" s="15"/>
      <c r="BG1339" s="15"/>
    </row>
    <row r="1340" spans="1:59" ht="15.75" customHeight="1">
      <c r="A1340" s="216"/>
      <c r="B1340" s="12"/>
      <c r="C1340" s="12"/>
      <c r="D1340" s="13"/>
      <c r="E1340" s="12"/>
      <c r="F1340" s="13"/>
      <c r="G1340" s="13"/>
      <c r="H1340" s="12"/>
      <c r="I1340" s="18"/>
      <c r="J1340" s="16"/>
      <c r="K1340" s="16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  <c r="AB1340" s="18"/>
      <c r="AC1340" s="18"/>
      <c r="AD1340" s="18"/>
      <c r="AE1340" s="18"/>
      <c r="AF1340" s="18"/>
      <c r="AG1340" s="16"/>
      <c r="AH1340" s="16"/>
      <c r="AI1340" s="18"/>
      <c r="AJ1340" s="18"/>
      <c r="AK1340" s="18"/>
      <c r="AL1340" s="18"/>
      <c r="AM1340" s="18"/>
      <c r="AN1340" s="18"/>
      <c r="AO1340" s="18"/>
      <c r="AP1340" s="18"/>
      <c r="AQ1340" s="18"/>
      <c r="AR1340" s="18"/>
      <c r="AS1340" s="18"/>
      <c r="AT1340" s="216"/>
      <c r="AU1340" s="18"/>
      <c r="AV1340" s="18"/>
      <c r="AW1340" s="18"/>
      <c r="AX1340" s="18"/>
      <c r="AY1340" s="18"/>
      <c r="AZ1340" s="18"/>
      <c r="BA1340" s="18"/>
      <c r="BB1340" s="18"/>
      <c r="BC1340" s="18"/>
      <c r="BD1340" s="18"/>
      <c r="BE1340" s="18"/>
      <c r="BF1340" s="15"/>
      <c r="BG1340" s="15"/>
    </row>
    <row r="1341" spans="1:59" ht="15.75" customHeight="1">
      <c r="A1341" s="216"/>
      <c r="B1341" s="12"/>
      <c r="C1341" s="12"/>
      <c r="D1341" s="13"/>
      <c r="E1341" s="12"/>
      <c r="F1341" s="13"/>
      <c r="G1341" s="13"/>
      <c r="H1341" s="12"/>
      <c r="I1341" s="18"/>
      <c r="J1341" s="16"/>
      <c r="K1341" s="16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  <c r="AC1341" s="18"/>
      <c r="AD1341" s="18"/>
      <c r="AE1341" s="18"/>
      <c r="AF1341" s="18"/>
      <c r="AG1341" s="16"/>
      <c r="AH1341" s="16"/>
      <c r="AI1341" s="18"/>
      <c r="AJ1341" s="18"/>
      <c r="AK1341" s="18"/>
      <c r="AL1341" s="18"/>
      <c r="AM1341" s="18"/>
      <c r="AN1341" s="18"/>
      <c r="AO1341" s="18"/>
      <c r="AP1341" s="18"/>
      <c r="AQ1341" s="18"/>
      <c r="AR1341" s="18"/>
      <c r="AS1341" s="18"/>
      <c r="AT1341" s="216"/>
      <c r="AU1341" s="18"/>
      <c r="AV1341" s="18"/>
      <c r="AW1341" s="18"/>
      <c r="AX1341" s="18"/>
      <c r="AY1341" s="18"/>
      <c r="AZ1341" s="18"/>
      <c r="BA1341" s="18"/>
      <c r="BB1341" s="18"/>
      <c r="BC1341" s="18"/>
      <c r="BD1341" s="18"/>
      <c r="BE1341" s="18"/>
      <c r="BF1341" s="15"/>
      <c r="BG1341" s="15"/>
    </row>
    <row r="1342" spans="1:59" ht="15.75" customHeight="1">
      <c r="A1342" s="216"/>
      <c r="B1342" s="12"/>
      <c r="C1342" s="12"/>
      <c r="D1342" s="13"/>
      <c r="E1342" s="12"/>
      <c r="F1342" s="13"/>
      <c r="G1342" s="13"/>
      <c r="H1342" s="12"/>
      <c r="I1342" s="18"/>
      <c r="J1342" s="16"/>
      <c r="K1342" s="16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  <c r="AB1342" s="18"/>
      <c r="AC1342" s="18"/>
      <c r="AD1342" s="18"/>
      <c r="AE1342" s="18"/>
      <c r="AF1342" s="18"/>
      <c r="AG1342" s="16"/>
      <c r="AH1342" s="16"/>
      <c r="AI1342" s="18"/>
      <c r="AJ1342" s="18"/>
      <c r="AK1342" s="18"/>
      <c r="AL1342" s="18"/>
      <c r="AM1342" s="18"/>
      <c r="AN1342" s="18"/>
      <c r="AO1342" s="18"/>
      <c r="AP1342" s="18"/>
      <c r="AQ1342" s="18"/>
      <c r="AR1342" s="18"/>
      <c r="AS1342" s="18"/>
      <c r="AT1342" s="216"/>
      <c r="AU1342" s="18"/>
      <c r="AV1342" s="18"/>
      <c r="AW1342" s="18"/>
      <c r="AX1342" s="18"/>
      <c r="AY1342" s="18"/>
      <c r="AZ1342" s="18"/>
      <c r="BA1342" s="18"/>
      <c r="BB1342" s="18"/>
      <c r="BC1342" s="18"/>
      <c r="BD1342" s="18"/>
      <c r="BE1342" s="18"/>
      <c r="BF1342" s="15"/>
      <c r="BG1342" s="15"/>
    </row>
    <row r="1343" spans="1:59" ht="15.75" customHeight="1">
      <c r="A1343" s="216"/>
      <c r="B1343" s="12"/>
      <c r="C1343" s="12"/>
      <c r="D1343" s="13"/>
      <c r="E1343" s="12"/>
      <c r="F1343" s="13"/>
      <c r="G1343" s="13"/>
      <c r="H1343" s="12"/>
      <c r="I1343" s="18"/>
      <c r="J1343" s="16"/>
      <c r="K1343" s="16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  <c r="AB1343" s="18"/>
      <c r="AC1343" s="18"/>
      <c r="AD1343" s="18"/>
      <c r="AE1343" s="18"/>
      <c r="AF1343" s="18"/>
      <c r="AG1343" s="16"/>
      <c r="AH1343" s="16"/>
      <c r="AI1343" s="18"/>
      <c r="AJ1343" s="18"/>
      <c r="AK1343" s="18"/>
      <c r="AL1343" s="18"/>
      <c r="AM1343" s="18"/>
      <c r="AN1343" s="18"/>
      <c r="AO1343" s="18"/>
      <c r="AP1343" s="18"/>
      <c r="AQ1343" s="18"/>
      <c r="AR1343" s="18"/>
      <c r="AS1343" s="18"/>
      <c r="AT1343" s="216"/>
      <c r="AU1343" s="18"/>
      <c r="AV1343" s="18"/>
      <c r="AW1343" s="18"/>
      <c r="AX1343" s="18"/>
      <c r="AY1343" s="18"/>
      <c r="AZ1343" s="18"/>
      <c r="BA1343" s="18"/>
      <c r="BB1343" s="18"/>
      <c r="BC1343" s="18"/>
      <c r="BD1343" s="18"/>
      <c r="BE1343" s="18"/>
      <c r="BF1343" s="15"/>
      <c r="BG1343" s="15"/>
    </row>
    <row r="1344" spans="1:59" ht="15.75" customHeight="1">
      <c r="A1344" s="216"/>
      <c r="B1344" s="12"/>
      <c r="C1344" s="12"/>
      <c r="D1344" s="13"/>
      <c r="E1344" s="12"/>
      <c r="F1344" s="13"/>
      <c r="G1344" s="13"/>
      <c r="H1344" s="12"/>
      <c r="I1344" s="18"/>
      <c r="J1344" s="16"/>
      <c r="K1344" s="16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18"/>
      <c r="AF1344" s="18"/>
      <c r="AG1344" s="16"/>
      <c r="AH1344" s="16"/>
      <c r="AI1344" s="18"/>
      <c r="AJ1344" s="18"/>
      <c r="AK1344" s="18"/>
      <c r="AL1344" s="18"/>
      <c r="AM1344" s="18"/>
      <c r="AN1344" s="18"/>
      <c r="AO1344" s="18"/>
      <c r="AP1344" s="18"/>
      <c r="AQ1344" s="18"/>
      <c r="AR1344" s="18"/>
      <c r="AS1344" s="18"/>
      <c r="AT1344" s="216"/>
      <c r="AU1344" s="18"/>
      <c r="AV1344" s="18"/>
      <c r="AW1344" s="18"/>
      <c r="AX1344" s="18"/>
      <c r="AY1344" s="18"/>
      <c r="AZ1344" s="18"/>
      <c r="BA1344" s="18"/>
      <c r="BB1344" s="18"/>
      <c r="BC1344" s="18"/>
      <c r="BD1344" s="18"/>
      <c r="BE1344" s="18"/>
      <c r="BF1344" s="15"/>
      <c r="BG1344" s="15"/>
    </row>
    <row r="1345" spans="1:59" ht="15.75" customHeight="1">
      <c r="A1345" s="216"/>
      <c r="B1345" s="12"/>
      <c r="C1345" s="12"/>
      <c r="D1345" s="13"/>
      <c r="E1345" s="12"/>
      <c r="F1345" s="13"/>
      <c r="G1345" s="13"/>
      <c r="H1345" s="12"/>
      <c r="I1345" s="18"/>
      <c r="J1345" s="16"/>
      <c r="K1345" s="16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  <c r="AC1345" s="18"/>
      <c r="AD1345" s="18"/>
      <c r="AE1345" s="18"/>
      <c r="AF1345" s="18"/>
      <c r="AG1345" s="16"/>
      <c r="AH1345" s="16"/>
      <c r="AI1345" s="18"/>
      <c r="AJ1345" s="18"/>
      <c r="AK1345" s="18"/>
      <c r="AL1345" s="18"/>
      <c r="AM1345" s="18"/>
      <c r="AN1345" s="18"/>
      <c r="AO1345" s="18"/>
      <c r="AP1345" s="18"/>
      <c r="AQ1345" s="18"/>
      <c r="AR1345" s="18"/>
      <c r="AS1345" s="18"/>
      <c r="AT1345" s="216"/>
      <c r="AU1345" s="18"/>
      <c r="AV1345" s="18"/>
      <c r="AW1345" s="18"/>
      <c r="AX1345" s="18"/>
      <c r="AY1345" s="18"/>
      <c r="AZ1345" s="18"/>
      <c r="BA1345" s="18"/>
      <c r="BB1345" s="18"/>
      <c r="BC1345" s="18"/>
      <c r="BD1345" s="18"/>
      <c r="BE1345" s="18"/>
      <c r="BF1345" s="15"/>
      <c r="BG1345" s="15"/>
    </row>
    <row r="1346" spans="1:59" ht="15.75" customHeight="1">
      <c r="A1346" s="216"/>
      <c r="B1346" s="12"/>
      <c r="C1346" s="12"/>
      <c r="D1346" s="13"/>
      <c r="E1346" s="12"/>
      <c r="F1346" s="13"/>
      <c r="G1346" s="13"/>
      <c r="H1346" s="12"/>
      <c r="I1346" s="18"/>
      <c r="J1346" s="16"/>
      <c r="K1346" s="16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  <c r="AB1346" s="18"/>
      <c r="AC1346" s="18"/>
      <c r="AD1346" s="18"/>
      <c r="AE1346" s="18"/>
      <c r="AF1346" s="18"/>
      <c r="AG1346" s="16"/>
      <c r="AH1346" s="16"/>
      <c r="AI1346" s="18"/>
      <c r="AJ1346" s="18"/>
      <c r="AK1346" s="18"/>
      <c r="AL1346" s="18"/>
      <c r="AM1346" s="18"/>
      <c r="AN1346" s="18"/>
      <c r="AO1346" s="18"/>
      <c r="AP1346" s="18"/>
      <c r="AQ1346" s="18"/>
      <c r="AR1346" s="18"/>
      <c r="AS1346" s="18"/>
      <c r="AT1346" s="216"/>
      <c r="AU1346" s="18"/>
      <c r="AV1346" s="18"/>
      <c r="AW1346" s="18"/>
      <c r="AX1346" s="18"/>
      <c r="AY1346" s="18"/>
      <c r="AZ1346" s="18"/>
      <c r="BA1346" s="18"/>
      <c r="BB1346" s="18"/>
      <c r="BC1346" s="18"/>
      <c r="BD1346" s="18"/>
      <c r="BE1346" s="18"/>
      <c r="BF1346" s="15"/>
      <c r="BG1346" s="15"/>
    </row>
    <row r="1347" spans="1:59" ht="15.75" customHeight="1">
      <c r="A1347" s="216"/>
      <c r="B1347" s="12"/>
      <c r="C1347" s="12"/>
      <c r="D1347" s="13"/>
      <c r="E1347" s="12"/>
      <c r="F1347" s="13"/>
      <c r="G1347" s="13"/>
      <c r="H1347" s="12"/>
      <c r="I1347" s="18"/>
      <c r="J1347" s="16"/>
      <c r="K1347" s="16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  <c r="AB1347" s="18"/>
      <c r="AC1347" s="18"/>
      <c r="AD1347" s="18"/>
      <c r="AE1347" s="18"/>
      <c r="AF1347" s="18"/>
      <c r="AG1347" s="16"/>
      <c r="AH1347" s="16"/>
      <c r="AI1347" s="18"/>
      <c r="AJ1347" s="18"/>
      <c r="AK1347" s="18"/>
      <c r="AL1347" s="18"/>
      <c r="AM1347" s="18"/>
      <c r="AN1347" s="18"/>
      <c r="AO1347" s="18"/>
      <c r="AP1347" s="18"/>
      <c r="AQ1347" s="18"/>
      <c r="AR1347" s="18"/>
      <c r="AS1347" s="18"/>
      <c r="AT1347" s="216"/>
      <c r="AU1347" s="18"/>
      <c r="AV1347" s="18"/>
      <c r="AW1347" s="18"/>
      <c r="AX1347" s="18"/>
      <c r="AY1347" s="18"/>
      <c r="AZ1347" s="18"/>
      <c r="BA1347" s="18"/>
      <c r="BB1347" s="18"/>
      <c r="BC1347" s="18"/>
      <c r="BD1347" s="18"/>
      <c r="BE1347" s="18"/>
      <c r="BF1347" s="15"/>
      <c r="BG1347" s="15"/>
    </row>
    <row r="1348" spans="1:59" ht="15.75" customHeight="1">
      <c r="A1348" s="216"/>
      <c r="B1348" s="12"/>
      <c r="C1348" s="12"/>
      <c r="D1348" s="13"/>
      <c r="E1348" s="12"/>
      <c r="F1348" s="13"/>
      <c r="G1348" s="13"/>
      <c r="H1348" s="12"/>
      <c r="I1348" s="18"/>
      <c r="J1348" s="16"/>
      <c r="K1348" s="16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  <c r="AA1348" s="18"/>
      <c r="AB1348" s="18"/>
      <c r="AC1348" s="18"/>
      <c r="AD1348" s="18"/>
      <c r="AE1348" s="18"/>
      <c r="AF1348" s="18"/>
      <c r="AG1348" s="16"/>
      <c r="AH1348" s="16"/>
      <c r="AI1348" s="18"/>
      <c r="AJ1348" s="18"/>
      <c r="AK1348" s="18"/>
      <c r="AL1348" s="18"/>
      <c r="AM1348" s="18"/>
      <c r="AN1348" s="18"/>
      <c r="AO1348" s="18"/>
      <c r="AP1348" s="18"/>
      <c r="AQ1348" s="18"/>
      <c r="AR1348" s="18"/>
      <c r="AS1348" s="18"/>
      <c r="AT1348" s="216"/>
      <c r="AU1348" s="18"/>
      <c r="AV1348" s="18"/>
      <c r="AW1348" s="18"/>
      <c r="AX1348" s="18"/>
      <c r="AY1348" s="18"/>
      <c r="AZ1348" s="18"/>
      <c r="BA1348" s="18"/>
      <c r="BB1348" s="18"/>
      <c r="BC1348" s="18"/>
      <c r="BD1348" s="18"/>
      <c r="BE1348" s="18"/>
      <c r="BF1348" s="15"/>
      <c r="BG1348" s="15"/>
    </row>
    <row r="1349" spans="1:59" ht="15.75" customHeight="1">
      <c r="A1349" s="216"/>
      <c r="B1349" s="12"/>
      <c r="C1349" s="12"/>
      <c r="D1349" s="13"/>
      <c r="E1349" s="12"/>
      <c r="F1349" s="13"/>
      <c r="G1349" s="13"/>
      <c r="H1349" s="12"/>
      <c r="I1349" s="18"/>
      <c r="J1349" s="16"/>
      <c r="K1349" s="16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  <c r="AA1349" s="18"/>
      <c r="AB1349" s="18"/>
      <c r="AC1349" s="18"/>
      <c r="AD1349" s="18"/>
      <c r="AE1349" s="18"/>
      <c r="AF1349" s="18"/>
      <c r="AG1349" s="16"/>
      <c r="AH1349" s="16"/>
      <c r="AI1349" s="18"/>
      <c r="AJ1349" s="18"/>
      <c r="AK1349" s="18"/>
      <c r="AL1349" s="18"/>
      <c r="AM1349" s="18"/>
      <c r="AN1349" s="18"/>
      <c r="AO1349" s="18"/>
      <c r="AP1349" s="18"/>
      <c r="AQ1349" s="18"/>
      <c r="AR1349" s="18"/>
      <c r="AS1349" s="18"/>
      <c r="AT1349" s="216"/>
      <c r="AU1349" s="18"/>
      <c r="AV1349" s="18"/>
      <c r="AW1349" s="18"/>
      <c r="AX1349" s="18"/>
      <c r="AY1349" s="18"/>
      <c r="AZ1349" s="18"/>
      <c r="BA1349" s="18"/>
      <c r="BB1349" s="18"/>
      <c r="BC1349" s="18"/>
      <c r="BD1349" s="18"/>
      <c r="BE1349" s="18"/>
      <c r="BF1349" s="15"/>
      <c r="BG1349" s="15"/>
    </row>
    <row r="1350" spans="1:59" ht="15.75" customHeight="1">
      <c r="A1350" s="216"/>
      <c r="B1350" s="12"/>
      <c r="C1350" s="12"/>
      <c r="D1350" s="13"/>
      <c r="E1350" s="12"/>
      <c r="F1350" s="13"/>
      <c r="G1350" s="13"/>
      <c r="H1350" s="12"/>
      <c r="I1350" s="18"/>
      <c r="J1350" s="16"/>
      <c r="K1350" s="16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  <c r="AB1350" s="18"/>
      <c r="AC1350" s="18"/>
      <c r="AD1350" s="18"/>
      <c r="AE1350" s="18"/>
      <c r="AF1350" s="18"/>
      <c r="AG1350" s="16"/>
      <c r="AH1350" s="16"/>
      <c r="AI1350" s="18"/>
      <c r="AJ1350" s="18"/>
      <c r="AK1350" s="18"/>
      <c r="AL1350" s="18"/>
      <c r="AM1350" s="18"/>
      <c r="AN1350" s="18"/>
      <c r="AO1350" s="18"/>
      <c r="AP1350" s="18"/>
      <c r="AQ1350" s="18"/>
      <c r="AR1350" s="18"/>
      <c r="AS1350" s="18"/>
      <c r="AT1350" s="216"/>
      <c r="AU1350" s="18"/>
      <c r="AV1350" s="18"/>
      <c r="AW1350" s="18"/>
      <c r="AX1350" s="18"/>
      <c r="AY1350" s="18"/>
      <c r="AZ1350" s="18"/>
      <c r="BA1350" s="18"/>
      <c r="BB1350" s="18"/>
      <c r="BC1350" s="18"/>
      <c r="BD1350" s="18"/>
      <c r="BE1350" s="18"/>
      <c r="BF1350" s="15"/>
      <c r="BG1350" s="15"/>
    </row>
    <row r="1351" spans="1:59" ht="15.75" customHeight="1">
      <c r="A1351" s="216"/>
      <c r="B1351" s="12"/>
      <c r="C1351" s="12"/>
      <c r="D1351" s="13"/>
      <c r="E1351" s="12"/>
      <c r="F1351" s="13"/>
      <c r="G1351" s="13"/>
      <c r="H1351" s="12"/>
      <c r="I1351" s="18"/>
      <c r="J1351" s="16"/>
      <c r="K1351" s="16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  <c r="AB1351" s="18"/>
      <c r="AC1351" s="18"/>
      <c r="AD1351" s="18"/>
      <c r="AE1351" s="18"/>
      <c r="AF1351" s="18"/>
      <c r="AG1351" s="16"/>
      <c r="AH1351" s="16"/>
      <c r="AI1351" s="18"/>
      <c r="AJ1351" s="18"/>
      <c r="AK1351" s="18"/>
      <c r="AL1351" s="18"/>
      <c r="AM1351" s="18"/>
      <c r="AN1351" s="18"/>
      <c r="AO1351" s="18"/>
      <c r="AP1351" s="18"/>
      <c r="AQ1351" s="18"/>
      <c r="AR1351" s="18"/>
      <c r="AS1351" s="18"/>
      <c r="AT1351" s="216"/>
      <c r="AU1351" s="18"/>
      <c r="AV1351" s="18"/>
      <c r="AW1351" s="18"/>
      <c r="AX1351" s="18"/>
      <c r="AY1351" s="18"/>
      <c r="AZ1351" s="18"/>
      <c r="BA1351" s="18"/>
      <c r="BB1351" s="18"/>
      <c r="BC1351" s="18"/>
      <c r="BD1351" s="18"/>
      <c r="BE1351" s="18"/>
      <c r="BF1351" s="15"/>
      <c r="BG1351" s="15"/>
    </row>
    <row r="1352" spans="1:59" ht="15.75" customHeight="1">
      <c r="A1352" s="216"/>
      <c r="B1352" s="12"/>
      <c r="C1352" s="12"/>
      <c r="D1352" s="13"/>
      <c r="E1352" s="12"/>
      <c r="F1352" s="13"/>
      <c r="G1352" s="13"/>
      <c r="H1352" s="12"/>
      <c r="I1352" s="18"/>
      <c r="J1352" s="16"/>
      <c r="K1352" s="16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  <c r="AA1352" s="18"/>
      <c r="AB1352" s="18"/>
      <c r="AC1352" s="18"/>
      <c r="AD1352" s="18"/>
      <c r="AE1352" s="18"/>
      <c r="AF1352" s="18"/>
      <c r="AG1352" s="16"/>
      <c r="AH1352" s="16"/>
      <c r="AI1352" s="18"/>
      <c r="AJ1352" s="18"/>
      <c r="AK1352" s="18"/>
      <c r="AL1352" s="18"/>
      <c r="AM1352" s="18"/>
      <c r="AN1352" s="18"/>
      <c r="AO1352" s="18"/>
      <c r="AP1352" s="18"/>
      <c r="AQ1352" s="18"/>
      <c r="AR1352" s="18"/>
      <c r="AS1352" s="18"/>
      <c r="AT1352" s="216"/>
      <c r="AU1352" s="18"/>
      <c r="AV1352" s="18"/>
      <c r="AW1352" s="18"/>
      <c r="AX1352" s="18"/>
      <c r="AY1352" s="18"/>
      <c r="AZ1352" s="18"/>
      <c r="BA1352" s="18"/>
      <c r="BB1352" s="18"/>
      <c r="BC1352" s="18"/>
      <c r="BD1352" s="18"/>
      <c r="BE1352" s="18"/>
      <c r="BF1352" s="15"/>
      <c r="BG1352" s="15"/>
    </row>
    <row r="1353" spans="1:59" ht="15.75" customHeight="1">
      <c r="A1353" s="216"/>
      <c r="B1353" s="12"/>
      <c r="C1353" s="12"/>
      <c r="D1353" s="13"/>
      <c r="E1353" s="12"/>
      <c r="F1353" s="13"/>
      <c r="G1353" s="13"/>
      <c r="H1353" s="12"/>
      <c r="I1353" s="18"/>
      <c r="J1353" s="16"/>
      <c r="K1353" s="16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  <c r="AA1353" s="18"/>
      <c r="AB1353" s="18"/>
      <c r="AC1353" s="18"/>
      <c r="AD1353" s="18"/>
      <c r="AE1353" s="18"/>
      <c r="AF1353" s="18"/>
      <c r="AG1353" s="16"/>
      <c r="AH1353" s="16"/>
      <c r="AI1353" s="18"/>
      <c r="AJ1353" s="18"/>
      <c r="AK1353" s="18"/>
      <c r="AL1353" s="18"/>
      <c r="AM1353" s="18"/>
      <c r="AN1353" s="18"/>
      <c r="AO1353" s="18"/>
      <c r="AP1353" s="18"/>
      <c r="AQ1353" s="18"/>
      <c r="AR1353" s="18"/>
      <c r="AS1353" s="18"/>
      <c r="AT1353" s="216"/>
      <c r="AU1353" s="18"/>
      <c r="AV1353" s="18"/>
      <c r="AW1353" s="18"/>
      <c r="AX1353" s="18"/>
      <c r="AY1353" s="18"/>
      <c r="AZ1353" s="18"/>
      <c r="BA1353" s="18"/>
      <c r="BB1353" s="18"/>
      <c r="BC1353" s="18"/>
      <c r="BD1353" s="18"/>
      <c r="BE1353" s="18"/>
      <c r="BF1353" s="15"/>
      <c r="BG1353" s="15"/>
    </row>
    <row r="1354" spans="1:59" ht="15.75" customHeight="1">
      <c r="A1354" s="216"/>
      <c r="B1354" s="12"/>
      <c r="C1354" s="12"/>
      <c r="D1354" s="13"/>
      <c r="E1354" s="12"/>
      <c r="F1354" s="13"/>
      <c r="G1354" s="13"/>
      <c r="H1354" s="12"/>
      <c r="I1354" s="18"/>
      <c r="J1354" s="16"/>
      <c r="K1354" s="16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  <c r="AA1354" s="18"/>
      <c r="AB1354" s="18"/>
      <c r="AC1354" s="18"/>
      <c r="AD1354" s="18"/>
      <c r="AE1354" s="18"/>
      <c r="AF1354" s="18"/>
      <c r="AG1354" s="16"/>
      <c r="AH1354" s="16"/>
      <c r="AI1354" s="18"/>
      <c r="AJ1354" s="18"/>
      <c r="AK1354" s="18"/>
      <c r="AL1354" s="18"/>
      <c r="AM1354" s="18"/>
      <c r="AN1354" s="18"/>
      <c r="AO1354" s="18"/>
      <c r="AP1354" s="18"/>
      <c r="AQ1354" s="18"/>
      <c r="AR1354" s="18"/>
      <c r="AS1354" s="18"/>
      <c r="AT1354" s="216"/>
      <c r="AU1354" s="18"/>
      <c r="AV1354" s="18"/>
      <c r="AW1354" s="18"/>
      <c r="AX1354" s="18"/>
      <c r="AY1354" s="18"/>
      <c r="AZ1354" s="18"/>
      <c r="BA1354" s="18"/>
      <c r="BB1354" s="18"/>
      <c r="BC1354" s="18"/>
      <c r="BD1354" s="18"/>
      <c r="BE1354" s="18"/>
      <c r="BF1354" s="15"/>
      <c r="BG1354" s="15"/>
    </row>
    <row r="1355" spans="1:59" ht="15.75" customHeight="1">
      <c r="A1355" s="216"/>
      <c r="B1355" s="12"/>
      <c r="C1355" s="12"/>
      <c r="D1355" s="13"/>
      <c r="E1355" s="12"/>
      <c r="F1355" s="13"/>
      <c r="G1355" s="13"/>
      <c r="H1355" s="12"/>
      <c r="I1355" s="18"/>
      <c r="J1355" s="16"/>
      <c r="K1355" s="16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  <c r="AB1355" s="18"/>
      <c r="AC1355" s="18"/>
      <c r="AD1355" s="18"/>
      <c r="AE1355" s="18"/>
      <c r="AF1355" s="18"/>
      <c r="AG1355" s="16"/>
      <c r="AH1355" s="16"/>
      <c r="AI1355" s="18"/>
      <c r="AJ1355" s="18"/>
      <c r="AK1355" s="18"/>
      <c r="AL1355" s="18"/>
      <c r="AM1355" s="18"/>
      <c r="AN1355" s="18"/>
      <c r="AO1355" s="18"/>
      <c r="AP1355" s="18"/>
      <c r="AQ1355" s="18"/>
      <c r="AR1355" s="18"/>
      <c r="AS1355" s="18"/>
      <c r="AT1355" s="216"/>
      <c r="AU1355" s="18"/>
      <c r="AV1355" s="18"/>
      <c r="AW1355" s="18"/>
      <c r="AX1355" s="18"/>
      <c r="AY1355" s="18"/>
      <c r="AZ1355" s="18"/>
      <c r="BA1355" s="18"/>
      <c r="BB1355" s="18"/>
      <c r="BC1355" s="18"/>
      <c r="BD1355" s="18"/>
      <c r="BE1355" s="18"/>
      <c r="BF1355" s="15"/>
      <c r="BG1355" s="15"/>
    </row>
    <row r="1356" spans="1:59" ht="15.75" customHeight="1">
      <c r="A1356" s="216"/>
      <c r="B1356" s="12"/>
      <c r="C1356" s="12"/>
      <c r="D1356" s="13"/>
      <c r="E1356" s="12"/>
      <c r="F1356" s="13"/>
      <c r="G1356" s="13"/>
      <c r="H1356" s="12"/>
      <c r="I1356" s="18"/>
      <c r="J1356" s="16"/>
      <c r="K1356" s="16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18"/>
      <c r="AF1356" s="18"/>
      <c r="AG1356" s="16"/>
      <c r="AH1356" s="16"/>
      <c r="AI1356" s="18"/>
      <c r="AJ1356" s="18"/>
      <c r="AK1356" s="18"/>
      <c r="AL1356" s="18"/>
      <c r="AM1356" s="18"/>
      <c r="AN1356" s="18"/>
      <c r="AO1356" s="18"/>
      <c r="AP1356" s="18"/>
      <c r="AQ1356" s="18"/>
      <c r="AR1356" s="18"/>
      <c r="AS1356" s="18"/>
      <c r="AT1356" s="216"/>
      <c r="AU1356" s="18"/>
      <c r="AV1356" s="18"/>
      <c r="AW1356" s="18"/>
      <c r="AX1356" s="18"/>
      <c r="AY1356" s="18"/>
      <c r="AZ1356" s="18"/>
      <c r="BA1356" s="18"/>
      <c r="BB1356" s="18"/>
      <c r="BC1356" s="18"/>
      <c r="BD1356" s="18"/>
      <c r="BE1356" s="18"/>
      <c r="BF1356" s="15"/>
      <c r="BG1356" s="15"/>
    </row>
    <row r="1357" spans="1:59" ht="15.75" customHeight="1">
      <c r="A1357" s="216"/>
      <c r="B1357" s="12"/>
      <c r="C1357" s="12"/>
      <c r="D1357" s="13"/>
      <c r="E1357" s="12"/>
      <c r="F1357" s="13"/>
      <c r="G1357" s="13"/>
      <c r="H1357" s="12"/>
      <c r="I1357" s="18"/>
      <c r="J1357" s="16"/>
      <c r="K1357" s="16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  <c r="AA1357" s="18"/>
      <c r="AB1357" s="18"/>
      <c r="AC1357" s="18"/>
      <c r="AD1357" s="18"/>
      <c r="AE1357" s="18"/>
      <c r="AF1357" s="18"/>
      <c r="AG1357" s="16"/>
      <c r="AH1357" s="16"/>
      <c r="AI1357" s="18"/>
      <c r="AJ1357" s="18"/>
      <c r="AK1357" s="18"/>
      <c r="AL1357" s="18"/>
      <c r="AM1357" s="18"/>
      <c r="AN1357" s="18"/>
      <c r="AO1357" s="18"/>
      <c r="AP1357" s="18"/>
      <c r="AQ1357" s="18"/>
      <c r="AR1357" s="18"/>
      <c r="AS1357" s="18"/>
      <c r="AT1357" s="216"/>
      <c r="AU1357" s="18"/>
      <c r="AV1357" s="18"/>
      <c r="AW1357" s="18"/>
      <c r="AX1357" s="18"/>
      <c r="AY1357" s="18"/>
      <c r="AZ1357" s="18"/>
      <c r="BA1357" s="18"/>
      <c r="BB1357" s="18"/>
      <c r="BC1357" s="18"/>
      <c r="BD1357" s="18"/>
      <c r="BE1357" s="18"/>
      <c r="BF1357" s="15"/>
      <c r="BG1357" s="15"/>
    </row>
    <row r="1358" spans="1:59" ht="15.75" customHeight="1">
      <c r="A1358" s="216"/>
      <c r="B1358" s="12"/>
      <c r="C1358" s="12"/>
      <c r="D1358" s="13"/>
      <c r="E1358" s="12"/>
      <c r="F1358" s="13"/>
      <c r="G1358" s="13"/>
      <c r="H1358" s="12"/>
      <c r="I1358" s="18"/>
      <c r="J1358" s="16"/>
      <c r="K1358" s="16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18"/>
      <c r="AC1358" s="18"/>
      <c r="AD1358" s="18"/>
      <c r="AE1358" s="18"/>
      <c r="AF1358" s="18"/>
      <c r="AG1358" s="16"/>
      <c r="AH1358" s="16"/>
      <c r="AI1358" s="18"/>
      <c r="AJ1358" s="18"/>
      <c r="AK1358" s="18"/>
      <c r="AL1358" s="18"/>
      <c r="AM1358" s="18"/>
      <c r="AN1358" s="18"/>
      <c r="AO1358" s="18"/>
      <c r="AP1358" s="18"/>
      <c r="AQ1358" s="18"/>
      <c r="AR1358" s="18"/>
      <c r="AS1358" s="18"/>
      <c r="AT1358" s="216"/>
      <c r="AU1358" s="18"/>
      <c r="AV1358" s="18"/>
      <c r="AW1358" s="18"/>
      <c r="AX1358" s="18"/>
      <c r="AY1358" s="18"/>
      <c r="AZ1358" s="18"/>
      <c r="BA1358" s="18"/>
      <c r="BB1358" s="18"/>
      <c r="BC1358" s="18"/>
      <c r="BD1358" s="18"/>
      <c r="BE1358" s="18"/>
      <c r="BF1358" s="15"/>
      <c r="BG1358" s="15"/>
    </row>
    <row r="1359" spans="1:59" ht="15.75" customHeight="1">
      <c r="A1359" s="216"/>
      <c r="B1359" s="12"/>
      <c r="C1359" s="12"/>
      <c r="D1359" s="13"/>
      <c r="E1359" s="12"/>
      <c r="F1359" s="13"/>
      <c r="G1359" s="13"/>
      <c r="H1359" s="12"/>
      <c r="I1359" s="18"/>
      <c r="J1359" s="16"/>
      <c r="K1359" s="16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  <c r="AB1359" s="18"/>
      <c r="AC1359" s="18"/>
      <c r="AD1359" s="18"/>
      <c r="AE1359" s="18"/>
      <c r="AF1359" s="18"/>
      <c r="AG1359" s="16"/>
      <c r="AH1359" s="16"/>
      <c r="AI1359" s="18"/>
      <c r="AJ1359" s="18"/>
      <c r="AK1359" s="18"/>
      <c r="AL1359" s="18"/>
      <c r="AM1359" s="18"/>
      <c r="AN1359" s="18"/>
      <c r="AO1359" s="18"/>
      <c r="AP1359" s="18"/>
      <c r="AQ1359" s="18"/>
      <c r="AR1359" s="18"/>
      <c r="AS1359" s="18"/>
      <c r="AT1359" s="216"/>
      <c r="AU1359" s="18"/>
      <c r="AV1359" s="18"/>
      <c r="AW1359" s="18"/>
      <c r="AX1359" s="18"/>
      <c r="AY1359" s="18"/>
      <c r="AZ1359" s="18"/>
      <c r="BA1359" s="18"/>
      <c r="BB1359" s="18"/>
      <c r="BC1359" s="18"/>
      <c r="BD1359" s="18"/>
      <c r="BE1359" s="18"/>
      <c r="BF1359" s="15"/>
      <c r="BG1359" s="15"/>
    </row>
    <row r="1360" spans="1:59" ht="15.75" customHeight="1">
      <c r="A1360" s="216"/>
      <c r="B1360" s="12"/>
      <c r="C1360" s="12"/>
      <c r="D1360" s="13"/>
      <c r="E1360" s="12"/>
      <c r="F1360" s="13"/>
      <c r="G1360" s="13"/>
      <c r="H1360" s="12"/>
      <c r="I1360" s="18"/>
      <c r="J1360" s="16"/>
      <c r="K1360" s="16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  <c r="AC1360" s="18"/>
      <c r="AD1360" s="18"/>
      <c r="AE1360" s="18"/>
      <c r="AF1360" s="18"/>
      <c r="AG1360" s="16"/>
      <c r="AH1360" s="16"/>
      <c r="AI1360" s="18"/>
      <c r="AJ1360" s="18"/>
      <c r="AK1360" s="18"/>
      <c r="AL1360" s="18"/>
      <c r="AM1360" s="18"/>
      <c r="AN1360" s="18"/>
      <c r="AO1360" s="18"/>
      <c r="AP1360" s="18"/>
      <c r="AQ1360" s="18"/>
      <c r="AR1360" s="18"/>
      <c r="AS1360" s="18"/>
      <c r="AT1360" s="216"/>
      <c r="AU1360" s="18"/>
      <c r="AV1360" s="18"/>
      <c r="AW1360" s="18"/>
      <c r="AX1360" s="18"/>
      <c r="AY1360" s="18"/>
      <c r="AZ1360" s="18"/>
      <c r="BA1360" s="18"/>
      <c r="BB1360" s="18"/>
      <c r="BC1360" s="18"/>
      <c r="BD1360" s="18"/>
      <c r="BE1360" s="18"/>
      <c r="BF1360" s="15"/>
      <c r="BG1360" s="15"/>
    </row>
    <row r="1361" spans="1:59" ht="15.75" customHeight="1">
      <c r="A1361" s="216"/>
      <c r="B1361" s="12"/>
      <c r="C1361" s="12"/>
      <c r="D1361" s="13"/>
      <c r="E1361" s="12"/>
      <c r="F1361" s="13"/>
      <c r="G1361" s="13"/>
      <c r="H1361" s="12"/>
      <c r="I1361" s="18"/>
      <c r="J1361" s="16"/>
      <c r="K1361" s="16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  <c r="AB1361" s="18"/>
      <c r="AC1361" s="18"/>
      <c r="AD1361" s="18"/>
      <c r="AE1361" s="18"/>
      <c r="AF1361" s="18"/>
      <c r="AG1361" s="16"/>
      <c r="AH1361" s="16"/>
      <c r="AI1361" s="18"/>
      <c r="AJ1361" s="18"/>
      <c r="AK1361" s="18"/>
      <c r="AL1361" s="18"/>
      <c r="AM1361" s="18"/>
      <c r="AN1361" s="18"/>
      <c r="AO1361" s="18"/>
      <c r="AP1361" s="18"/>
      <c r="AQ1361" s="18"/>
      <c r="AR1361" s="18"/>
      <c r="AS1361" s="18"/>
      <c r="AT1361" s="216"/>
      <c r="AU1361" s="18"/>
      <c r="AV1361" s="18"/>
      <c r="AW1361" s="18"/>
      <c r="AX1361" s="18"/>
      <c r="AY1361" s="18"/>
      <c r="AZ1361" s="18"/>
      <c r="BA1361" s="18"/>
      <c r="BB1361" s="18"/>
      <c r="BC1361" s="18"/>
      <c r="BD1361" s="18"/>
      <c r="BE1361" s="18"/>
      <c r="BF1361" s="15"/>
      <c r="BG1361" s="15"/>
    </row>
    <row r="1362" spans="1:59" ht="15.75" customHeight="1">
      <c r="A1362" s="216"/>
      <c r="B1362" s="12"/>
      <c r="C1362" s="12"/>
      <c r="D1362" s="13"/>
      <c r="E1362" s="12"/>
      <c r="F1362" s="13"/>
      <c r="G1362" s="13"/>
      <c r="H1362" s="12"/>
      <c r="I1362" s="18"/>
      <c r="J1362" s="16"/>
      <c r="K1362" s="16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  <c r="AB1362" s="18"/>
      <c r="AC1362" s="18"/>
      <c r="AD1362" s="18"/>
      <c r="AE1362" s="18"/>
      <c r="AF1362" s="18"/>
      <c r="AG1362" s="16"/>
      <c r="AH1362" s="16"/>
      <c r="AI1362" s="18"/>
      <c r="AJ1362" s="18"/>
      <c r="AK1362" s="18"/>
      <c r="AL1362" s="18"/>
      <c r="AM1362" s="18"/>
      <c r="AN1362" s="18"/>
      <c r="AO1362" s="18"/>
      <c r="AP1362" s="18"/>
      <c r="AQ1362" s="18"/>
      <c r="AR1362" s="18"/>
      <c r="AS1362" s="18"/>
      <c r="AT1362" s="216"/>
      <c r="AU1362" s="18"/>
      <c r="AV1362" s="18"/>
      <c r="AW1362" s="18"/>
      <c r="AX1362" s="18"/>
      <c r="AY1362" s="18"/>
      <c r="AZ1362" s="18"/>
      <c r="BA1362" s="18"/>
      <c r="BB1362" s="18"/>
      <c r="BC1362" s="18"/>
      <c r="BD1362" s="18"/>
      <c r="BE1362" s="18"/>
      <c r="BF1362" s="15"/>
      <c r="BG1362" s="15"/>
    </row>
    <row r="1363" spans="1:59" ht="15.75" customHeight="1">
      <c r="A1363" s="216"/>
      <c r="B1363" s="12"/>
      <c r="C1363" s="12"/>
      <c r="D1363" s="13"/>
      <c r="E1363" s="12"/>
      <c r="F1363" s="13"/>
      <c r="G1363" s="13"/>
      <c r="H1363" s="12"/>
      <c r="I1363" s="18"/>
      <c r="J1363" s="16"/>
      <c r="K1363" s="16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  <c r="AA1363" s="18"/>
      <c r="AB1363" s="18"/>
      <c r="AC1363" s="18"/>
      <c r="AD1363" s="18"/>
      <c r="AE1363" s="18"/>
      <c r="AF1363" s="18"/>
      <c r="AG1363" s="16"/>
      <c r="AH1363" s="16"/>
      <c r="AI1363" s="18"/>
      <c r="AJ1363" s="18"/>
      <c r="AK1363" s="18"/>
      <c r="AL1363" s="18"/>
      <c r="AM1363" s="18"/>
      <c r="AN1363" s="18"/>
      <c r="AO1363" s="18"/>
      <c r="AP1363" s="18"/>
      <c r="AQ1363" s="18"/>
      <c r="AR1363" s="18"/>
      <c r="AS1363" s="18"/>
      <c r="AT1363" s="216"/>
      <c r="AU1363" s="18"/>
      <c r="AV1363" s="18"/>
      <c r="AW1363" s="18"/>
      <c r="AX1363" s="18"/>
      <c r="AY1363" s="18"/>
      <c r="AZ1363" s="18"/>
      <c r="BA1363" s="18"/>
      <c r="BB1363" s="18"/>
      <c r="BC1363" s="18"/>
      <c r="BD1363" s="18"/>
      <c r="BE1363" s="18"/>
      <c r="BF1363" s="15"/>
      <c r="BG1363" s="15"/>
    </row>
    <row r="1364" spans="1:59" ht="15.75" customHeight="1">
      <c r="A1364" s="216"/>
      <c r="B1364" s="12"/>
      <c r="C1364" s="12"/>
      <c r="D1364" s="13"/>
      <c r="E1364" s="12"/>
      <c r="F1364" s="13"/>
      <c r="G1364" s="13"/>
      <c r="H1364" s="12"/>
      <c r="I1364" s="18"/>
      <c r="J1364" s="16"/>
      <c r="K1364" s="16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  <c r="AA1364" s="18"/>
      <c r="AB1364" s="18"/>
      <c r="AC1364" s="18"/>
      <c r="AD1364" s="18"/>
      <c r="AE1364" s="18"/>
      <c r="AF1364" s="18"/>
      <c r="AG1364" s="16"/>
      <c r="AH1364" s="16"/>
      <c r="AI1364" s="18"/>
      <c r="AJ1364" s="18"/>
      <c r="AK1364" s="18"/>
      <c r="AL1364" s="18"/>
      <c r="AM1364" s="18"/>
      <c r="AN1364" s="18"/>
      <c r="AO1364" s="18"/>
      <c r="AP1364" s="18"/>
      <c r="AQ1364" s="18"/>
      <c r="AR1364" s="18"/>
      <c r="AS1364" s="18"/>
      <c r="AT1364" s="216"/>
      <c r="AU1364" s="18"/>
      <c r="AV1364" s="18"/>
      <c r="AW1364" s="18"/>
      <c r="AX1364" s="18"/>
      <c r="AY1364" s="18"/>
      <c r="AZ1364" s="18"/>
      <c r="BA1364" s="18"/>
      <c r="BB1364" s="18"/>
      <c r="BC1364" s="18"/>
      <c r="BD1364" s="18"/>
      <c r="BE1364" s="18"/>
      <c r="BF1364" s="15"/>
      <c r="BG1364" s="15"/>
    </row>
    <row r="1365" spans="1:59" ht="15.75" customHeight="1">
      <c r="A1365" s="216"/>
      <c r="B1365" s="12"/>
      <c r="C1365" s="12"/>
      <c r="D1365" s="13"/>
      <c r="E1365" s="12"/>
      <c r="F1365" s="13"/>
      <c r="G1365" s="13"/>
      <c r="H1365" s="12"/>
      <c r="I1365" s="18"/>
      <c r="J1365" s="16"/>
      <c r="K1365" s="16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  <c r="AA1365" s="18"/>
      <c r="AB1365" s="18"/>
      <c r="AC1365" s="18"/>
      <c r="AD1365" s="18"/>
      <c r="AE1365" s="18"/>
      <c r="AF1365" s="18"/>
      <c r="AG1365" s="16"/>
      <c r="AH1365" s="16"/>
      <c r="AI1365" s="18"/>
      <c r="AJ1365" s="18"/>
      <c r="AK1365" s="18"/>
      <c r="AL1365" s="18"/>
      <c r="AM1365" s="18"/>
      <c r="AN1365" s="18"/>
      <c r="AO1365" s="18"/>
      <c r="AP1365" s="18"/>
      <c r="AQ1365" s="18"/>
      <c r="AR1365" s="18"/>
      <c r="AS1365" s="18"/>
      <c r="AT1365" s="216"/>
      <c r="AU1365" s="18"/>
      <c r="AV1365" s="18"/>
      <c r="AW1365" s="18"/>
      <c r="AX1365" s="18"/>
      <c r="AY1365" s="18"/>
      <c r="AZ1365" s="18"/>
      <c r="BA1365" s="18"/>
      <c r="BB1365" s="18"/>
      <c r="BC1365" s="18"/>
      <c r="BD1365" s="18"/>
      <c r="BE1365" s="18"/>
      <c r="BF1365" s="15"/>
      <c r="BG1365" s="15"/>
    </row>
    <row r="1366" spans="1:59" ht="15.75" customHeight="1">
      <c r="A1366" s="216"/>
      <c r="B1366" s="12"/>
      <c r="C1366" s="12"/>
      <c r="D1366" s="13"/>
      <c r="E1366" s="12"/>
      <c r="F1366" s="13"/>
      <c r="G1366" s="13"/>
      <c r="H1366" s="12"/>
      <c r="I1366" s="18"/>
      <c r="J1366" s="16"/>
      <c r="K1366" s="16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  <c r="AB1366" s="18"/>
      <c r="AC1366" s="18"/>
      <c r="AD1366" s="18"/>
      <c r="AE1366" s="18"/>
      <c r="AF1366" s="18"/>
      <c r="AG1366" s="16"/>
      <c r="AH1366" s="16"/>
      <c r="AI1366" s="18"/>
      <c r="AJ1366" s="18"/>
      <c r="AK1366" s="18"/>
      <c r="AL1366" s="18"/>
      <c r="AM1366" s="18"/>
      <c r="AN1366" s="18"/>
      <c r="AO1366" s="18"/>
      <c r="AP1366" s="18"/>
      <c r="AQ1366" s="18"/>
      <c r="AR1366" s="18"/>
      <c r="AS1366" s="18"/>
      <c r="AT1366" s="216"/>
      <c r="AU1366" s="18"/>
      <c r="AV1366" s="18"/>
      <c r="AW1366" s="18"/>
      <c r="AX1366" s="18"/>
      <c r="AY1366" s="18"/>
      <c r="AZ1366" s="18"/>
      <c r="BA1366" s="18"/>
      <c r="BB1366" s="18"/>
      <c r="BC1366" s="18"/>
      <c r="BD1366" s="18"/>
      <c r="BE1366" s="18"/>
      <c r="BF1366" s="15"/>
      <c r="BG1366" s="15"/>
    </row>
    <row r="1367" spans="1:59" ht="15.75" customHeight="1">
      <c r="A1367" s="216"/>
      <c r="B1367" s="12"/>
      <c r="C1367" s="12"/>
      <c r="D1367" s="13"/>
      <c r="E1367" s="12"/>
      <c r="F1367" s="13"/>
      <c r="G1367" s="13"/>
      <c r="H1367" s="12"/>
      <c r="I1367" s="18"/>
      <c r="J1367" s="16"/>
      <c r="K1367" s="16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  <c r="AA1367" s="18"/>
      <c r="AB1367" s="18"/>
      <c r="AC1367" s="18"/>
      <c r="AD1367" s="18"/>
      <c r="AE1367" s="18"/>
      <c r="AF1367" s="18"/>
      <c r="AG1367" s="16"/>
      <c r="AH1367" s="16"/>
      <c r="AI1367" s="18"/>
      <c r="AJ1367" s="18"/>
      <c r="AK1367" s="18"/>
      <c r="AL1367" s="18"/>
      <c r="AM1367" s="18"/>
      <c r="AN1367" s="18"/>
      <c r="AO1367" s="18"/>
      <c r="AP1367" s="18"/>
      <c r="AQ1367" s="18"/>
      <c r="AR1367" s="18"/>
      <c r="AS1367" s="18"/>
      <c r="AT1367" s="216"/>
      <c r="AU1367" s="18"/>
      <c r="AV1367" s="18"/>
      <c r="AW1367" s="18"/>
      <c r="AX1367" s="18"/>
      <c r="AY1367" s="18"/>
      <c r="AZ1367" s="18"/>
      <c r="BA1367" s="18"/>
      <c r="BB1367" s="18"/>
      <c r="BC1367" s="18"/>
      <c r="BD1367" s="18"/>
      <c r="BE1367" s="18"/>
      <c r="BF1367" s="15"/>
      <c r="BG1367" s="15"/>
    </row>
    <row r="1368" spans="1:59" ht="15.75" customHeight="1">
      <c r="A1368" s="216"/>
      <c r="B1368" s="12"/>
      <c r="C1368" s="12"/>
      <c r="D1368" s="13"/>
      <c r="E1368" s="12"/>
      <c r="F1368" s="13"/>
      <c r="G1368" s="13"/>
      <c r="H1368" s="12"/>
      <c r="I1368" s="18"/>
      <c r="J1368" s="16"/>
      <c r="K1368" s="16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  <c r="AB1368" s="18"/>
      <c r="AC1368" s="18"/>
      <c r="AD1368" s="18"/>
      <c r="AE1368" s="18"/>
      <c r="AF1368" s="18"/>
      <c r="AG1368" s="16"/>
      <c r="AH1368" s="16"/>
      <c r="AI1368" s="18"/>
      <c r="AJ1368" s="18"/>
      <c r="AK1368" s="18"/>
      <c r="AL1368" s="18"/>
      <c r="AM1368" s="18"/>
      <c r="AN1368" s="18"/>
      <c r="AO1368" s="18"/>
      <c r="AP1368" s="18"/>
      <c r="AQ1368" s="18"/>
      <c r="AR1368" s="18"/>
      <c r="AS1368" s="18"/>
      <c r="AT1368" s="216"/>
      <c r="AU1368" s="18"/>
      <c r="AV1368" s="18"/>
      <c r="AW1368" s="18"/>
      <c r="AX1368" s="18"/>
      <c r="AY1368" s="18"/>
      <c r="AZ1368" s="18"/>
      <c r="BA1368" s="18"/>
      <c r="BB1368" s="18"/>
      <c r="BC1368" s="18"/>
      <c r="BD1368" s="18"/>
      <c r="BE1368" s="18"/>
      <c r="BF1368" s="15"/>
      <c r="BG1368" s="15"/>
    </row>
    <row r="1369" spans="1:59" ht="15.75" customHeight="1">
      <c r="A1369" s="216"/>
      <c r="B1369" s="12"/>
      <c r="C1369" s="12"/>
      <c r="D1369" s="13"/>
      <c r="E1369" s="12"/>
      <c r="F1369" s="13"/>
      <c r="G1369" s="13"/>
      <c r="H1369" s="12"/>
      <c r="I1369" s="18"/>
      <c r="J1369" s="16"/>
      <c r="K1369" s="16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  <c r="AB1369" s="18"/>
      <c r="AC1369" s="18"/>
      <c r="AD1369" s="18"/>
      <c r="AE1369" s="18"/>
      <c r="AF1369" s="18"/>
      <c r="AG1369" s="16"/>
      <c r="AH1369" s="16"/>
      <c r="AI1369" s="18"/>
      <c r="AJ1369" s="18"/>
      <c r="AK1369" s="18"/>
      <c r="AL1369" s="18"/>
      <c r="AM1369" s="18"/>
      <c r="AN1369" s="18"/>
      <c r="AO1369" s="18"/>
      <c r="AP1369" s="18"/>
      <c r="AQ1369" s="18"/>
      <c r="AR1369" s="18"/>
      <c r="AS1369" s="18"/>
      <c r="AT1369" s="216"/>
      <c r="AU1369" s="18"/>
      <c r="AV1369" s="18"/>
      <c r="AW1369" s="18"/>
      <c r="AX1369" s="18"/>
      <c r="AY1369" s="18"/>
      <c r="AZ1369" s="18"/>
      <c r="BA1369" s="18"/>
      <c r="BB1369" s="18"/>
      <c r="BC1369" s="18"/>
      <c r="BD1369" s="18"/>
      <c r="BE1369" s="18"/>
      <c r="BF1369" s="15"/>
      <c r="BG1369" s="15"/>
    </row>
    <row r="1370" spans="1:59" ht="15.75" customHeight="1">
      <c r="A1370" s="216"/>
      <c r="B1370" s="12"/>
      <c r="C1370" s="12"/>
      <c r="D1370" s="13"/>
      <c r="E1370" s="12"/>
      <c r="F1370" s="13"/>
      <c r="G1370" s="13"/>
      <c r="H1370" s="12"/>
      <c r="I1370" s="18"/>
      <c r="J1370" s="16"/>
      <c r="K1370" s="16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  <c r="AA1370" s="18"/>
      <c r="AB1370" s="18"/>
      <c r="AC1370" s="18"/>
      <c r="AD1370" s="18"/>
      <c r="AE1370" s="18"/>
      <c r="AF1370" s="18"/>
      <c r="AG1370" s="16"/>
      <c r="AH1370" s="16"/>
      <c r="AI1370" s="18"/>
      <c r="AJ1370" s="18"/>
      <c r="AK1370" s="18"/>
      <c r="AL1370" s="18"/>
      <c r="AM1370" s="18"/>
      <c r="AN1370" s="18"/>
      <c r="AO1370" s="18"/>
      <c r="AP1370" s="18"/>
      <c r="AQ1370" s="18"/>
      <c r="AR1370" s="18"/>
      <c r="AS1370" s="18"/>
      <c r="AT1370" s="216"/>
      <c r="AU1370" s="18"/>
      <c r="AV1370" s="18"/>
      <c r="AW1370" s="18"/>
      <c r="AX1370" s="18"/>
      <c r="AY1370" s="18"/>
      <c r="AZ1370" s="18"/>
      <c r="BA1370" s="18"/>
      <c r="BB1370" s="18"/>
      <c r="BC1370" s="18"/>
      <c r="BD1370" s="18"/>
      <c r="BE1370" s="18"/>
      <c r="BF1370" s="15"/>
      <c r="BG1370" s="15"/>
    </row>
    <row r="1371" spans="1:59" ht="15.75" customHeight="1">
      <c r="A1371" s="216"/>
      <c r="B1371" s="12"/>
      <c r="C1371" s="12"/>
      <c r="D1371" s="13"/>
      <c r="E1371" s="12"/>
      <c r="F1371" s="13"/>
      <c r="G1371" s="13"/>
      <c r="H1371" s="12"/>
      <c r="I1371" s="18"/>
      <c r="J1371" s="16"/>
      <c r="K1371" s="16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  <c r="AB1371" s="18"/>
      <c r="AC1371" s="18"/>
      <c r="AD1371" s="18"/>
      <c r="AE1371" s="18"/>
      <c r="AF1371" s="18"/>
      <c r="AG1371" s="16"/>
      <c r="AH1371" s="16"/>
      <c r="AI1371" s="18"/>
      <c r="AJ1371" s="18"/>
      <c r="AK1371" s="18"/>
      <c r="AL1371" s="18"/>
      <c r="AM1371" s="18"/>
      <c r="AN1371" s="18"/>
      <c r="AO1371" s="18"/>
      <c r="AP1371" s="18"/>
      <c r="AQ1371" s="18"/>
      <c r="AR1371" s="18"/>
      <c r="AS1371" s="18"/>
      <c r="AT1371" s="216"/>
      <c r="AU1371" s="18"/>
      <c r="AV1371" s="18"/>
      <c r="AW1371" s="18"/>
      <c r="AX1371" s="18"/>
      <c r="AY1371" s="18"/>
      <c r="AZ1371" s="18"/>
      <c r="BA1371" s="18"/>
      <c r="BB1371" s="18"/>
      <c r="BC1371" s="18"/>
      <c r="BD1371" s="18"/>
      <c r="BE1371" s="18"/>
      <c r="BF1371" s="15"/>
      <c r="BG1371" s="15"/>
    </row>
    <row r="1372" spans="1:59" ht="15.75" customHeight="1">
      <c r="A1372" s="216"/>
      <c r="B1372" s="12"/>
      <c r="C1372" s="12"/>
      <c r="D1372" s="13"/>
      <c r="E1372" s="12"/>
      <c r="F1372" s="13"/>
      <c r="G1372" s="13"/>
      <c r="H1372" s="12"/>
      <c r="I1372" s="18"/>
      <c r="J1372" s="16"/>
      <c r="K1372" s="16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  <c r="AA1372" s="18"/>
      <c r="AB1372" s="18"/>
      <c r="AC1372" s="18"/>
      <c r="AD1372" s="18"/>
      <c r="AE1372" s="18"/>
      <c r="AF1372" s="18"/>
      <c r="AG1372" s="16"/>
      <c r="AH1372" s="16"/>
      <c r="AI1372" s="18"/>
      <c r="AJ1372" s="18"/>
      <c r="AK1372" s="18"/>
      <c r="AL1372" s="18"/>
      <c r="AM1372" s="18"/>
      <c r="AN1372" s="18"/>
      <c r="AO1372" s="18"/>
      <c r="AP1372" s="18"/>
      <c r="AQ1372" s="18"/>
      <c r="AR1372" s="18"/>
      <c r="AS1372" s="18"/>
      <c r="AT1372" s="216"/>
      <c r="AU1372" s="18"/>
      <c r="AV1372" s="18"/>
      <c r="AW1372" s="18"/>
      <c r="AX1372" s="18"/>
      <c r="AY1372" s="18"/>
      <c r="AZ1372" s="18"/>
      <c r="BA1372" s="18"/>
      <c r="BB1372" s="18"/>
      <c r="BC1372" s="18"/>
      <c r="BD1372" s="18"/>
      <c r="BE1372" s="18"/>
      <c r="BF1372" s="15"/>
      <c r="BG1372" s="15"/>
    </row>
    <row r="1373" spans="1:59" ht="15.75" customHeight="1">
      <c r="A1373" s="216"/>
      <c r="B1373" s="12"/>
      <c r="C1373" s="12"/>
      <c r="D1373" s="13"/>
      <c r="E1373" s="12"/>
      <c r="F1373" s="13"/>
      <c r="G1373" s="13"/>
      <c r="H1373" s="12"/>
      <c r="I1373" s="18"/>
      <c r="J1373" s="16"/>
      <c r="K1373" s="16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  <c r="AA1373" s="18"/>
      <c r="AB1373" s="18"/>
      <c r="AC1373" s="18"/>
      <c r="AD1373" s="18"/>
      <c r="AE1373" s="18"/>
      <c r="AF1373" s="18"/>
      <c r="AG1373" s="16"/>
      <c r="AH1373" s="16"/>
      <c r="AI1373" s="18"/>
      <c r="AJ1373" s="18"/>
      <c r="AK1373" s="18"/>
      <c r="AL1373" s="18"/>
      <c r="AM1373" s="18"/>
      <c r="AN1373" s="18"/>
      <c r="AO1373" s="18"/>
      <c r="AP1373" s="18"/>
      <c r="AQ1373" s="18"/>
      <c r="AR1373" s="18"/>
      <c r="AS1373" s="18"/>
      <c r="AT1373" s="216"/>
      <c r="AU1373" s="18"/>
      <c r="AV1373" s="18"/>
      <c r="AW1373" s="18"/>
      <c r="AX1373" s="18"/>
      <c r="AY1373" s="18"/>
      <c r="AZ1373" s="18"/>
      <c r="BA1373" s="18"/>
      <c r="BB1373" s="18"/>
      <c r="BC1373" s="18"/>
      <c r="BD1373" s="18"/>
      <c r="BE1373" s="18"/>
      <c r="BF1373" s="15"/>
      <c r="BG1373" s="15"/>
    </row>
    <row r="1374" spans="1:59" ht="15.75" customHeight="1">
      <c r="A1374" s="216"/>
      <c r="B1374" s="12"/>
      <c r="C1374" s="12"/>
      <c r="D1374" s="13"/>
      <c r="E1374" s="12"/>
      <c r="F1374" s="13"/>
      <c r="G1374" s="13"/>
      <c r="H1374" s="12"/>
      <c r="I1374" s="18"/>
      <c r="J1374" s="16"/>
      <c r="K1374" s="16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  <c r="AB1374" s="18"/>
      <c r="AC1374" s="18"/>
      <c r="AD1374" s="18"/>
      <c r="AE1374" s="18"/>
      <c r="AF1374" s="18"/>
      <c r="AG1374" s="16"/>
      <c r="AH1374" s="16"/>
      <c r="AI1374" s="18"/>
      <c r="AJ1374" s="18"/>
      <c r="AK1374" s="18"/>
      <c r="AL1374" s="18"/>
      <c r="AM1374" s="18"/>
      <c r="AN1374" s="18"/>
      <c r="AO1374" s="18"/>
      <c r="AP1374" s="18"/>
      <c r="AQ1374" s="18"/>
      <c r="AR1374" s="18"/>
      <c r="AS1374" s="18"/>
      <c r="AT1374" s="216"/>
      <c r="AU1374" s="18"/>
      <c r="AV1374" s="18"/>
      <c r="AW1374" s="18"/>
      <c r="AX1374" s="18"/>
      <c r="AY1374" s="18"/>
      <c r="AZ1374" s="18"/>
      <c r="BA1374" s="18"/>
      <c r="BB1374" s="18"/>
      <c r="BC1374" s="18"/>
      <c r="BD1374" s="18"/>
      <c r="BE1374" s="18"/>
      <c r="BF1374" s="15"/>
      <c r="BG1374" s="15"/>
    </row>
    <row r="1375" spans="1:59" ht="15.75" customHeight="1">
      <c r="A1375" s="216"/>
      <c r="B1375" s="12"/>
      <c r="C1375" s="12"/>
      <c r="D1375" s="13"/>
      <c r="E1375" s="12"/>
      <c r="F1375" s="13"/>
      <c r="G1375" s="13"/>
      <c r="H1375" s="12"/>
      <c r="I1375" s="18"/>
      <c r="J1375" s="16"/>
      <c r="K1375" s="16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  <c r="AA1375" s="18"/>
      <c r="AB1375" s="18"/>
      <c r="AC1375" s="18"/>
      <c r="AD1375" s="18"/>
      <c r="AE1375" s="18"/>
      <c r="AF1375" s="18"/>
      <c r="AG1375" s="16"/>
      <c r="AH1375" s="16"/>
      <c r="AI1375" s="18"/>
      <c r="AJ1375" s="18"/>
      <c r="AK1375" s="18"/>
      <c r="AL1375" s="18"/>
      <c r="AM1375" s="18"/>
      <c r="AN1375" s="18"/>
      <c r="AO1375" s="18"/>
      <c r="AP1375" s="18"/>
      <c r="AQ1375" s="18"/>
      <c r="AR1375" s="18"/>
      <c r="AS1375" s="18"/>
      <c r="AT1375" s="216"/>
      <c r="AU1375" s="18"/>
      <c r="AV1375" s="18"/>
      <c r="AW1375" s="18"/>
      <c r="AX1375" s="18"/>
      <c r="AY1375" s="18"/>
      <c r="AZ1375" s="18"/>
      <c r="BA1375" s="18"/>
      <c r="BB1375" s="18"/>
      <c r="BC1375" s="18"/>
      <c r="BD1375" s="18"/>
      <c r="BE1375" s="18"/>
      <c r="BF1375" s="15"/>
      <c r="BG1375" s="15"/>
    </row>
    <row r="1376" spans="1:59" ht="15.75" customHeight="1">
      <c r="A1376" s="216"/>
      <c r="B1376" s="12"/>
      <c r="C1376" s="12"/>
      <c r="D1376" s="13"/>
      <c r="E1376" s="12"/>
      <c r="F1376" s="13"/>
      <c r="G1376" s="13"/>
      <c r="H1376" s="12"/>
      <c r="I1376" s="18"/>
      <c r="J1376" s="16"/>
      <c r="K1376" s="16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  <c r="AB1376" s="18"/>
      <c r="AC1376" s="18"/>
      <c r="AD1376" s="18"/>
      <c r="AE1376" s="18"/>
      <c r="AF1376" s="18"/>
      <c r="AG1376" s="16"/>
      <c r="AH1376" s="16"/>
      <c r="AI1376" s="18"/>
      <c r="AJ1376" s="18"/>
      <c r="AK1376" s="18"/>
      <c r="AL1376" s="18"/>
      <c r="AM1376" s="18"/>
      <c r="AN1376" s="18"/>
      <c r="AO1376" s="18"/>
      <c r="AP1376" s="18"/>
      <c r="AQ1376" s="18"/>
      <c r="AR1376" s="18"/>
      <c r="AS1376" s="18"/>
      <c r="AT1376" s="216"/>
      <c r="AU1376" s="18"/>
      <c r="AV1376" s="18"/>
      <c r="AW1376" s="18"/>
      <c r="AX1376" s="18"/>
      <c r="AY1376" s="18"/>
      <c r="AZ1376" s="18"/>
      <c r="BA1376" s="18"/>
      <c r="BB1376" s="18"/>
      <c r="BC1376" s="18"/>
      <c r="BD1376" s="18"/>
      <c r="BE1376" s="18"/>
      <c r="BF1376" s="15"/>
      <c r="BG1376" s="15"/>
    </row>
    <row r="1377" spans="1:59" ht="15.75" customHeight="1">
      <c r="A1377" s="216"/>
      <c r="B1377" s="12"/>
      <c r="C1377" s="12"/>
      <c r="D1377" s="13"/>
      <c r="E1377" s="12"/>
      <c r="F1377" s="13"/>
      <c r="G1377" s="13"/>
      <c r="H1377" s="12"/>
      <c r="I1377" s="18"/>
      <c r="J1377" s="16"/>
      <c r="K1377" s="16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  <c r="AB1377" s="18"/>
      <c r="AC1377" s="18"/>
      <c r="AD1377" s="18"/>
      <c r="AE1377" s="18"/>
      <c r="AF1377" s="18"/>
      <c r="AG1377" s="16"/>
      <c r="AH1377" s="16"/>
      <c r="AI1377" s="18"/>
      <c r="AJ1377" s="18"/>
      <c r="AK1377" s="18"/>
      <c r="AL1377" s="18"/>
      <c r="AM1377" s="18"/>
      <c r="AN1377" s="18"/>
      <c r="AO1377" s="18"/>
      <c r="AP1377" s="18"/>
      <c r="AQ1377" s="18"/>
      <c r="AR1377" s="18"/>
      <c r="AS1377" s="18"/>
      <c r="AT1377" s="216"/>
      <c r="AU1377" s="18"/>
      <c r="AV1377" s="18"/>
      <c r="AW1377" s="18"/>
      <c r="AX1377" s="18"/>
      <c r="AY1377" s="18"/>
      <c r="AZ1377" s="18"/>
      <c r="BA1377" s="18"/>
      <c r="BB1377" s="18"/>
      <c r="BC1377" s="18"/>
      <c r="BD1377" s="18"/>
      <c r="BE1377" s="18"/>
      <c r="BF1377" s="15"/>
      <c r="BG1377" s="15"/>
    </row>
    <row r="1378" spans="1:59" ht="15.75" customHeight="1">
      <c r="A1378" s="216"/>
      <c r="B1378" s="12"/>
      <c r="C1378" s="12"/>
      <c r="D1378" s="13"/>
      <c r="E1378" s="12"/>
      <c r="F1378" s="13"/>
      <c r="G1378" s="13"/>
      <c r="H1378" s="12"/>
      <c r="I1378" s="18"/>
      <c r="J1378" s="16"/>
      <c r="K1378" s="16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  <c r="AA1378" s="18"/>
      <c r="AB1378" s="18"/>
      <c r="AC1378" s="18"/>
      <c r="AD1378" s="18"/>
      <c r="AE1378" s="18"/>
      <c r="AF1378" s="18"/>
      <c r="AG1378" s="16"/>
      <c r="AH1378" s="16"/>
      <c r="AI1378" s="18"/>
      <c r="AJ1378" s="18"/>
      <c r="AK1378" s="18"/>
      <c r="AL1378" s="18"/>
      <c r="AM1378" s="18"/>
      <c r="AN1378" s="18"/>
      <c r="AO1378" s="18"/>
      <c r="AP1378" s="18"/>
      <c r="AQ1378" s="18"/>
      <c r="AR1378" s="18"/>
      <c r="AS1378" s="18"/>
      <c r="AT1378" s="216"/>
      <c r="AU1378" s="18"/>
      <c r="AV1378" s="18"/>
      <c r="AW1378" s="18"/>
      <c r="AX1378" s="18"/>
      <c r="AY1378" s="18"/>
      <c r="AZ1378" s="18"/>
      <c r="BA1378" s="18"/>
      <c r="BB1378" s="18"/>
      <c r="BC1378" s="18"/>
      <c r="BD1378" s="18"/>
      <c r="BE1378" s="18"/>
      <c r="BF1378" s="15"/>
      <c r="BG1378" s="15"/>
    </row>
    <row r="1379" spans="1:59" ht="15.75" customHeight="1">
      <c r="A1379" s="216"/>
      <c r="B1379" s="12"/>
      <c r="C1379" s="12"/>
      <c r="D1379" s="13"/>
      <c r="E1379" s="12"/>
      <c r="F1379" s="13"/>
      <c r="G1379" s="13"/>
      <c r="H1379" s="12"/>
      <c r="I1379" s="18"/>
      <c r="J1379" s="16"/>
      <c r="K1379" s="16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  <c r="AA1379" s="18"/>
      <c r="AB1379" s="18"/>
      <c r="AC1379" s="18"/>
      <c r="AD1379" s="18"/>
      <c r="AE1379" s="18"/>
      <c r="AF1379" s="18"/>
      <c r="AG1379" s="16"/>
      <c r="AH1379" s="16"/>
      <c r="AI1379" s="18"/>
      <c r="AJ1379" s="18"/>
      <c r="AK1379" s="18"/>
      <c r="AL1379" s="18"/>
      <c r="AM1379" s="18"/>
      <c r="AN1379" s="18"/>
      <c r="AO1379" s="18"/>
      <c r="AP1379" s="18"/>
      <c r="AQ1379" s="18"/>
      <c r="AR1379" s="18"/>
      <c r="AS1379" s="18"/>
      <c r="AT1379" s="216"/>
      <c r="AU1379" s="18"/>
      <c r="AV1379" s="18"/>
      <c r="AW1379" s="18"/>
      <c r="AX1379" s="18"/>
      <c r="AY1379" s="18"/>
      <c r="AZ1379" s="18"/>
      <c r="BA1379" s="18"/>
      <c r="BB1379" s="18"/>
      <c r="BC1379" s="18"/>
      <c r="BD1379" s="18"/>
      <c r="BE1379" s="18"/>
      <c r="BF1379" s="15"/>
      <c r="BG1379" s="15"/>
    </row>
    <row r="1380" spans="1:59" ht="15.75" customHeight="1">
      <c r="A1380" s="216"/>
      <c r="B1380" s="12"/>
      <c r="C1380" s="12"/>
      <c r="D1380" s="13"/>
      <c r="E1380" s="12"/>
      <c r="F1380" s="13"/>
      <c r="G1380" s="13"/>
      <c r="H1380" s="12"/>
      <c r="I1380" s="18"/>
      <c r="J1380" s="16"/>
      <c r="K1380" s="16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  <c r="AB1380" s="18"/>
      <c r="AC1380" s="18"/>
      <c r="AD1380" s="18"/>
      <c r="AE1380" s="18"/>
      <c r="AF1380" s="18"/>
      <c r="AG1380" s="16"/>
      <c r="AH1380" s="16"/>
      <c r="AI1380" s="18"/>
      <c r="AJ1380" s="18"/>
      <c r="AK1380" s="18"/>
      <c r="AL1380" s="18"/>
      <c r="AM1380" s="18"/>
      <c r="AN1380" s="18"/>
      <c r="AO1380" s="18"/>
      <c r="AP1380" s="18"/>
      <c r="AQ1380" s="18"/>
      <c r="AR1380" s="18"/>
      <c r="AS1380" s="18"/>
      <c r="AT1380" s="216"/>
      <c r="AU1380" s="18"/>
      <c r="AV1380" s="18"/>
      <c r="AW1380" s="18"/>
      <c r="AX1380" s="18"/>
      <c r="AY1380" s="18"/>
      <c r="AZ1380" s="18"/>
      <c r="BA1380" s="18"/>
      <c r="BB1380" s="18"/>
      <c r="BC1380" s="18"/>
      <c r="BD1380" s="18"/>
      <c r="BE1380" s="18"/>
      <c r="BF1380" s="15"/>
      <c r="BG1380" s="15"/>
    </row>
    <row r="1381" spans="1:59" ht="15.75" customHeight="1">
      <c r="A1381" s="216"/>
      <c r="B1381" s="12"/>
      <c r="C1381" s="12"/>
      <c r="D1381" s="13"/>
      <c r="E1381" s="12"/>
      <c r="F1381" s="13"/>
      <c r="G1381" s="13"/>
      <c r="H1381" s="12"/>
      <c r="I1381" s="18"/>
      <c r="J1381" s="16"/>
      <c r="K1381" s="16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  <c r="AB1381" s="18"/>
      <c r="AC1381" s="18"/>
      <c r="AD1381" s="18"/>
      <c r="AE1381" s="18"/>
      <c r="AF1381" s="18"/>
      <c r="AG1381" s="16"/>
      <c r="AH1381" s="16"/>
      <c r="AI1381" s="18"/>
      <c r="AJ1381" s="18"/>
      <c r="AK1381" s="18"/>
      <c r="AL1381" s="18"/>
      <c r="AM1381" s="18"/>
      <c r="AN1381" s="18"/>
      <c r="AO1381" s="18"/>
      <c r="AP1381" s="18"/>
      <c r="AQ1381" s="18"/>
      <c r="AR1381" s="18"/>
      <c r="AS1381" s="18"/>
      <c r="AT1381" s="216"/>
      <c r="AU1381" s="18"/>
      <c r="AV1381" s="18"/>
      <c r="AW1381" s="18"/>
      <c r="AX1381" s="18"/>
      <c r="AY1381" s="18"/>
      <c r="AZ1381" s="18"/>
      <c r="BA1381" s="18"/>
      <c r="BB1381" s="18"/>
      <c r="BC1381" s="18"/>
      <c r="BD1381" s="18"/>
      <c r="BE1381" s="18"/>
      <c r="BF1381" s="15"/>
      <c r="BG1381" s="15"/>
    </row>
    <row r="1382" spans="1:59" ht="15.75" customHeight="1">
      <c r="A1382" s="216"/>
      <c r="B1382" s="12"/>
      <c r="C1382" s="12"/>
      <c r="D1382" s="13"/>
      <c r="E1382" s="12"/>
      <c r="F1382" s="13"/>
      <c r="G1382" s="13"/>
      <c r="H1382" s="12"/>
      <c r="I1382" s="18"/>
      <c r="J1382" s="16"/>
      <c r="K1382" s="16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  <c r="AB1382" s="18"/>
      <c r="AC1382" s="18"/>
      <c r="AD1382" s="18"/>
      <c r="AE1382" s="18"/>
      <c r="AF1382" s="18"/>
      <c r="AG1382" s="16"/>
      <c r="AH1382" s="16"/>
      <c r="AI1382" s="18"/>
      <c r="AJ1382" s="18"/>
      <c r="AK1382" s="18"/>
      <c r="AL1382" s="18"/>
      <c r="AM1382" s="18"/>
      <c r="AN1382" s="18"/>
      <c r="AO1382" s="18"/>
      <c r="AP1382" s="18"/>
      <c r="AQ1382" s="18"/>
      <c r="AR1382" s="18"/>
      <c r="AS1382" s="18"/>
      <c r="AT1382" s="216"/>
      <c r="AU1382" s="18"/>
      <c r="AV1382" s="18"/>
      <c r="AW1382" s="18"/>
      <c r="AX1382" s="18"/>
      <c r="AY1382" s="18"/>
      <c r="AZ1382" s="18"/>
      <c r="BA1382" s="18"/>
      <c r="BB1382" s="18"/>
      <c r="BC1382" s="18"/>
      <c r="BD1382" s="18"/>
      <c r="BE1382" s="18"/>
      <c r="BF1382" s="15"/>
      <c r="BG1382" s="15"/>
    </row>
    <row r="1383" spans="1:59" ht="15.75" customHeight="1">
      <c r="A1383" s="216"/>
      <c r="B1383" s="12"/>
      <c r="C1383" s="12"/>
      <c r="D1383" s="13"/>
      <c r="E1383" s="12"/>
      <c r="F1383" s="13"/>
      <c r="G1383" s="13"/>
      <c r="H1383" s="12"/>
      <c r="I1383" s="18"/>
      <c r="J1383" s="16"/>
      <c r="K1383" s="16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  <c r="AB1383" s="18"/>
      <c r="AC1383" s="18"/>
      <c r="AD1383" s="18"/>
      <c r="AE1383" s="18"/>
      <c r="AF1383" s="18"/>
      <c r="AG1383" s="16"/>
      <c r="AH1383" s="16"/>
      <c r="AI1383" s="18"/>
      <c r="AJ1383" s="18"/>
      <c r="AK1383" s="18"/>
      <c r="AL1383" s="18"/>
      <c r="AM1383" s="18"/>
      <c r="AN1383" s="18"/>
      <c r="AO1383" s="18"/>
      <c r="AP1383" s="18"/>
      <c r="AQ1383" s="18"/>
      <c r="AR1383" s="18"/>
      <c r="AS1383" s="18"/>
      <c r="AT1383" s="216"/>
      <c r="AU1383" s="18"/>
      <c r="AV1383" s="18"/>
      <c r="AW1383" s="18"/>
      <c r="AX1383" s="18"/>
      <c r="AY1383" s="18"/>
      <c r="AZ1383" s="18"/>
      <c r="BA1383" s="18"/>
      <c r="BB1383" s="18"/>
      <c r="BC1383" s="18"/>
      <c r="BD1383" s="18"/>
      <c r="BE1383" s="18"/>
      <c r="BF1383" s="15"/>
      <c r="BG1383" s="15"/>
    </row>
    <row r="1384" spans="1:59" ht="15.75" customHeight="1">
      <c r="A1384" s="216"/>
      <c r="B1384" s="12"/>
      <c r="C1384" s="12"/>
      <c r="D1384" s="13"/>
      <c r="E1384" s="12"/>
      <c r="F1384" s="13"/>
      <c r="G1384" s="13"/>
      <c r="H1384" s="12"/>
      <c r="I1384" s="18"/>
      <c r="J1384" s="16"/>
      <c r="K1384" s="16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  <c r="AA1384" s="18"/>
      <c r="AB1384" s="18"/>
      <c r="AC1384" s="18"/>
      <c r="AD1384" s="18"/>
      <c r="AE1384" s="18"/>
      <c r="AF1384" s="18"/>
      <c r="AG1384" s="16"/>
      <c r="AH1384" s="16"/>
      <c r="AI1384" s="18"/>
      <c r="AJ1384" s="18"/>
      <c r="AK1384" s="18"/>
      <c r="AL1384" s="18"/>
      <c r="AM1384" s="18"/>
      <c r="AN1384" s="18"/>
      <c r="AO1384" s="18"/>
      <c r="AP1384" s="18"/>
      <c r="AQ1384" s="18"/>
      <c r="AR1384" s="18"/>
      <c r="AS1384" s="18"/>
      <c r="AT1384" s="216"/>
      <c r="AU1384" s="18"/>
      <c r="AV1384" s="18"/>
      <c r="AW1384" s="18"/>
      <c r="AX1384" s="18"/>
      <c r="AY1384" s="18"/>
      <c r="AZ1384" s="18"/>
      <c r="BA1384" s="18"/>
      <c r="BB1384" s="18"/>
      <c r="BC1384" s="18"/>
      <c r="BD1384" s="18"/>
      <c r="BE1384" s="18"/>
      <c r="BF1384" s="15"/>
      <c r="BG1384" s="15"/>
    </row>
    <row r="1385" spans="1:59" ht="15.75" customHeight="1">
      <c r="A1385" s="216"/>
      <c r="B1385" s="12"/>
      <c r="C1385" s="12"/>
      <c r="D1385" s="13"/>
      <c r="E1385" s="12"/>
      <c r="F1385" s="13"/>
      <c r="G1385" s="13"/>
      <c r="H1385" s="12"/>
      <c r="I1385" s="18"/>
      <c r="J1385" s="16"/>
      <c r="K1385" s="16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  <c r="AB1385" s="18"/>
      <c r="AC1385" s="18"/>
      <c r="AD1385" s="18"/>
      <c r="AE1385" s="18"/>
      <c r="AF1385" s="18"/>
      <c r="AG1385" s="16"/>
      <c r="AH1385" s="16"/>
      <c r="AI1385" s="18"/>
      <c r="AJ1385" s="18"/>
      <c r="AK1385" s="18"/>
      <c r="AL1385" s="18"/>
      <c r="AM1385" s="18"/>
      <c r="AN1385" s="18"/>
      <c r="AO1385" s="18"/>
      <c r="AP1385" s="18"/>
      <c r="AQ1385" s="18"/>
      <c r="AR1385" s="18"/>
      <c r="AS1385" s="18"/>
      <c r="AT1385" s="216"/>
      <c r="AU1385" s="18"/>
      <c r="AV1385" s="18"/>
      <c r="AW1385" s="18"/>
      <c r="AX1385" s="18"/>
      <c r="AY1385" s="18"/>
      <c r="AZ1385" s="18"/>
      <c r="BA1385" s="18"/>
      <c r="BB1385" s="18"/>
      <c r="BC1385" s="18"/>
      <c r="BD1385" s="18"/>
      <c r="BE1385" s="18"/>
      <c r="BF1385" s="15"/>
      <c r="BG1385" s="15"/>
    </row>
    <row r="1386" spans="1:59" ht="15.75" customHeight="1">
      <c r="A1386" s="216"/>
      <c r="B1386" s="12"/>
      <c r="C1386" s="12"/>
      <c r="D1386" s="13"/>
      <c r="E1386" s="12"/>
      <c r="F1386" s="13"/>
      <c r="G1386" s="13"/>
      <c r="H1386" s="12"/>
      <c r="I1386" s="18"/>
      <c r="J1386" s="16"/>
      <c r="K1386" s="16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  <c r="AB1386" s="18"/>
      <c r="AC1386" s="18"/>
      <c r="AD1386" s="18"/>
      <c r="AE1386" s="18"/>
      <c r="AF1386" s="18"/>
      <c r="AG1386" s="16"/>
      <c r="AH1386" s="16"/>
      <c r="AI1386" s="18"/>
      <c r="AJ1386" s="18"/>
      <c r="AK1386" s="18"/>
      <c r="AL1386" s="18"/>
      <c r="AM1386" s="18"/>
      <c r="AN1386" s="18"/>
      <c r="AO1386" s="18"/>
      <c r="AP1386" s="18"/>
      <c r="AQ1386" s="18"/>
      <c r="AR1386" s="18"/>
      <c r="AS1386" s="18"/>
      <c r="AT1386" s="216"/>
      <c r="AU1386" s="18"/>
      <c r="AV1386" s="18"/>
      <c r="AW1386" s="18"/>
      <c r="AX1386" s="18"/>
      <c r="AY1386" s="18"/>
      <c r="AZ1386" s="18"/>
      <c r="BA1386" s="18"/>
      <c r="BB1386" s="18"/>
      <c r="BC1386" s="18"/>
      <c r="BD1386" s="18"/>
      <c r="BE1386" s="18"/>
      <c r="BF1386" s="15"/>
      <c r="BG1386" s="15"/>
    </row>
    <row r="1387" spans="1:59" ht="15.75" customHeight="1">
      <c r="A1387" s="216"/>
      <c r="B1387" s="12"/>
      <c r="C1387" s="12"/>
      <c r="D1387" s="13"/>
      <c r="E1387" s="12"/>
      <c r="F1387" s="13"/>
      <c r="G1387" s="13"/>
      <c r="H1387" s="12"/>
      <c r="I1387" s="18"/>
      <c r="J1387" s="16"/>
      <c r="K1387" s="16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  <c r="AA1387" s="18"/>
      <c r="AB1387" s="18"/>
      <c r="AC1387" s="18"/>
      <c r="AD1387" s="18"/>
      <c r="AE1387" s="18"/>
      <c r="AF1387" s="18"/>
      <c r="AG1387" s="16"/>
      <c r="AH1387" s="16"/>
      <c r="AI1387" s="18"/>
      <c r="AJ1387" s="18"/>
      <c r="AK1387" s="18"/>
      <c r="AL1387" s="18"/>
      <c r="AM1387" s="18"/>
      <c r="AN1387" s="18"/>
      <c r="AO1387" s="18"/>
      <c r="AP1387" s="18"/>
      <c r="AQ1387" s="18"/>
      <c r="AR1387" s="18"/>
      <c r="AS1387" s="18"/>
      <c r="AT1387" s="216"/>
      <c r="AU1387" s="18"/>
      <c r="AV1387" s="18"/>
      <c r="AW1387" s="18"/>
      <c r="AX1387" s="18"/>
      <c r="AY1387" s="18"/>
      <c r="AZ1387" s="18"/>
      <c r="BA1387" s="18"/>
      <c r="BB1387" s="18"/>
      <c r="BC1387" s="18"/>
      <c r="BD1387" s="18"/>
      <c r="BE1387" s="18"/>
      <c r="BF1387" s="15"/>
      <c r="BG1387" s="15"/>
    </row>
    <row r="1388" spans="1:59" ht="15.75" customHeight="1">
      <c r="A1388" s="216"/>
      <c r="B1388" s="12"/>
      <c r="C1388" s="12"/>
      <c r="D1388" s="13"/>
      <c r="E1388" s="12"/>
      <c r="F1388" s="13"/>
      <c r="G1388" s="13"/>
      <c r="H1388" s="12"/>
      <c r="I1388" s="18"/>
      <c r="J1388" s="16"/>
      <c r="K1388" s="16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  <c r="AA1388" s="18"/>
      <c r="AB1388" s="18"/>
      <c r="AC1388" s="18"/>
      <c r="AD1388" s="18"/>
      <c r="AE1388" s="18"/>
      <c r="AF1388" s="18"/>
      <c r="AG1388" s="16"/>
      <c r="AH1388" s="16"/>
      <c r="AI1388" s="18"/>
      <c r="AJ1388" s="18"/>
      <c r="AK1388" s="18"/>
      <c r="AL1388" s="18"/>
      <c r="AM1388" s="18"/>
      <c r="AN1388" s="18"/>
      <c r="AO1388" s="18"/>
      <c r="AP1388" s="18"/>
      <c r="AQ1388" s="18"/>
      <c r="AR1388" s="18"/>
      <c r="AS1388" s="18"/>
      <c r="AT1388" s="216"/>
      <c r="AU1388" s="18"/>
      <c r="AV1388" s="18"/>
      <c r="AW1388" s="18"/>
      <c r="AX1388" s="18"/>
      <c r="AY1388" s="18"/>
      <c r="AZ1388" s="18"/>
      <c r="BA1388" s="18"/>
      <c r="BB1388" s="18"/>
      <c r="BC1388" s="18"/>
      <c r="BD1388" s="18"/>
      <c r="BE1388" s="18"/>
      <c r="BF1388" s="15"/>
      <c r="BG1388" s="15"/>
    </row>
    <row r="1389" spans="1:59" ht="15.75" customHeight="1">
      <c r="A1389" s="216"/>
      <c r="B1389" s="12"/>
      <c r="C1389" s="12"/>
      <c r="D1389" s="13"/>
      <c r="E1389" s="12"/>
      <c r="F1389" s="13"/>
      <c r="G1389" s="13"/>
      <c r="H1389" s="12"/>
      <c r="I1389" s="18"/>
      <c r="J1389" s="16"/>
      <c r="K1389" s="16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  <c r="AA1389" s="18"/>
      <c r="AB1389" s="18"/>
      <c r="AC1389" s="18"/>
      <c r="AD1389" s="18"/>
      <c r="AE1389" s="18"/>
      <c r="AF1389" s="18"/>
      <c r="AG1389" s="16"/>
      <c r="AH1389" s="16"/>
      <c r="AI1389" s="18"/>
      <c r="AJ1389" s="18"/>
      <c r="AK1389" s="18"/>
      <c r="AL1389" s="18"/>
      <c r="AM1389" s="18"/>
      <c r="AN1389" s="18"/>
      <c r="AO1389" s="18"/>
      <c r="AP1389" s="18"/>
      <c r="AQ1389" s="18"/>
      <c r="AR1389" s="18"/>
      <c r="AS1389" s="18"/>
      <c r="AT1389" s="216"/>
      <c r="AU1389" s="18"/>
      <c r="AV1389" s="18"/>
      <c r="AW1389" s="18"/>
      <c r="AX1389" s="18"/>
      <c r="AY1389" s="18"/>
      <c r="AZ1389" s="18"/>
      <c r="BA1389" s="18"/>
      <c r="BB1389" s="18"/>
      <c r="BC1389" s="18"/>
      <c r="BD1389" s="18"/>
      <c r="BE1389" s="18"/>
      <c r="BF1389" s="15"/>
      <c r="BG1389" s="15"/>
    </row>
    <row r="1390" spans="1:59" ht="15.75" customHeight="1">
      <c r="A1390" s="216"/>
      <c r="B1390" s="12"/>
      <c r="C1390" s="12"/>
      <c r="D1390" s="13"/>
      <c r="E1390" s="12"/>
      <c r="F1390" s="13"/>
      <c r="G1390" s="13"/>
      <c r="H1390" s="12"/>
      <c r="I1390" s="18"/>
      <c r="J1390" s="16"/>
      <c r="K1390" s="16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  <c r="AA1390" s="18"/>
      <c r="AB1390" s="18"/>
      <c r="AC1390" s="18"/>
      <c r="AD1390" s="18"/>
      <c r="AE1390" s="18"/>
      <c r="AF1390" s="18"/>
      <c r="AG1390" s="16"/>
      <c r="AH1390" s="16"/>
      <c r="AI1390" s="18"/>
      <c r="AJ1390" s="18"/>
      <c r="AK1390" s="18"/>
      <c r="AL1390" s="18"/>
      <c r="AM1390" s="18"/>
      <c r="AN1390" s="18"/>
      <c r="AO1390" s="18"/>
      <c r="AP1390" s="18"/>
      <c r="AQ1390" s="18"/>
      <c r="AR1390" s="18"/>
      <c r="AS1390" s="18"/>
      <c r="AT1390" s="216"/>
      <c r="AU1390" s="18"/>
      <c r="AV1390" s="18"/>
      <c r="AW1390" s="18"/>
      <c r="AX1390" s="18"/>
      <c r="AY1390" s="18"/>
      <c r="AZ1390" s="18"/>
      <c r="BA1390" s="18"/>
      <c r="BB1390" s="18"/>
      <c r="BC1390" s="18"/>
      <c r="BD1390" s="18"/>
      <c r="BE1390" s="18"/>
      <c r="BF1390" s="15"/>
      <c r="BG1390" s="15"/>
    </row>
    <row r="1391" spans="1:59" ht="15.75" customHeight="1">
      <c r="A1391" s="216"/>
      <c r="B1391" s="12"/>
      <c r="C1391" s="12"/>
      <c r="D1391" s="13"/>
      <c r="E1391" s="12"/>
      <c r="F1391" s="13"/>
      <c r="G1391" s="13"/>
      <c r="H1391" s="12"/>
      <c r="I1391" s="18"/>
      <c r="J1391" s="16"/>
      <c r="K1391" s="16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  <c r="AB1391" s="18"/>
      <c r="AC1391" s="18"/>
      <c r="AD1391" s="18"/>
      <c r="AE1391" s="18"/>
      <c r="AF1391" s="18"/>
      <c r="AG1391" s="16"/>
      <c r="AH1391" s="16"/>
      <c r="AI1391" s="18"/>
      <c r="AJ1391" s="18"/>
      <c r="AK1391" s="18"/>
      <c r="AL1391" s="18"/>
      <c r="AM1391" s="18"/>
      <c r="AN1391" s="18"/>
      <c r="AO1391" s="18"/>
      <c r="AP1391" s="18"/>
      <c r="AQ1391" s="18"/>
      <c r="AR1391" s="18"/>
      <c r="AS1391" s="18"/>
      <c r="AT1391" s="216"/>
      <c r="AU1391" s="18"/>
      <c r="AV1391" s="18"/>
      <c r="AW1391" s="18"/>
      <c r="AX1391" s="18"/>
      <c r="AY1391" s="18"/>
      <c r="AZ1391" s="18"/>
      <c r="BA1391" s="18"/>
      <c r="BB1391" s="18"/>
      <c r="BC1391" s="18"/>
      <c r="BD1391" s="18"/>
      <c r="BE1391" s="18"/>
      <c r="BF1391" s="15"/>
      <c r="BG1391" s="15"/>
    </row>
    <row r="1392" spans="1:59" ht="15.75" customHeight="1">
      <c r="A1392" s="216"/>
      <c r="B1392" s="12"/>
      <c r="C1392" s="12"/>
      <c r="D1392" s="13"/>
      <c r="E1392" s="12"/>
      <c r="F1392" s="13"/>
      <c r="G1392" s="13"/>
      <c r="H1392" s="12"/>
      <c r="I1392" s="18"/>
      <c r="J1392" s="16"/>
      <c r="K1392" s="16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  <c r="AA1392" s="18"/>
      <c r="AB1392" s="18"/>
      <c r="AC1392" s="18"/>
      <c r="AD1392" s="18"/>
      <c r="AE1392" s="18"/>
      <c r="AF1392" s="18"/>
      <c r="AG1392" s="16"/>
      <c r="AH1392" s="16"/>
      <c r="AI1392" s="18"/>
      <c r="AJ1392" s="18"/>
      <c r="AK1392" s="18"/>
      <c r="AL1392" s="18"/>
      <c r="AM1392" s="18"/>
      <c r="AN1392" s="18"/>
      <c r="AO1392" s="18"/>
      <c r="AP1392" s="18"/>
      <c r="AQ1392" s="18"/>
      <c r="AR1392" s="18"/>
      <c r="AS1392" s="18"/>
      <c r="AT1392" s="216"/>
      <c r="AU1392" s="18"/>
      <c r="AV1392" s="18"/>
      <c r="AW1392" s="18"/>
      <c r="AX1392" s="18"/>
      <c r="AY1392" s="18"/>
      <c r="AZ1392" s="18"/>
      <c r="BA1392" s="18"/>
      <c r="BB1392" s="18"/>
      <c r="BC1392" s="18"/>
      <c r="BD1392" s="18"/>
      <c r="BE1392" s="18"/>
      <c r="BF1392" s="15"/>
      <c r="BG1392" s="15"/>
    </row>
    <row r="1393" spans="1:59" ht="15.75" customHeight="1">
      <c r="A1393" s="216"/>
      <c r="B1393" s="12"/>
      <c r="C1393" s="12"/>
      <c r="D1393" s="13"/>
      <c r="E1393" s="12"/>
      <c r="F1393" s="13"/>
      <c r="G1393" s="13"/>
      <c r="H1393" s="12"/>
      <c r="I1393" s="18"/>
      <c r="J1393" s="16"/>
      <c r="K1393" s="16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  <c r="AA1393" s="18"/>
      <c r="AB1393" s="18"/>
      <c r="AC1393" s="18"/>
      <c r="AD1393" s="18"/>
      <c r="AE1393" s="18"/>
      <c r="AF1393" s="18"/>
      <c r="AG1393" s="16"/>
      <c r="AH1393" s="16"/>
      <c r="AI1393" s="18"/>
      <c r="AJ1393" s="18"/>
      <c r="AK1393" s="18"/>
      <c r="AL1393" s="18"/>
      <c r="AM1393" s="18"/>
      <c r="AN1393" s="18"/>
      <c r="AO1393" s="18"/>
      <c r="AP1393" s="18"/>
      <c r="AQ1393" s="18"/>
      <c r="AR1393" s="18"/>
      <c r="AS1393" s="18"/>
      <c r="AT1393" s="216"/>
      <c r="AU1393" s="18"/>
      <c r="AV1393" s="18"/>
      <c r="AW1393" s="18"/>
      <c r="AX1393" s="18"/>
      <c r="AY1393" s="18"/>
      <c r="AZ1393" s="18"/>
      <c r="BA1393" s="18"/>
      <c r="BB1393" s="18"/>
      <c r="BC1393" s="18"/>
      <c r="BD1393" s="18"/>
      <c r="BE1393" s="18"/>
      <c r="BF1393" s="15"/>
      <c r="BG1393" s="15"/>
    </row>
    <row r="1394" spans="1:59" ht="15.75" customHeight="1">
      <c r="A1394" s="216"/>
      <c r="B1394" s="12"/>
      <c r="C1394" s="12"/>
      <c r="D1394" s="13"/>
      <c r="E1394" s="12"/>
      <c r="F1394" s="13"/>
      <c r="G1394" s="13"/>
      <c r="H1394" s="12"/>
      <c r="I1394" s="18"/>
      <c r="J1394" s="16"/>
      <c r="K1394" s="16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  <c r="AA1394" s="18"/>
      <c r="AB1394" s="18"/>
      <c r="AC1394" s="18"/>
      <c r="AD1394" s="18"/>
      <c r="AE1394" s="18"/>
      <c r="AF1394" s="18"/>
      <c r="AG1394" s="16"/>
      <c r="AH1394" s="16"/>
      <c r="AI1394" s="18"/>
      <c r="AJ1394" s="18"/>
      <c r="AK1394" s="18"/>
      <c r="AL1394" s="18"/>
      <c r="AM1394" s="18"/>
      <c r="AN1394" s="18"/>
      <c r="AO1394" s="18"/>
      <c r="AP1394" s="18"/>
      <c r="AQ1394" s="18"/>
      <c r="AR1394" s="18"/>
      <c r="AS1394" s="18"/>
      <c r="AT1394" s="216"/>
      <c r="AU1394" s="18"/>
      <c r="AV1394" s="18"/>
      <c r="AW1394" s="18"/>
      <c r="AX1394" s="18"/>
      <c r="AY1394" s="18"/>
      <c r="AZ1394" s="18"/>
      <c r="BA1394" s="18"/>
      <c r="BB1394" s="18"/>
      <c r="BC1394" s="18"/>
      <c r="BD1394" s="18"/>
      <c r="BE1394" s="18"/>
      <c r="BF1394" s="15"/>
      <c r="BG1394" s="15"/>
    </row>
    <row r="1395" spans="1:59" ht="15.75" customHeight="1">
      <c r="A1395" s="216"/>
      <c r="B1395" s="12"/>
      <c r="C1395" s="12"/>
      <c r="D1395" s="13"/>
      <c r="E1395" s="12"/>
      <c r="F1395" s="13"/>
      <c r="G1395" s="13"/>
      <c r="H1395" s="12"/>
      <c r="I1395" s="18"/>
      <c r="J1395" s="16"/>
      <c r="K1395" s="16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  <c r="AB1395" s="18"/>
      <c r="AC1395" s="18"/>
      <c r="AD1395" s="18"/>
      <c r="AE1395" s="18"/>
      <c r="AF1395" s="18"/>
      <c r="AG1395" s="16"/>
      <c r="AH1395" s="16"/>
      <c r="AI1395" s="18"/>
      <c r="AJ1395" s="18"/>
      <c r="AK1395" s="18"/>
      <c r="AL1395" s="18"/>
      <c r="AM1395" s="18"/>
      <c r="AN1395" s="18"/>
      <c r="AO1395" s="18"/>
      <c r="AP1395" s="18"/>
      <c r="AQ1395" s="18"/>
      <c r="AR1395" s="18"/>
      <c r="AS1395" s="18"/>
      <c r="AT1395" s="216"/>
      <c r="AU1395" s="18"/>
      <c r="AV1395" s="18"/>
      <c r="AW1395" s="18"/>
      <c r="AX1395" s="18"/>
      <c r="AY1395" s="18"/>
      <c r="AZ1395" s="18"/>
      <c r="BA1395" s="18"/>
      <c r="BB1395" s="18"/>
      <c r="BC1395" s="18"/>
      <c r="BD1395" s="18"/>
      <c r="BE1395" s="18"/>
      <c r="BF1395" s="15"/>
      <c r="BG1395" s="15"/>
    </row>
    <row r="1396" spans="1:59" ht="15.75" customHeight="1">
      <c r="A1396" s="216"/>
      <c r="B1396" s="12"/>
      <c r="C1396" s="12"/>
      <c r="D1396" s="13"/>
      <c r="E1396" s="12"/>
      <c r="F1396" s="13"/>
      <c r="G1396" s="13"/>
      <c r="H1396" s="12"/>
      <c r="I1396" s="18"/>
      <c r="J1396" s="16"/>
      <c r="K1396" s="16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  <c r="AA1396" s="18"/>
      <c r="AB1396" s="18"/>
      <c r="AC1396" s="18"/>
      <c r="AD1396" s="18"/>
      <c r="AE1396" s="18"/>
      <c r="AF1396" s="18"/>
      <c r="AG1396" s="16"/>
      <c r="AH1396" s="16"/>
      <c r="AI1396" s="18"/>
      <c r="AJ1396" s="18"/>
      <c r="AK1396" s="18"/>
      <c r="AL1396" s="18"/>
      <c r="AM1396" s="18"/>
      <c r="AN1396" s="18"/>
      <c r="AO1396" s="18"/>
      <c r="AP1396" s="18"/>
      <c r="AQ1396" s="18"/>
      <c r="AR1396" s="18"/>
      <c r="AS1396" s="18"/>
      <c r="AT1396" s="216"/>
      <c r="AU1396" s="18"/>
      <c r="AV1396" s="18"/>
      <c r="AW1396" s="18"/>
      <c r="AX1396" s="18"/>
      <c r="AY1396" s="18"/>
      <c r="AZ1396" s="18"/>
      <c r="BA1396" s="18"/>
      <c r="BB1396" s="18"/>
      <c r="BC1396" s="18"/>
      <c r="BD1396" s="18"/>
      <c r="BE1396" s="18"/>
      <c r="BF1396" s="15"/>
      <c r="BG1396" s="15"/>
    </row>
    <row r="1397" spans="1:59" ht="15.75" customHeight="1">
      <c r="A1397" s="216"/>
      <c r="B1397" s="12"/>
      <c r="C1397" s="12"/>
      <c r="D1397" s="13"/>
      <c r="E1397" s="12"/>
      <c r="F1397" s="13"/>
      <c r="G1397" s="13"/>
      <c r="H1397" s="12"/>
      <c r="I1397" s="18"/>
      <c r="J1397" s="16"/>
      <c r="K1397" s="16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  <c r="AA1397" s="18"/>
      <c r="AB1397" s="18"/>
      <c r="AC1397" s="18"/>
      <c r="AD1397" s="18"/>
      <c r="AE1397" s="18"/>
      <c r="AF1397" s="18"/>
      <c r="AG1397" s="16"/>
      <c r="AH1397" s="16"/>
      <c r="AI1397" s="18"/>
      <c r="AJ1397" s="18"/>
      <c r="AK1397" s="18"/>
      <c r="AL1397" s="18"/>
      <c r="AM1397" s="18"/>
      <c r="AN1397" s="18"/>
      <c r="AO1397" s="18"/>
      <c r="AP1397" s="18"/>
      <c r="AQ1397" s="18"/>
      <c r="AR1397" s="18"/>
      <c r="AS1397" s="18"/>
      <c r="AT1397" s="216"/>
      <c r="AU1397" s="18"/>
      <c r="AV1397" s="18"/>
      <c r="AW1397" s="18"/>
      <c r="AX1397" s="18"/>
      <c r="AY1397" s="18"/>
      <c r="AZ1397" s="18"/>
      <c r="BA1397" s="18"/>
      <c r="BB1397" s="18"/>
      <c r="BC1397" s="18"/>
      <c r="BD1397" s="18"/>
      <c r="BE1397" s="18"/>
      <c r="BF1397" s="15"/>
      <c r="BG1397" s="15"/>
    </row>
    <row r="1398" spans="1:59" ht="15.75" customHeight="1">
      <c r="A1398" s="216"/>
      <c r="B1398" s="12"/>
      <c r="C1398" s="12"/>
      <c r="D1398" s="13"/>
      <c r="E1398" s="12"/>
      <c r="F1398" s="13"/>
      <c r="G1398" s="13"/>
      <c r="H1398" s="12"/>
      <c r="I1398" s="18"/>
      <c r="J1398" s="16"/>
      <c r="K1398" s="16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  <c r="AA1398" s="18"/>
      <c r="AB1398" s="18"/>
      <c r="AC1398" s="18"/>
      <c r="AD1398" s="18"/>
      <c r="AE1398" s="18"/>
      <c r="AF1398" s="18"/>
      <c r="AG1398" s="16"/>
      <c r="AH1398" s="16"/>
      <c r="AI1398" s="18"/>
      <c r="AJ1398" s="18"/>
      <c r="AK1398" s="18"/>
      <c r="AL1398" s="18"/>
      <c r="AM1398" s="18"/>
      <c r="AN1398" s="18"/>
      <c r="AO1398" s="18"/>
      <c r="AP1398" s="18"/>
      <c r="AQ1398" s="18"/>
      <c r="AR1398" s="18"/>
      <c r="AS1398" s="18"/>
      <c r="AT1398" s="216"/>
      <c r="AU1398" s="18"/>
      <c r="AV1398" s="18"/>
      <c r="AW1398" s="18"/>
      <c r="AX1398" s="18"/>
      <c r="AY1398" s="18"/>
      <c r="AZ1398" s="18"/>
      <c r="BA1398" s="18"/>
      <c r="BB1398" s="18"/>
      <c r="BC1398" s="18"/>
      <c r="BD1398" s="18"/>
      <c r="BE1398" s="18"/>
      <c r="BF1398" s="15"/>
      <c r="BG1398" s="15"/>
    </row>
    <row r="1399" spans="1:59" ht="15.75" customHeight="1">
      <c r="A1399" s="216"/>
      <c r="B1399" s="12"/>
      <c r="C1399" s="12"/>
      <c r="D1399" s="13"/>
      <c r="E1399" s="12"/>
      <c r="F1399" s="13"/>
      <c r="G1399" s="13"/>
      <c r="H1399" s="12"/>
      <c r="I1399" s="18"/>
      <c r="J1399" s="16"/>
      <c r="K1399" s="16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  <c r="AA1399" s="18"/>
      <c r="AB1399" s="18"/>
      <c r="AC1399" s="18"/>
      <c r="AD1399" s="18"/>
      <c r="AE1399" s="18"/>
      <c r="AF1399" s="18"/>
      <c r="AG1399" s="16"/>
      <c r="AH1399" s="16"/>
      <c r="AI1399" s="18"/>
      <c r="AJ1399" s="18"/>
      <c r="AK1399" s="18"/>
      <c r="AL1399" s="18"/>
      <c r="AM1399" s="18"/>
      <c r="AN1399" s="18"/>
      <c r="AO1399" s="18"/>
      <c r="AP1399" s="18"/>
      <c r="AQ1399" s="18"/>
      <c r="AR1399" s="18"/>
      <c r="AS1399" s="18"/>
      <c r="AT1399" s="216"/>
      <c r="AU1399" s="18"/>
      <c r="AV1399" s="18"/>
      <c r="AW1399" s="18"/>
      <c r="AX1399" s="18"/>
      <c r="AY1399" s="18"/>
      <c r="AZ1399" s="18"/>
      <c r="BA1399" s="18"/>
      <c r="BB1399" s="18"/>
      <c r="BC1399" s="18"/>
      <c r="BD1399" s="18"/>
      <c r="BE1399" s="18"/>
      <c r="BF1399" s="15"/>
      <c r="BG1399" s="15"/>
    </row>
    <row r="1400" spans="1:59" ht="15.75" customHeight="1">
      <c r="A1400" s="216"/>
      <c r="B1400" s="12"/>
      <c r="C1400" s="12"/>
      <c r="D1400" s="13"/>
      <c r="E1400" s="12"/>
      <c r="F1400" s="13"/>
      <c r="G1400" s="13"/>
      <c r="H1400" s="12"/>
      <c r="I1400" s="18"/>
      <c r="J1400" s="16"/>
      <c r="K1400" s="16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  <c r="AA1400" s="18"/>
      <c r="AB1400" s="18"/>
      <c r="AC1400" s="18"/>
      <c r="AD1400" s="18"/>
      <c r="AE1400" s="18"/>
      <c r="AF1400" s="18"/>
      <c r="AG1400" s="16"/>
      <c r="AH1400" s="16"/>
      <c r="AI1400" s="18"/>
      <c r="AJ1400" s="18"/>
      <c r="AK1400" s="18"/>
      <c r="AL1400" s="18"/>
      <c r="AM1400" s="18"/>
      <c r="AN1400" s="18"/>
      <c r="AO1400" s="18"/>
      <c r="AP1400" s="18"/>
      <c r="AQ1400" s="18"/>
      <c r="AR1400" s="18"/>
      <c r="AS1400" s="18"/>
      <c r="AT1400" s="216"/>
      <c r="AU1400" s="18"/>
      <c r="AV1400" s="18"/>
      <c r="AW1400" s="18"/>
      <c r="AX1400" s="18"/>
      <c r="AY1400" s="18"/>
      <c r="AZ1400" s="18"/>
      <c r="BA1400" s="18"/>
      <c r="BB1400" s="18"/>
      <c r="BC1400" s="18"/>
      <c r="BD1400" s="18"/>
      <c r="BE1400" s="18"/>
      <c r="BF1400" s="15"/>
      <c r="BG1400" s="15"/>
    </row>
    <row r="1401" spans="1:59" ht="15.75" customHeight="1">
      <c r="A1401" s="216"/>
      <c r="B1401" s="12"/>
      <c r="C1401" s="12"/>
      <c r="D1401" s="13"/>
      <c r="E1401" s="12"/>
      <c r="F1401" s="13"/>
      <c r="G1401" s="13"/>
      <c r="H1401" s="12"/>
      <c r="I1401" s="18"/>
      <c r="J1401" s="16"/>
      <c r="K1401" s="16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  <c r="AC1401" s="18"/>
      <c r="AD1401" s="18"/>
      <c r="AE1401" s="18"/>
      <c r="AF1401" s="18"/>
      <c r="AG1401" s="16"/>
      <c r="AH1401" s="16"/>
      <c r="AI1401" s="18"/>
      <c r="AJ1401" s="18"/>
      <c r="AK1401" s="18"/>
      <c r="AL1401" s="18"/>
      <c r="AM1401" s="18"/>
      <c r="AN1401" s="18"/>
      <c r="AO1401" s="18"/>
      <c r="AP1401" s="18"/>
      <c r="AQ1401" s="18"/>
      <c r="AR1401" s="18"/>
      <c r="AS1401" s="18"/>
      <c r="AT1401" s="216"/>
      <c r="AU1401" s="18"/>
      <c r="AV1401" s="18"/>
      <c r="AW1401" s="18"/>
      <c r="AX1401" s="18"/>
      <c r="AY1401" s="18"/>
      <c r="AZ1401" s="18"/>
      <c r="BA1401" s="18"/>
      <c r="BB1401" s="18"/>
      <c r="BC1401" s="18"/>
      <c r="BD1401" s="18"/>
      <c r="BE1401" s="18"/>
      <c r="BF1401" s="15"/>
      <c r="BG1401" s="15"/>
    </row>
    <row r="1402" spans="1:59" ht="15.75" customHeight="1">
      <c r="A1402" s="216"/>
      <c r="B1402" s="12"/>
      <c r="C1402" s="12"/>
      <c r="D1402" s="13"/>
      <c r="E1402" s="12"/>
      <c r="F1402" s="13"/>
      <c r="G1402" s="13"/>
      <c r="H1402" s="12"/>
      <c r="I1402" s="18"/>
      <c r="J1402" s="16"/>
      <c r="K1402" s="16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  <c r="AA1402" s="18"/>
      <c r="AB1402" s="18"/>
      <c r="AC1402" s="18"/>
      <c r="AD1402" s="18"/>
      <c r="AE1402" s="18"/>
      <c r="AF1402" s="18"/>
      <c r="AG1402" s="16"/>
      <c r="AH1402" s="16"/>
      <c r="AI1402" s="18"/>
      <c r="AJ1402" s="18"/>
      <c r="AK1402" s="18"/>
      <c r="AL1402" s="18"/>
      <c r="AM1402" s="18"/>
      <c r="AN1402" s="18"/>
      <c r="AO1402" s="18"/>
      <c r="AP1402" s="18"/>
      <c r="AQ1402" s="18"/>
      <c r="AR1402" s="18"/>
      <c r="AS1402" s="18"/>
      <c r="AT1402" s="216"/>
      <c r="AU1402" s="18"/>
      <c r="AV1402" s="18"/>
      <c r="AW1402" s="18"/>
      <c r="AX1402" s="18"/>
      <c r="AY1402" s="18"/>
      <c r="AZ1402" s="18"/>
      <c r="BA1402" s="18"/>
      <c r="BB1402" s="18"/>
      <c r="BC1402" s="18"/>
      <c r="BD1402" s="18"/>
      <c r="BE1402" s="18"/>
      <c r="BF1402" s="15"/>
      <c r="BG1402" s="15"/>
    </row>
    <row r="1403" spans="1:59" ht="15.75" customHeight="1">
      <c r="A1403" s="216"/>
      <c r="B1403" s="12"/>
      <c r="C1403" s="12"/>
      <c r="D1403" s="13"/>
      <c r="E1403" s="12"/>
      <c r="F1403" s="13"/>
      <c r="G1403" s="13"/>
      <c r="H1403" s="12"/>
      <c r="I1403" s="18"/>
      <c r="J1403" s="16"/>
      <c r="K1403" s="16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  <c r="AA1403" s="18"/>
      <c r="AB1403" s="18"/>
      <c r="AC1403" s="18"/>
      <c r="AD1403" s="18"/>
      <c r="AE1403" s="18"/>
      <c r="AF1403" s="18"/>
      <c r="AG1403" s="16"/>
      <c r="AH1403" s="16"/>
      <c r="AI1403" s="18"/>
      <c r="AJ1403" s="18"/>
      <c r="AK1403" s="18"/>
      <c r="AL1403" s="18"/>
      <c r="AM1403" s="18"/>
      <c r="AN1403" s="18"/>
      <c r="AO1403" s="18"/>
      <c r="AP1403" s="18"/>
      <c r="AQ1403" s="18"/>
      <c r="AR1403" s="18"/>
      <c r="AS1403" s="18"/>
      <c r="AT1403" s="216"/>
      <c r="AU1403" s="18"/>
      <c r="AV1403" s="18"/>
      <c r="AW1403" s="18"/>
      <c r="AX1403" s="18"/>
      <c r="AY1403" s="18"/>
      <c r="AZ1403" s="18"/>
      <c r="BA1403" s="18"/>
      <c r="BB1403" s="18"/>
      <c r="BC1403" s="18"/>
      <c r="BD1403" s="18"/>
      <c r="BE1403" s="18"/>
      <c r="BF1403" s="15"/>
      <c r="BG1403" s="15"/>
    </row>
    <row r="1404" spans="1:59" ht="15.75" customHeight="1">
      <c r="A1404" s="216"/>
      <c r="B1404" s="12"/>
      <c r="C1404" s="12"/>
      <c r="D1404" s="13"/>
      <c r="E1404" s="12"/>
      <c r="F1404" s="13"/>
      <c r="G1404" s="13"/>
      <c r="H1404" s="12"/>
      <c r="I1404" s="18"/>
      <c r="J1404" s="16"/>
      <c r="K1404" s="16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  <c r="AA1404" s="18"/>
      <c r="AB1404" s="18"/>
      <c r="AC1404" s="18"/>
      <c r="AD1404" s="18"/>
      <c r="AE1404" s="18"/>
      <c r="AF1404" s="18"/>
      <c r="AG1404" s="16"/>
      <c r="AH1404" s="16"/>
      <c r="AI1404" s="18"/>
      <c r="AJ1404" s="18"/>
      <c r="AK1404" s="18"/>
      <c r="AL1404" s="18"/>
      <c r="AM1404" s="18"/>
      <c r="AN1404" s="18"/>
      <c r="AO1404" s="18"/>
      <c r="AP1404" s="18"/>
      <c r="AQ1404" s="18"/>
      <c r="AR1404" s="18"/>
      <c r="AS1404" s="18"/>
      <c r="AT1404" s="216"/>
      <c r="AU1404" s="18"/>
      <c r="AV1404" s="18"/>
      <c r="AW1404" s="18"/>
      <c r="AX1404" s="18"/>
      <c r="AY1404" s="18"/>
      <c r="AZ1404" s="18"/>
      <c r="BA1404" s="18"/>
      <c r="BB1404" s="18"/>
      <c r="BC1404" s="18"/>
      <c r="BD1404" s="18"/>
      <c r="BE1404" s="18"/>
      <c r="BF1404" s="15"/>
      <c r="BG1404" s="15"/>
    </row>
    <row r="1405" spans="1:59" ht="15.75" customHeight="1">
      <c r="A1405" s="216"/>
      <c r="B1405" s="12"/>
      <c r="C1405" s="12"/>
      <c r="D1405" s="13"/>
      <c r="E1405" s="12"/>
      <c r="F1405" s="13"/>
      <c r="G1405" s="13"/>
      <c r="H1405" s="12"/>
      <c r="I1405" s="18"/>
      <c r="J1405" s="16"/>
      <c r="K1405" s="16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  <c r="AA1405" s="18"/>
      <c r="AB1405" s="18"/>
      <c r="AC1405" s="18"/>
      <c r="AD1405" s="18"/>
      <c r="AE1405" s="18"/>
      <c r="AF1405" s="18"/>
      <c r="AG1405" s="16"/>
      <c r="AH1405" s="16"/>
      <c r="AI1405" s="18"/>
      <c r="AJ1405" s="18"/>
      <c r="AK1405" s="18"/>
      <c r="AL1405" s="18"/>
      <c r="AM1405" s="18"/>
      <c r="AN1405" s="18"/>
      <c r="AO1405" s="18"/>
      <c r="AP1405" s="18"/>
      <c r="AQ1405" s="18"/>
      <c r="AR1405" s="18"/>
      <c r="AS1405" s="18"/>
      <c r="AT1405" s="216"/>
      <c r="AU1405" s="18"/>
      <c r="AV1405" s="18"/>
      <c r="AW1405" s="18"/>
      <c r="AX1405" s="18"/>
      <c r="AY1405" s="18"/>
      <c r="AZ1405" s="18"/>
      <c r="BA1405" s="18"/>
      <c r="BB1405" s="18"/>
      <c r="BC1405" s="18"/>
      <c r="BD1405" s="18"/>
      <c r="BE1405" s="18"/>
      <c r="BF1405" s="15"/>
      <c r="BG1405" s="15"/>
    </row>
    <row r="1406" spans="1:59" ht="15.75" customHeight="1">
      <c r="A1406" s="216"/>
      <c r="B1406" s="12"/>
      <c r="C1406" s="12"/>
      <c r="D1406" s="13"/>
      <c r="E1406" s="12"/>
      <c r="F1406" s="13"/>
      <c r="G1406" s="13"/>
      <c r="H1406" s="12"/>
      <c r="I1406" s="18"/>
      <c r="J1406" s="16"/>
      <c r="K1406" s="16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  <c r="AB1406" s="18"/>
      <c r="AC1406" s="18"/>
      <c r="AD1406" s="18"/>
      <c r="AE1406" s="18"/>
      <c r="AF1406" s="18"/>
      <c r="AG1406" s="16"/>
      <c r="AH1406" s="16"/>
      <c r="AI1406" s="18"/>
      <c r="AJ1406" s="18"/>
      <c r="AK1406" s="18"/>
      <c r="AL1406" s="18"/>
      <c r="AM1406" s="18"/>
      <c r="AN1406" s="18"/>
      <c r="AO1406" s="18"/>
      <c r="AP1406" s="18"/>
      <c r="AQ1406" s="18"/>
      <c r="AR1406" s="18"/>
      <c r="AS1406" s="18"/>
      <c r="AT1406" s="216"/>
      <c r="AU1406" s="18"/>
      <c r="AV1406" s="18"/>
      <c r="AW1406" s="18"/>
      <c r="AX1406" s="18"/>
      <c r="AY1406" s="18"/>
      <c r="AZ1406" s="18"/>
      <c r="BA1406" s="18"/>
      <c r="BB1406" s="18"/>
      <c r="BC1406" s="18"/>
      <c r="BD1406" s="18"/>
      <c r="BE1406" s="18"/>
      <c r="BF1406" s="15"/>
      <c r="BG1406" s="15"/>
    </row>
    <row r="1407" spans="1:59" ht="15.75" customHeight="1">
      <c r="A1407" s="216"/>
      <c r="B1407" s="12"/>
      <c r="C1407" s="12"/>
      <c r="D1407" s="13"/>
      <c r="E1407" s="12"/>
      <c r="F1407" s="13"/>
      <c r="G1407" s="13"/>
      <c r="H1407" s="12"/>
      <c r="I1407" s="18"/>
      <c r="J1407" s="16"/>
      <c r="K1407" s="16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  <c r="AA1407" s="18"/>
      <c r="AB1407" s="18"/>
      <c r="AC1407" s="18"/>
      <c r="AD1407" s="18"/>
      <c r="AE1407" s="18"/>
      <c r="AF1407" s="18"/>
      <c r="AG1407" s="16"/>
      <c r="AH1407" s="16"/>
      <c r="AI1407" s="18"/>
      <c r="AJ1407" s="18"/>
      <c r="AK1407" s="18"/>
      <c r="AL1407" s="18"/>
      <c r="AM1407" s="18"/>
      <c r="AN1407" s="18"/>
      <c r="AO1407" s="18"/>
      <c r="AP1407" s="18"/>
      <c r="AQ1407" s="18"/>
      <c r="AR1407" s="18"/>
      <c r="AS1407" s="18"/>
      <c r="AT1407" s="216"/>
      <c r="AU1407" s="18"/>
      <c r="AV1407" s="18"/>
      <c r="AW1407" s="18"/>
      <c r="AX1407" s="18"/>
      <c r="AY1407" s="18"/>
      <c r="AZ1407" s="18"/>
      <c r="BA1407" s="18"/>
      <c r="BB1407" s="18"/>
      <c r="BC1407" s="18"/>
      <c r="BD1407" s="18"/>
      <c r="BE1407" s="18"/>
      <c r="BF1407" s="15"/>
      <c r="BG1407" s="15"/>
    </row>
    <row r="1408" spans="1:59" ht="15.75" customHeight="1">
      <c r="A1408" s="216"/>
      <c r="B1408" s="12"/>
      <c r="C1408" s="12"/>
      <c r="D1408" s="13"/>
      <c r="E1408" s="12"/>
      <c r="F1408" s="13"/>
      <c r="G1408" s="13"/>
      <c r="H1408" s="12"/>
      <c r="I1408" s="18"/>
      <c r="J1408" s="16"/>
      <c r="K1408" s="16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  <c r="AB1408" s="18"/>
      <c r="AC1408" s="18"/>
      <c r="AD1408" s="18"/>
      <c r="AE1408" s="18"/>
      <c r="AF1408" s="18"/>
      <c r="AG1408" s="16"/>
      <c r="AH1408" s="16"/>
      <c r="AI1408" s="18"/>
      <c r="AJ1408" s="18"/>
      <c r="AK1408" s="18"/>
      <c r="AL1408" s="18"/>
      <c r="AM1408" s="18"/>
      <c r="AN1408" s="18"/>
      <c r="AO1408" s="18"/>
      <c r="AP1408" s="18"/>
      <c r="AQ1408" s="18"/>
      <c r="AR1408" s="18"/>
      <c r="AS1408" s="18"/>
      <c r="AT1408" s="216"/>
      <c r="AU1408" s="18"/>
      <c r="AV1408" s="18"/>
      <c r="AW1408" s="18"/>
      <c r="AX1408" s="18"/>
      <c r="AY1408" s="18"/>
      <c r="AZ1408" s="18"/>
      <c r="BA1408" s="18"/>
      <c r="BB1408" s="18"/>
      <c r="BC1408" s="18"/>
      <c r="BD1408" s="18"/>
      <c r="BE1408" s="18"/>
      <c r="BF1408" s="15"/>
      <c r="BG1408" s="15"/>
    </row>
    <row r="1409" spans="1:59" ht="15.75" customHeight="1">
      <c r="A1409" s="216"/>
      <c r="B1409" s="12"/>
      <c r="C1409" s="12"/>
      <c r="D1409" s="13"/>
      <c r="E1409" s="12"/>
      <c r="F1409" s="13"/>
      <c r="G1409" s="13"/>
      <c r="H1409" s="12"/>
      <c r="I1409" s="18"/>
      <c r="J1409" s="16"/>
      <c r="K1409" s="16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  <c r="AA1409" s="18"/>
      <c r="AB1409" s="18"/>
      <c r="AC1409" s="18"/>
      <c r="AD1409" s="18"/>
      <c r="AE1409" s="18"/>
      <c r="AF1409" s="18"/>
      <c r="AG1409" s="16"/>
      <c r="AH1409" s="16"/>
      <c r="AI1409" s="18"/>
      <c r="AJ1409" s="18"/>
      <c r="AK1409" s="18"/>
      <c r="AL1409" s="18"/>
      <c r="AM1409" s="18"/>
      <c r="AN1409" s="18"/>
      <c r="AO1409" s="18"/>
      <c r="AP1409" s="18"/>
      <c r="AQ1409" s="18"/>
      <c r="AR1409" s="18"/>
      <c r="AS1409" s="18"/>
      <c r="AT1409" s="216"/>
      <c r="AU1409" s="18"/>
      <c r="AV1409" s="18"/>
      <c r="AW1409" s="18"/>
      <c r="AX1409" s="18"/>
      <c r="AY1409" s="18"/>
      <c r="AZ1409" s="18"/>
      <c r="BA1409" s="18"/>
      <c r="BB1409" s="18"/>
      <c r="BC1409" s="18"/>
      <c r="BD1409" s="18"/>
      <c r="BE1409" s="18"/>
      <c r="BF1409" s="15"/>
      <c r="BG1409" s="15"/>
    </row>
    <row r="1410" spans="1:59" ht="15.75" customHeight="1">
      <c r="A1410" s="216"/>
      <c r="B1410" s="12"/>
      <c r="C1410" s="12"/>
      <c r="D1410" s="13"/>
      <c r="E1410" s="12"/>
      <c r="F1410" s="13"/>
      <c r="G1410" s="13"/>
      <c r="H1410" s="12"/>
      <c r="I1410" s="18"/>
      <c r="J1410" s="16"/>
      <c r="K1410" s="16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  <c r="AB1410" s="18"/>
      <c r="AC1410" s="18"/>
      <c r="AD1410" s="18"/>
      <c r="AE1410" s="18"/>
      <c r="AF1410" s="18"/>
      <c r="AG1410" s="16"/>
      <c r="AH1410" s="16"/>
      <c r="AI1410" s="18"/>
      <c r="AJ1410" s="18"/>
      <c r="AK1410" s="18"/>
      <c r="AL1410" s="18"/>
      <c r="AM1410" s="18"/>
      <c r="AN1410" s="18"/>
      <c r="AO1410" s="18"/>
      <c r="AP1410" s="18"/>
      <c r="AQ1410" s="18"/>
      <c r="AR1410" s="18"/>
      <c r="AS1410" s="18"/>
      <c r="AT1410" s="216"/>
      <c r="AU1410" s="18"/>
      <c r="AV1410" s="18"/>
      <c r="AW1410" s="18"/>
      <c r="AX1410" s="18"/>
      <c r="AY1410" s="18"/>
      <c r="AZ1410" s="18"/>
      <c r="BA1410" s="18"/>
      <c r="BB1410" s="18"/>
      <c r="BC1410" s="18"/>
      <c r="BD1410" s="18"/>
      <c r="BE1410" s="18"/>
      <c r="BF1410" s="15"/>
      <c r="BG1410" s="15"/>
    </row>
    <row r="1411" spans="1:59" ht="15.75" customHeight="1">
      <c r="A1411" s="216"/>
      <c r="B1411" s="12"/>
      <c r="C1411" s="12"/>
      <c r="D1411" s="13"/>
      <c r="E1411" s="12"/>
      <c r="F1411" s="13"/>
      <c r="G1411" s="13"/>
      <c r="H1411" s="12"/>
      <c r="I1411" s="18"/>
      <c r="J1411" s="16"/>
      <c r="K1411" s="16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  <c r="AC1411" s="18"/>
      <c r="AD1411" s="18"/>
      <c r="AE1411" s="18"/>
      <c r="AF1411" s="18"/>
      <c r="AG1411" s="16"/>
      <c r="AH1411" s="16"/>
      <c r="AI1411" s="18"/>
      <c r="AJ1411" s="18"/>
      <c r="AK1411" s="18"/>
      <c r="AL1411" s="18"/>
      <c r="AM1411" s="18"/>
      <c r="AN1411" s="18"/>
      <c r="AO1411" s="18"/>
      <c r="AP1411" s="18"/>
      <c r="AQ1411" s="18"/>
      <c r="AR1411" s="18"/>
      <c r="AS1411" s="18"/>
      <c r="AT1411" s="216"/>
      <c r="AU1411" s="18"/>
      <c r="AV1411" s="18"/>
      <c r="AW1411" s="18"/>
      <c r="AX1411" s="18"/>
      <c r="AY1411" s="18"/>
      <c r="AZ1411" s="18"/>
      <c r="BA1411" s="18"/>
      <c r="BB1411" s="18"/>
      <c r="BC1411" s="18"/>
      <c r="BD1411" s="18"/>
      <c r="BE1411" s="18"/>
      <c r="BF1411" s="15"/>
      <c r="BG1411" s="15"/>
    </row>
    <row r="1412" spans="1:59" ht="15.75" customHeight="1">
      <c r="A1412" s="216"/>
      <c r="B1412" s="12"/>
      <c r="C1412" s="12"/>
      <c r="D1412" s="13"/>
      <c r="E1412" s="12"/>
      <c r="F1412" s="13"/>
      <c r="G1412" s="13"/>
      <c r="H1412" s="12"/>
      <c r="I1412" s="18"/>
      <c r="J1412" s="16"/>
      <c r="K1412" s="16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  <c r="AA1412" s="18"/>
      <c r="AB1412" s="18"/>
      <c r="AC1412" s="18"/>
      <c r="AD1412" s="18"/>
      <c r="AE1412" s="18"/>
      <c r="AF1412" s="18"/>
      <c r="AG1412" s="16"/>
      <c r="AH1412" s="16"/>
      <c r="AI1412" s="18"/>
      <c r="AJ1412" s="18"/>
      <c r="AK1412" s="18"/>
      <c r="AL1412" s="18"/>
      <c r="AM1412" s="18"/>
      <c r="AN1412" s="18"/>
      <c r="AO1412" s="18"/>
      <c r="AP1412" s="18"/>
      <c r="AQ1412" s="18"/>
      <c r="AR1412" s="18"/>
      <c r="AS1412" s="18"/>
      <c r="AT1412" s="216"/>
      <c r="AU1412" s="18"/>
      <c r="AV1412" s="18"/>
      <c r="AW1412" s="18"/>
      <c r="AX1412" s="18"/>
      <c r="AY1412" s="18"/>
      <c r="AZ1412" s="18"/>
      <c r="BA1412" s="18"/>
      <c r="BB1412" s="18"/>
      <c r="BC1412" s="18"/>
      <c r="BD1412" s="18"/>
      <c r="BE1412" s="18"/>
      <c r="BF1412" s="15"/>
      <c r="BG1412" s="15"/>
    </row>
    <row r="1413" spans="1:59" ht="15.75" customHeight="1">
      <c r="A1413" s="216"/>
      <c r="B1413" s="12"/>
      <c r="C1413" s="12"/>
      <c r="D1413" s="13"/>
      <c r="E1413" s="12"/>
      <c r="F1413" s="13"/>
      <c r="G1413" s="13"/>
      <c r="H1413" s="12"/>
      <c r="I1413" s="18"/>
      <c r="J1413" s="16"/>
      <c r="K1413" s="16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  <c r="AA1413" s="18"/>
      <c r="AB1413" s="18"/>
      <c r="AC1413" s="18"/>
      <c r="AD1413" s="18"/>
      <c r="AE1413" s="18"/>
      <c r="AF1413" s="18"/>
      <c r="AG1413" s="16"/>
      <c r="AH1413" s="16"/>
      <c r="AI1413" s="18"/>
      <c r="AJ1413" s="18"/>
      <c r="AK1413" s="18"/>
      <c r="AL1413" s="18"/>
      <c r="AM1413" s="18"/>
      <c r="AN1413" s="18"/>
      <c r="AO1413" s="18"/>
      <c r="AP1413" s="18"/>
      <c r="AQ1413" s="18"/>
      <c r="AR1413" s="18"/>
      <c r="AS1413" s="18"/>
      <c r="AT1413" s="216"/>
      <c r="AU1413" s="18"/>
      <c r="AV1413" s="18"/>
      <c r="AW1413" s="18"/>
      <c r="AX1413" s="18"/>
      <c r="AY1413" s="18"/>
      <c r="AZ1413" s="18"/>
      <c r="BA1413" s="18"/>
      <c r="BB1413" s="18"/>
      <c r="BC1413" s="18"/>
      <c r="BD1413" s="18"/>
      <c r="BE1413" s="18"/>
      <c r="BF1413" s="15"/>
      <c r="BG1413" s="15"/>
    </row>
    <row r="1414" spans="1:59" ht="15.75" customHeight="1">
      <c r="A1414" s="216"/>
      <c r="B1414" s="12"/>
      <c r="C1414" s="12"/>
      <c r="D1414" s="13"/>
      <c r="E1414" s="12"/>
      <c r="F1414" s="13"/>
      <c r="G1414" s="13"/>
      <c r="H1414" s="12"/>
      <c r="I1414" s="18"/>
      <c r="J1414" s="16"/>
      <c r="K1414" s="16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  <c r="AB1414" s="18"/>
      <c r="AC1414" s="18"/>
      <c r="AD1414" s="18"/>
      <c r="AE1414" s="18"/>
      <c r="AF1414" s="18"/>
      <c r="AG1414" s="16"/>
      <c r="AH1414" s="16"/>
      <c r="AI1414" s="18"/>
      <c r="AJ1414" s="18"/>
      <c r="AK1414" s="18"/>
      <c r="AL1414" s="18"/>
      <c r="AM1414" s="18"/>
      <c r="AN1414" s="18"/>
      <c r="AO1414" s="18"/>
      <c r="AP1414" s="18"/>
      <c r="AQ1414" s="18"/>
      <c r="AR1414" s="18"/>
      <c r="AS1414" s="18"/>
      <c r="AT1414" s="216"/>
      <c r="AU1414" s="18"/>
      <c r="AV1414" s="18"/>
      <c r="AW1414" s="18"/>
      <c r="AX1414" s="18"/>
      <c r="AY1414" s="18"/>
      <c r="AZ1414" s="18"/>
      <c r="BA1414" s="18"/>
      <c r="BB1414" s="18"/>
      <c r="BC1414" s="18"/>
      <c r="BD1414" s="18"/>
      <c r="BE1414" s="18"/>
      <c r="BF1414" s="15"/>
      <c r="BG1414" s="15"/>
    </row>
    <row r="1415" spans="1:59" ht="15.75" customHeight="1">
      <c r="A1415" s="216"/>
      <c r="B1415" s="12"/>
      <c r="C1415" s="12"/>
      <c r="D1415" s="13"/>
      <c r="E1415" s="12"/>
      <c r="F1415" s="13"/>
      <c r="G1415" s="13"/>
      <c r="H1415" s="12"/>
      <c r="I1415" s="18"/>
      <c r="J1415" s="16"/>
      <c r="K1415" s="16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  <c r="AA1415" s="18"/>
      <c r="AB1415" s="18"/>
      <c r="AC1415" s="18"/>
      <c r="AD1415" s="18"/>
      <c r="AE1415" s="18"/>
      <c r="AF1415" s="18"/>
      <c r="AG1415" s="16"/>
      <c r="AH1415" s="16"/>
      <c r="AI1415" s="18"/>
      <c r="AJ1415" s="18"/>
      <c r="AK1415" s="18"/>
      <c r="AL1415" s="18"/>
      <c r="AM1415" s="18"/>
      <c r="AN1415" s="18"/>
      <c r="AO1415" s="18"/>
      <c r="AP1415" s="18"/>
      <c r="AQ1415" s="18"/>
      <c r="AR1415" s="18"/>
      <c r="AS1415" s="18"/>
      <c r="AT1415" s="216"/>
      <c r="AU1415" s="18"/>
      <c r="AV1415" s="18"/>
      <c r="AW1415" s="18"/>
      <c r="AX1415" s="18"/>
      <c r="AY1415" s="18"/>
      <c r="AZ1415" s="18"/>
      <c r="BA1415" s="18"/>
      <c r="BB1415" s="18"/>
      <c r="BC1415" s="18"/>
      <c r="BD1415" s="18"/>
      <c r="BE1415" s="18"/>
      <c r="BF1415" s="15"/>
      <c r="BG1415" s="15"/>
    </row>
    <row r="1416" spans="1:59" ht="15.75" customHeight="1">
      <c r="A1416" s="216"/>
      <c r="B1416" s="12"/>
      <c r="C1416" s="12"/>
      <c r="D1416" s="13"/>
      <c r="E1416" s="12"/>
      <c r="F1416" s="13"/>
      <c r="G1416" s="13"/>
      <c r="H1416" s="12"/>
      <c r="I1416" s="18"/>
      <c r="J1416" s="16"/>
      <c r="K1416" s="16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  <c r="AC1416" s="18"/>
      <c r="AD1416" s="18"/>
      <c r="AE1416" s="18"/>
      <c r="AF1416" s="18"/>
      <c r="AG1416" s="16"/>
      <c r="AH1416" s="16"/>
      <c r="AI1416" s="18"/>
      <c r="AJ1416" s="18"/>
      <c r="AK1416" s="18"/>
      <c r="AL1416" s="18"/>
      <c r="AM1416" s="18"/>
      <c r="AN1416" s="18"/>
      <c r="AO1416" s="18"/>
      <c r="AP1416" s="18"/>
      <c r="AQ1416" s="18"/>
      <c r="AR1416" s="18"/>
      <c r="AS1416" s="18"/>
      <c r="AT1416" s="216"/>
      <c r="AU1416" s="18"/>
      <c r="AV1416" s="18"/>
      <c r="AW1416" s="18"/>
      <c r="AX1416" s="18"/>
      <c r="AY1416" s="18"/>
      <c r="AZ1416" s="18"/>
      <c r="BA1416" s="18"/>
      <c r="BB1416" s="18"/>
      <c r="BC1416" s="18"/>
      <c r="BD1416" s="18"/>
      <c r="BE1416" s="18"/>
      <c r="BF1416" s="15"/>
      <c r="BG1416" s="15"/>
    </row>
    <row r="1417" spans="1:59" ht="15.75" customHeight="1">
      <c r="A1417" s="216"/>
      <c r="B1417" s="12"/>
      <c r="C1417" s="12"/>
      <c r="D1417" s="13"/>
      <c r="E1417" s="12"/>
      <c r="F1417" s="13"/>
      <c r="G1417" s="13"/>
      <c r="H1417" s="12"/>
      <c r="I1417" s="18"/>
      <c r="J1417" s="16"/>
      <c r="K1417" s="16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  <c r="AB1417" s="18"/>
      <c r="AC1417" s="18"/>
      <c r="AD1417" s="18"/>
      <c r="AE1417" s="18"/>
      <c r="AF1417" s="18"/>
      <c r="AG1417" s="16"/>
      <c r="AH1417" s="16"/>
      <c r="AI1417" s="18"/>
      <c r="AJ1417" s="18"/>
      <c r="AK1417" s="18"/>
      <c r="AL1417" s="18"/>
      <c r="AM1417" s="18"/>
      <c r="AN1417" s="18"/>
      <c r="AO1417" s="18"/>
      <c r="AP1417" s="18"/>
      <c r="AQ1417" s="18"/>
      <c r="AR1417" s="18"/>
      <c r="AS1417" s="18"/>
      <c r="AT1417" s="216"/>
      <c r="AU1417" s="18"/>
      <c r="AV1417" s="18"/>
      <c r="AW1417" s="18"/>
      <c r="AX1417" s="18"/>
      <c r="AY1417" s="18"/>
      <c r="AZ1417" s="18"/>
      <c r="BA1417" s="18"/>
      <c r="BB1417" s="18"/>
      <c r="BC1417" s="18"/>
      <c r="BD1417" s="18"/>
      <c r="BE1417" s="18"/>
      <c r="BF1417" s="15"/>
      <c r="BG1417" s="15"/>
    </row>
    <row r="1418" spans="1:59" ht="15.75" customHeight="1">
      <c r="A1418" s="216"/>
      <c r="B1418" s="12"/>
      <c r="C1418" s="12"/>
      <c r="D1418" s="13"/>
      <c r="E1418" s="12"/>
      <c r="F1418" s="13"/>
      <c r="G1418" s="13"/>
      <c r="H1418" s="12"/>
      <c r="I1418" s="18"/>
      <c r="J1418" s="16"/>
      <c r="K1418" s="16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  <c r="AA1418" s="18"/>
      <c r="AB1418" s="18"/>
      <c r="AC1418" s="18"/>
      <c r="AD1418" s="18"/>
      <c r="AE1418" s="18"/>
      <c r="AF1418" s="18"/>
      <c r="AG1418" s="16"/>
      <c r="AH1418" s="16"/>
      <c r="AI1418" s="18"/>
      <c r="AJ1418" s="18"/>
      <c r="AK1418" s="18"/>
      <c r="AL1418" s="18"/>
      <c r="AM1418" s="18"/>
      <c r="AN1418" s="18"/>
      <c r="AO1418" s="18"/>
      <c r="AP1418" s="18"/>
      <c r="AQ1418" s="18"/>
      <c r="AR1418" s="18"/>
      <c r="AS1418" s="18"/>
      <c r="AT1418" s="216"/>
      <c r="AU1418" s="18"/>
      <c r="AV1418" s="18"/>
      <c r="AW1418" s="18"/>
      <c r="AX1418" s="18"/>
      <c r="AY1418" s="18"/>
      <c r="AZ1418" s="18"/>
      <c r="BA1418" s="18"/>
      <c r="BB1418" s="18"/>
      <c r="BC1418" s="18"/>
      <c r="BD1418" s="18"/>
      <c r="BE1418" s="18"/>
      <c r="BF1418" s="15"/>
      <c r="BG1418" s="15"/>
    </row>
    <row r="1419" spans="1:59" ht="15.75" customHeight="1">
      <c r="A1419" s="216"/>
      <c r="B1419" s="12"/>
      <c r="C1419" s="12"/>
      <c r="D1419" s="13"/>
      <c r="E1419" s="12"/>
      <c r="F1419" s="13"/>
      <c r="G1419" s="13"/>
      <c r="H1419" s="12"/>
      <c r="I1419" s="18"/>
      <c r="J1419" s="16"/>
      <c r="K1419" s="16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  <c r="AA1419" s="18"/>
      <c r="AB1419" s="18"/>
      <c r="AC1419" s="18"/>
      <c r="AD1419" s="18"/>
      <c r="AE1419" s="18"/>
      <c r="AF1419" s="18"/>
      <c r="AG1419" s="16"/>
      <c r="AH1419" s="16"/>
      <c r="AI1419" s="18"/>
      <c r="AJ1419" s="18"/>
      <c r="AK1419" s="18"/>
      <c r="AL1419" s="18"/>
      <c r="AM1419" s="18"/>
      <c r="AN1419" s="18"/>
      <c r="AO1419" s="18"/>
      <c r="AP1419" s="18"/>
      <c r="AQ1419" s="18"/>
      <c r="AR1419" s="18"/>
      <c r="AS1419" s="18"/>
      <c r="AT1419" s="216"/>
      <c r="AU1419" s="18"/>
      <c r="AV1419" s="18"/>
      <c r="AW1419" s="18"/>
      <c r="AX1419" s="18"/>
      <c r="AY1419" s="18"/>
      <c r="AZ1419" s="18"/>
      <c r="BA1419" s="18"/>
      <c r="BB1419" s="18"/>
      <c r="BC1419" s="18"/>
      <c r="BD1419" s="18"/>
      <c r="BE1419" s="18"/>
      <c r="BF1419" s="15"/>
      <c r="BG1419" s="15"/>
    </row>
    <row r="1420" spans="1:59" ht="15.75" customHeight="1">
      <c r="A1420" s="216"/>
      <c r="B1420" s="12"/>
      <c r="C1420" s="12"/>
      <c r="D1420" s="13"/>
      <c r="E1420" s="12"/>
      <c r="F1420" s="13"/>
      <c r="G1420" s="13"/>
      <c r="H1420" s="12"/>
      <c r="I1420" s="18"/>
      <c r="J1420" s="16"/>
      <c r="K1420" s="16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  <c r="AA1420" s="18"/>
      <c r="AB1420" s="18"/>
      <c r="AC1420" s="18"/>
      <c r="AD1420" s="18"/>
      <c r="AE1420" s="18"/>
      <c r="AF1420" s="18"/>
      <c r="AG1420" s="16"/>
      <c r="AH1420" s="16"/>
      <c r="AI1420" s="18"/>
      <c r="AJ1420" s="18"/>
      <c r="AK1420" s="18"/>
      <c r="AL1420" s="18"/>
      <c r="AM1420" s="18"/>
      <c r="AN1420" s="18"/>
      <c r="AO1420" s="18"/>
      <c r="AP1420" s="18"/>
      <c r="AQ1420" s="18"/>
      <c r="AR1420" s="18"/>
      <c r="AS1420" s="18"/>
      <c r="AT1420" s="216"/>
      <c r="AU1420" s="18"/>
      <c r="AV1420" s="18"/>
      <c r="AW1420" s="18"/>
      <c r="AX1420" s="18"/>
      <c r="AY1420" s="18"/>
      <c r="AZ1420" s="18"/>
      <c r="BA1420" s="18"/>
      <c r="BB1420" s="18"/>
      <c r="BC1420" s="18"/>
      <c r="BD1420" s="18"/>
      <c r="BE1420" s="18"/>
      <c r="BF1420" s="15"/>
      <c r="BG1420" s="15"/>
    </row>
    <row r="1421" spans="1:59" ht="15.75" customHeight="1">
      <c r="A1421" s="216"/>
      <c r="B1421" s="12"/>
      <c r="C1421" s="12"/>
      <c r="D1421" s="13"/>
      <c r="E1421" s="12"/>
      <c r="F1421" s="13"/>
      <c r="G1421" s="13"/>
      <c r="H1421" s="12"/>
      <c r="I1421" s="18"/>
      <c r="J1421" s="16"/>
      <c r="K1421" s="16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8"/>
      <c r="AD1421" s="18"/>
      <c r="AE1421" s="18"/>
      <c r="AF1421" s="18"/>
      <c r="AG1421" s="16"/>
      <c r="AH1421" s="16"/>
      <c r="AI1421" s="18"/>
      <c r="AJ1421" s="18"/>
      <c r="AK1421" s="18"/>
      <c r="AL1421" s="18"/>
      <c r="AM1421" s="18"/>
      <c r="AN1421" s="18"/>
      <c r="AO1421" s="18"/>
      <c r="AP1421" s="18"/>
      <c r="AQ1421" s="18"/>
      <c r="AR1421" s="18"/>
      <c r="AS1421" s="18"/>
      <c r="AT1421" s="216"/>
      <c r="AU1421" s="18"/>
      <c r="AV1421" s="18"/>
      <c r="AW1421" s="18"/>
      <c r="AX1421" s="18"/>
      <c r="AY1421" s="18"/>
      <c r="AZ1421" s="18"/>
      <c r="BA1421" s="18"/>
      <c r="BB1421" s="18"/>
      <c r="BC1421" s="18"/>
      <c r="BD1421" s="18"/>
      <c r="BE1421" s="18"/>
      <c r="BF1421" s="15"/>
      <c r="BG1421" s="15"/>
    </row>
    <row r="1422" spans="1:59" ht="15.75" customHeight="1">
      <c r="A1422" s="216"/>
      <c r="B1422" s="12"/>
      <c r="C1422" s="12"/>
      <c r="D1422" s="13"/>
      <c r="E1422" s="12"/>
      <c r="F1422" s="13"/>
      <c r="G1422" s="13"/>
      <c r="H1422" s="12"/>
      <c r="I1422" s="18"/>
      <c r="J1422" s="16"/>
      <c r="K1422" s="16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  <c r="AC1422" s="18"/>
      <c r="AD1422" s="18"/>
      <c r="AE1422" s="18"/>
      <c r="AF1422" s="18"/>
      <c r="AG1422" s="16"/>
      <c r="AH1422" s="16"/>
      <c r="AI1422" s="18"/>
      <c r="AJ1422" s="18"/>
      <c r="AK1422" s="18"/>
      <c r="AL1422" s="18"/>
      <c r="AM1422" s="18"/>
      <c r="AN1422" s="18"/>
      <c r="AO1422" s="18"/>
      <c r="AP1422" s="18"/>
      <c r="AQ1422" s="18"/>
      <c r="AR1422" s="18"/>
      <c r="AS1422" s="18"/>
      <c r="AT1422" s="216"/>
      <c r="AU1422" s="18"/>
      <c r="AV1422" s="18"/>
      <c r="AW1422" s="18"/>
      <c r="AX1422" s="18"/>
      <c r="AY1422" s="18"/>
      <c r="AZ1422" s="18"/>
      <c r="BA1422" s="18"/>
      <c r="BB1422" s="18"/>
      <c r="BC1422" s="18"/>
      <c r="BD1422" s="18"/>
      <c r="BE1422" s="18"/>
      <c r="BF1422" s="15"/>
      <c r="BG1422" s="15"/>
    </row>
    <row r="1423" spans="1:59" ht="15.75" customHeight="1">
      <c r="A1423" s="216"/>
      <c r="B1423" s="12"/>
      <c r="C1423" s="12"/>
      <c r="D1423" s="13"/>
      <c r="E1423" s="12"/>
      <c r="F1423" s="13"/>
      <c r="G1423" s="13"/>
      <c r="H1423" s="12"/>
      <c r="I1423" s="18"/>
      <c r="J1423" s="16"/>
      <c r="K1423" s="16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  <c r="AA1423" s="18"/>
      <c r="AB1423" s="18"/>
      <c r="AC1423" s="18"/>
      <c r="AD1423" s="18"/>
      <c r="AE1423" s="18"/>
      <c r="AF1423" s="18"/>
      <c r="AG1423" s="16"/>
      <c r="AH1423" s="16"/>
      <c r="AI1423" s="18"/>
      <c r="AJ1423" s="18"/>
      <c r="AK1423" s="18"/>
      <c r="AL1423" s="18"/>
      <c r="AM1423" s="18"/>
      <c r="AN1423" s="18"/>
      <c r="AO1423" s="18"/>
      <c r="AP1423" s="18"/>
      <c r="AQ1423" s="18"/>
      <c r="AR1423" s="18"/>
      <c r="AS1423" s="18"/>
      <c r="AT1423" s="216"/>
      <c r="AU1423" s="18"/>
      <c r="AV1423" s="18"/>
      <c r="AW1423" s="18"/>
      <c r="AX1423" s="18"/>
      <c r="AY1423" s="18"/>
      <c r="AZ1423" s="18"/>
      <c r="BA1423" s="18"/>
      <c r="BB1423" s="18"/>
      <c r="BC1423" s="18"/>
      <c r="BD1423" s="18"/>
      <c r="BE1423" s="18"/>
      <c r="BF1423" s="15"/>
      <c r="BG1423" s="15"/>
    </row>
    <row r="1424" spans="1:59" ht="15.75" customHeight="1">
      <c r="A1424" s="216"/>
      <c r="B1424" s="12"/>
      <c r="C1424" s="12"/>
      <c r="D1424" s="13"/>
      <c r="E1424" s="12"/>
      <c r="F1424" s="13"/>
      <c r="G1424" s="13"/>
      <c r="H1424" s="12"/>
      <c r="I1424" s="18"/>
      <c r="J1424" s="16"/>
      <c r="K1424" s="16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18"/>
      <c r="AC1424" s="18"/>
      <c r="AD1424" s="18"/>
      <c r="AE1424" s="18"/>
      <c r="AF1424" s="18"/>
      <c r="AG1424" s="16"/>
      <c r="AH1424" s="16"/>
      <c r="AI1424" s="18"/>
      <c r="AJ1424" s="18"/>
      <c r="AK1424" s="18"/>
      <c r="AL1424" s="18"/>
      <c r="AM1424" s="18"/>
      <c r="AN1424" s="18"/>
      <c r="AO1424" s="18"/>
      <c r="AP1424" s="18"/>
      <c r="AQ1424" s="18"/>
      <c r="AR1424" s="18"/>
      <c r="AS1424" s="18"/>
      <c r="AT1424" s="216"/>
      <c r="AU1424" s="18"/>
      <c r="AV1424" s="18"/>
      <c r="AW1424" s="18"/>
      <c r="AX1424" s="18"/>
      <c r="AY1424" s="18"/>
      <c r="AZ1424" s="18"/>
      <c r="BA1424" s="18"/>
      <c r="BB1424" s="18"/>
      <c r="BC1424" s="18"/>
      <c r="BD1424" s="18"/>
      <c r="BE1424" s="18"/>
      <c r="BF1424" s="15"/>
      <c r="BG1424" s="15"/>
    </row>
    <row r="1425" spans="1:59" ht="15.75" customHeight="1">
      <c r="A1425" s="216"/>
      <c r="B1425" s="12"/>
      <c r="C1425" s="12"/>
      <c r="D1425" s="13"/>
      <c r="E1425" s="12"/>
      <c r="F1425" s="13"/>
      <c r="G1425" s="13"/>
      <c r="H1425" s="12"/>
      <c r="I1425" s="18"/>
      <c r="J1425" s="16"/>
      <c r="K1425" s="16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  <c r="AC1425" s="18"/>
      <c r="AD1425" s="18"/>
      <c r="AE1425" s="18"/>
      <c r="AF1425" s="18"/>
      <c r="AG1425" s="16"/>
      <c r="AH1425" s="16"/>
      <c r="AI1425" s="18"/>
      <c r="AJ1425" s="18"/>
      <c r="AK1425" s="18"/>
      <c r="AL1425" s="18"/>
      <c r="AM1425" s="18"/>
      <c r="AN1425" s="18"/>
      <c r="AO1425" s="18"/>
      <c r="AP1425" s="18"/>
      <c r="AQ1425" s="18"/>
      <c r="AR1425" s="18"/>
      <c r="AS1425" s="18"/>
      <c r="AT1425" s="216"/>
      <c r="AU1425" s="18"/>
      <c r="AV1425" s="18"/>
      <c r="AW1425" s="18"/>
      <c r="AX1425" s="18"/>
      <c r="AY1425" s="18"/>
      <c r="AZ1425" s="18"/>
      <c r="BA1425" s="18"/>
      <c r="BB1425" s="18"/>
      <c r="BC1425" s="18"/>
      <c r="BD1425" s="18"/>
      <c r="BE1425" s="18"/>
      <c r="BF1425" s="15"/>
      <c r="BG1425" s="15"/>
    </row>
    <row r="1426" spans="1:59" ht="15.75" customHeight="1">
      <c r="A1426" s="216"/>
      <c r="B1426" s="12"/>
      <c r="C1426" s="12"/>
      <c r="D1426" s="13"/>
      <c r="E1426" s="12"/>
      <c r="F1426" s="13"/>
      <c r="G1426" s="13"/>
      <c r="H1426" s="12"/>
      <c r="I1426" s="18"/>
      <c r="J1426" s="16"/>
      <c r="K1426" s="16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8"/>
      <c r="AD1426" s="18"/>
      <c r="AE1426" s="18"/>
      <c r="AF1426" s="18"/>
      <c r="AG1426" s="16"/>
      <c r="AH1426" s="16"/>
      <c r="AI1426" s="18"/>
      <c r="AJ1426" s="18"/>
      <c r="AK1426" s="18"/>
      <c r="AL1426" s="18"/>
      <c r="AM1426" s="18"/>
      <c r="AN1426" s="18"/>
      <c r="AO1426" s="18"/>
      <c r="AP1426" s="18"/>
      <c r="AQ1426" s="18"/>
      <c r="AR1426" s="18"/>
      <c r="AS1426" s="18"/>
      <c r="AT1426" s="216"/>
      <c r="AU1426" s="18"/>
      <c r="AV1426" s="18"/>
      <c r="AW1426" s="18"/>
      <c r="AX1426" s="18"/>
      <c r="AY1426" s="18"/>
      <c r="AZ1426" s="18"/>
      <c r="BA1426" s="18"/>
      <c r="BB1426" s="18"/>
      <c r="BC1426" s="18"/>
      <c r="BD1426" s="18"/>
      <c r="BE1426" s="18"/>
      <c r="BF1426" s="15"/>
      <c r="BG1426" s="15"/>
    </row>
    <row r="1427" spans="1:59" ht="15.75" customHeight="1">
      <c r="A1427" s="216"/>
      <c r="B1427" s="12"/>
      <c r="C1427" s="12"/>
      <c r="D1427" s="13"/>
      <c r="E1427" s="12"/>
      <c r="F1427" s="13"/>
      <c r="G1427" s="13"/>
      <c r="H1427" s="12"/>
      <c r="I1427" s="18"/>
      <c r="J1427" s="16"/>
      <c r="K1427" s="16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8"/>
      <c r="AE1427" s="18"/>
      <c r="AF1427" s="18"/>
      <c r="AG1427" s="16"/>
      <c r="AH1427" s="16"/>
      <c r="AI1427" s="18"/>
      <c r="AJ1427" s="18"/>
      <c r="AK1427" s="18"/>
      <c r="AL1427" s="18"/>
      <c r="AM1427" s="18"/>
      <c r="AN1427" s="18"/>
      <c r="AO1427" s="18"/>
      <c r="AP1427" s="18"/>
      <c r="AQ1427" s="18"/>
      <c r="AR1427" s="18"/>
      <c r="AS1427" s="18"/>
      <c r="AT1427" s="216"/>
      <c r="AU1427" s="18"/>
      <c r="AV1427" s="18"/>
      <c r="AW1427" s="18"/>
      <c r="AX1427" s="18"/>
      <c r="AY1427" s="18"/>
      <c r="AZ1427" s="18"/>
      <c r="BA1427" s="18"/>
      <c r="BB1427" s="18"/>
      <c r="BC1427" s="18"/>
      <c r="BD1427" s="18"/>
      <c r="BE1427" s="18"/>
      <c r="BF1427" s="15"/>
      <c r="BG1427" s="15"/>
    </row>
    <row r="1428" spans="1:59" ht="15.75" customHeight="1">
      <c r="A1428" s="216"/>
      <c r="B1428" s="12"/>
      <c r="C1428" s="12"/>
      <c r="D1428" s="13"/>
      <c r="E1428" s="12"/>
      <c r="F1428" s="13"/>
      <c r="G1428" s="13"/>
      <c r="H1428" s="12"/>
      <c r="I1428" s="18"/>
      <c r="J1428" s="16"/>
      <c r="K1428" s="16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8"/>
      <c r="AD1428" s="18"/>
      <c r="AE1428" s="18"/>
      <c r="AF1428" s="18"/>
      <c r="AG1428" s="16"/>
      <c r="AH1428" s="16"/>
      <c r="AI1428" s="18"/>
      <c r="AJ1428" s="18"/>
      <c r="AK1428" s="18"/>
      <c r="AL1428" s="18"/>
      <c r="AM1428" s="18"/>
      <c r="AN1428" s="18"/>
      <c r="AO1428" s="18"/>
      <c r="AP1428" s="18"/>
      <c r="AQ1428" s="18"/>
      <c r="AR1428" s="18"/>
      <c r="AS1428" s="18"/>
      <c r="AT1428" s="216"/>
      <c r="AU1428" s="18"/>
      <c r="AV1428" s="18"/>
      <c r="AW1428" s="18"/>
      <c r="AX1428" s="18"/>
      <c r="AY1428" s="18"/>
      <c r="AZ1428" s="18"/>
      <c r="BA1428" s="18"/>
      <c r="BB1428" s="18"/>
      <c r="BC1428" s="18"/>
      <c r="BD1428" s="18"/>
      <c r="BE1428" s="18"/>
      <c r="BF1428" s="15"/>
      <c r="BG1428" s="15"/>
    </row>
    <row r="1429" spans="1:59" ht="15.75" customHeight="1">
      <c r="A1429" s="216"/>
      <c r="B1429" s="12"/>
      <c r="C1429" s="12"/>
      <c r="D1429" s="13"/>
      <c r="E1429" s="12"/>
      <c r="F1429" s="13"/>
      <c r="G1429" s="13"/>
      <c r="H1429" s="12"/>
      <c r="I1429" s="18"/>
      <c r="J1429" s="16"/>
      <c r="K1429" s="16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  <c r="AB1429" s="18"/>
      <c r="AC1429" s="18"/>
      <c r="AD1429" s="18"/>
      <c r="AE1429" s="18"/>
      <c r="AF1429" s="18"/>
      <c r="AG1429" s="16"/>
      <c r="AH1429" s="16"/>
      <c r="AI1429" s="18"/>
      <c r="AJ1429" s="18"/>
      <c r="AK1429" s="18"/>
      <c r="AL1429" s="18"/>
      <c r="AM1429" s="18"/>
      <c r="AN1429" s="18"/>
      <c r="AO1429" s="18"/>
      <c r="AP1429" s="18"/>
      <c r="AQ1429" s="18"/>
      <c r="AR1429" s="18"/>
      <c r="AS1429" s="18"/>
      <c r="AT1429" s="216"/>
      <c r="AU1429" s="18"/>
      <c r="AV1429" s="18"/>
      <c r="AW1429" s="18"/>
      <c r="AX1429" s="18"/>
      <c r="AY1429" s="18"/>
      <c r="AZ1429" s="18"/>
      <c r="BA1429" s="18"/>
      <c r="BB1429" s="18"/>
      <c r="BC1429" s="18"/>
      <c r="BD1429" s="18"/>
      <c r="BE1429" s="18"/>
      <c r="BF1429" s="15"/>
      <c r="BG1429" s="15"/>
    </row>
    <row r="1430" spans="1:59" ht="15.75" customHeight="1">
      <c r="A1430" s="216"/>
      <c r="B1430" s="12"/>
      <c r="C1430" s="12"/>
      <c r="D1430" s="13"/>
      <c r="E1430" s="12"/>
      <c r="F1430" s="13"/>
      <c r="G1430" s="13"/>
      <c r="H1430" s="12"/>
      <c r="I1430" s="18"/>
      <c r="J1430" s="16"/>
      <c r="K1430" s="16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  <c r="AC1430" s="18"/>
      <c r="AD1430" s="18"/>
      <c r="AE1430" s="18"/>
      <c r="AF1430" s="18"/>
      <c r="AG1430" s="16"/>
      <c r="AH1430" s="16"/>
      <c r="AI1430" s="18"/>
      <c r="AJ1430" s="18"/>
      <c r="AK1430" s="18"/>
      <c r="AL1430" s="18"/>
      <c r="AM1430" s="18"/>
      <c r="AN1430" s="18"/>
      <c r="AO1430" s="18"/>
      <c r="AP1430" s="18"/>
      <c r="AQ1430" s="18"/>
      <c r="AR1430" s="18"/>
      <c r="AS1430" s="18"/>
      <c r="AT1430" s="216"/>
      <c r="AU1430" s="18"/>
      <c r="AV1430" s="18"/>
      <c r="AW1430" s="18"/>
      <c r="AX1430" s="18"/>
      <c r="AY1430" s="18"/>
      <c r="AZ1430" s="18"/>
      <c r="BA1430" s="18"/>
      <c r="BB1430" s="18"/>
      <c r="BC1430" s="18"/>
      <c r="BD1430" s="18"/>
      <c r="BE1430" s="18"/>
      <c r="BF1430" s="15"/>
      <c r="BG1430" s="15"/>
    </row>
    <row r="1431" spans="1:59" ht="15.75" customHeight="1">
      <c r="A1431" s="216"/>
      <c r="B1431" s="12"/>
      <c r="C1431" s="12"/>
      <c r="D1431" s="13"/>
      <c r="E1431" s="12"/>
      <c r="F1431" s="13"/>
      <c r="G1431" s="13"/>
      <c r="H1431" s="12"/>
      <c r="I1431" s="18"/>
      <c r="J1431" s="16"/>
      <c r="K1431" s="16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  <c r="AC1431" s="18"/>
      <c r="AD1431" s="18"/>
      <c r="AE1431" s="18"/>
      <c r="AF1431" s="18"/>
      <c r="AG1431" s="16"/>
      <c r="AH1431" s="16"/>
      <c r="AI1431" s="18"/>
      <c r="AJ1431" s="18"/>
      <c r="AK1431" s="18"/>
      <c r="AL1431" s="18"/>
      <c r="AM1431" s="18"/>
      <c r="AN1431" s="18"/>
      <c r="AO1431" s="18"/>
      <c r="AP1431" s="18"/>
      <c r="AQ1431" s="18"/>
      <c r="AR1431" s="18"/>
      <c r="AS1431" s="18"/>
      <c r="AT1431" s="216"/>
      <c r="AU1431" s="18"/>
      <c r="AV1431" s="18"/>
      <c r="AW1431" s="18"/>
      <c r="AX1431" s="18"/>
      <c r="AY1431" s="18"/>
      <c r="AZ1431" s="18"/>
      <c r="BA1431" s="18"/>
      <c r="BB1431" s="18"/>
      <c r="BC1431" s="18"/>
      <c r="BD1431" s="18"/>
      <c r="BE1431" s="18"/>
      <c r="BF1431" s="15"/>
      <c r="BG1431" s="15"/>
    </row>
    <row r="1432" spans="1:59" ht="15.75" customHeight="1">
      <c r="A1432" s="216"/>
      <c r="B1432" s="12"/>
      <c r="C1432" s="12"/>
      <c r="D1432" s="13"/>
      <c r="E1432" s="12"/>
      <c r="F1432" s="13"/>
      <c r="G1432" s="13"/>
      <c r="H1432" s="12"/>
      <c r="I1432" s="18"/>
      <c r="J1432" s="16"/>
      <c r="K1432" s="16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  <c r="AC1432" s="18"/>
      <c r="AD1432" s="18"/>
      <c r="AE1432" s="18"/>
      <c r="AF1432" s="18"/>
      <c r="AG1432" s="16"/>
      <c r="AH1432" s="16"/>
      <c r="AI1432" s="18"/>
      <c r="AJ1432" s="18"/>
      <c r="AK1432" s="18"/>
      <c r="AL1432" s="18"/>
      <c r="AM1432" s="18"/>
      <c r="AN1432" s="18"/>
      <c r="AO1432" s="18"/>
      <c r="AP1432" s="18"/>
      <c r="AQ1432" s="18"/>
      <c r="AR1432" s="18"/>
      <c r="AS1432" s="18"/>
      <c r="AT1432" s="216"/>
      <c r="AU1432" s="18"/>
      <c r="AV1432" s="18"/>
      <c r="AW1432" s="18"/>
      <c r="AX1432" s="18"/>
      <c r="AY1432" s="18"/>
      <c r="AZ1432" s="18"/>
      <c r="BA1432" s="18"/>
      <c r="BB1432" s="18"/>
      <c r="BC1432" s="18"/>
      <c r="BD1432" s="18"/>
      <c r="BE1432" s="18"/>
      <c r="BF1432" s="15"/>
      <c r="BG1432" s="15"/>
    </row>
    <row r="1433" spans="1:59" ht="15.75" customHeight="1">
      <c r="A1433" s="216"/>
      <c r="B1433" s="12"/>
      <c r="C1433" s="12"/>
      <c r="D1433" s="13"/>
      <c r="E1433" s="12"/>
      <c r="F1433" s="13"/>
      <c r="G1433" s="13"/>
      <c r="H1433" s="12"/>
      <c r="I1433" s="18"/>
      <c r="J1433" s="16"/>
      <c r="K1433" s="16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  <c r="AC1433" s="18"/>
      <c r="AD1433" s="18"/>
      <c r="AE1433" s="18"/>
      <c r="AF1433" s="18"/>
      <c r="AG1433" s="16"/>
      <c r="AH1433" s="16"/>
      <c r="AI1433" s="18"/>
      <c r="AJ1433" s="18"/>
      <c r="AK1433" s="18"/>
      <c r="AL1433" s="18"/>
      <c r="AM1433" s="18"/>
      <c r="AN1433" s="18"/>
      <c r="AO1433" s="18"/>
      <c r="AP1433" s="18"/>
      <c r="AQ1433" s="18"/>
      <c r="AR1433" s="18"/>
      <c r="AS1433" s="18"/>
      <c r="AT1433" s="216"/>
      <c r="AU1433" s="18"/>
      <c r="AV1433" s="18"/>
      <c r="AW1433" s="18"/>
      <c r="AX1433" s="18"/>
      <c r="AY1433" s="18"/>
      <c r="AZ1433" s="18"/>
      <c r="BA1433" s="18"/>
      <c r="BB1433" s="18"/>
      <c r="BC1433" s="18"/>
      <c r="BD1433" s="18"/>
      <c r="BE1433" s="18"/>
      <c r="BF1433" s="15"/>
      <c r="BG1433" s="15"/>
    </row>
    <row r="1434" spans="1:59" ht="15.75" customHeight="1">
      <c r="A1434" s="216"/>
      <c r="B1434" s="12"/>
      <c r="C1434" s="12"/>
      <c r="D1434" s="13"/>
      <c r="E1434" s="12"/>
      <c r="F1434" s="13"/>
      <c r="G1434" s="13"/>
      <c r="H1434" s="12"/>
      <c r="I1434" s="18"/>
      <c r="J1434" s="16"/>
      <c r="K1434" s="16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18"/>
      <c r="AF1434" s="18"/>
      <c r="AG1434" s="16"/>
      <c r="AH1434" s="16"/>
      <c r="AI1434" s="18"/>
      <c r="AJ1434" s="18"/>
      <c r="AK1434" s="18"/>
      <c r="AL1434" s="18"/>
      <c r="AM1434" s="18"/>
      <c r="AN1434" s="18"/>
      <c r="AO1434" s="18"/>
      <c r="AP1434" s="18"/>
      <c r="AQ1434" s="18"/>
      <c r="AR1434" s="18"/>
      <c r="AS1434" s="18"/>
      <c r="AT1434" s="216"/>
      <c r="AU1434" s="18"/>
      <c r="AV1434" s="18"/>
      <c r="AW1434" s="18"/>
      <c r="AX1434" s="18"/>
      <c r="AY1434" s="18"/>
      <c r="AZ1434" s="18"/>
      <c r="BA1434" s="18"/>
      <c r="BB1434" s="18"/>
      <c r="BC1434" s="18"/>
      <c r="BD1434" s="18"/>
      <c r="BE1434" s="18"/>
      <c r="BF1434" s="15"/>
      <c r="BG1434" s="15"/>
    </row>
    <row r="1435" spans="1:59" ht="15.75" customHeight="1">
      <c r="A1435" s="216"/>
      <c r="B1435" s="12"/>
      <c r="C1435" s="12"/>
      <c r="D1435" s="13"/>
      <c r="E1435" s="12"/>
      <c r="F1435" s="13"/>
      <c r="G1435" s="13"/>
      <c r="H1435" s="12"/>
      <c r="I1435" s="18"/>
      <c r="J1435" s="16"/>
      <c r="K1435" s="16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  <c r="AA1435" s="18"/>
      <c r="AB1435" s="18"/>
      <c r="AC1435" s="18"/>
      <c r="AD1435" s="18"/>
      <c r="AE1435" s="18"/>
      <c r="AF1435" s="18"/>
      <c r="AG1435" s="16"/>
      <c r="AH1435" s="16"/>
      <c r="AI1435" s="18"/>
      <c r="AJ1435" s="18"/>
      <c r="AK1435" s="18"/>
      <c r="AL1435" s="18"/>
      <c r="AM1435" s="18"/>
      <c r="AN1435" s="18"/>
      <c r="AO1435" s="18"/>
      <c r="AP1435" s="18"/>
      <c r="AQ1435" s="18"/>
      <c r="AR1435" s="18"/>
      <c r="AS1435" s="18"/>
      <c r="AT1435" s="216"/>
      <c r="AU1435" s="18"/>
      <c r="AV1435" s="18"/>
      <c r="AW1435" s="18"/>
      <c r="AX1435" s="18"/>
      <c r="AY1435" s="18"/>
      <c r="AZ1435" s="18"/>
      <c r="BA1435" s="18"/>
      <c r="BB1435" s="18"/>
      <c r="BC1435" s="18"/>
      <c r="BD1435" s="18"/>
      <c r="BE1435" s="18"/>
      <c r="BF1435" s="15"/>
      <c r="BG1435" s="15"/>
    </row>
    <row r="1436" spans="1:59" ht="15.75" customHeight="1">
      <c r="A1436" s="216"/>
      <c r="B1436" s="12"/>
      <c r="C1436" s="12"/>
      <c r="D1436" s="13"/>
      <c r="E1436" s="12"/>
      <c r="F1436" s="13"/>
      <c r="G1436" s="13"/>
      <c r="H1436" s="12"/>
      <c r="I1436" s="18"/>
      <c r="J1436" s="16"/>
      <c r="K1436" s="16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8"/>
      <c r="AD1436" s="18"/>
      <c r="AE1436" s="18"/>
      <c r="AF1436" s="18"/>
      <c r="AG1436" s="16"/>
      <c r="AH1436" s="16"/>
      <c r="AI1436" s="18"/>
      <c r="AJ1436" s="18"/>
      <c r="AK1436" s="18"/>
      <c r="AL1436" s="18"/>
      <c r="AM1436" s="18"/>
      <c r="AN1436" s="18"/>
      <c r="AO1436" s="18"/>
      <c r="AP1436" s="18"/>
      <c r="AQ1436" s="18"/>
      <c r="AR1436" s="18"/>
      <c r="AS1436" s="18"/>
      <c r="AT1436" s="216"/>
      <c r="AU1436" s="18"/>
      <c r="AV1436" s="18"/>
      <c r="AW1436" s="18"/>
      <c r="AX1436" s="18"/>
      <c r="AY1436" s="18"/>
      <c r="AZ1436" s="18"/>
      <c r="BA1436" s="18"/>
      <c r="BB1436" s="18"/>
      <c r="BC1436" s="18"/>
      <c r="BD1436" s="18"/>
      <c r="BE1436" s="18"/>
      <c r="BF1436" s="15"/>
      <c r="BG1436" s="15"/>
    </row>
    <row r="1437" spans="1:59" ht="15.75" customHeight="1">
      <c r="A1437" s="216"/>
      <c r="B1437" s="12"/>
      <c r="C1437" s="12"/>
      <c r="D1437" s="13"/>
      <c r="E1437" s="12"/>
      <c r="F1437" s="13"/>
      <c r="G1437" s="13"/>
      <c r="H1437" s="12"/>
      <c r="I1437" s="18"/>
      <c r="J1437" s="16"/>
      <c r="K1437" s="16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8"/>
      <c r="AB1437" s="18"/>
      <c r="AC1437" s="18"/>
      <c r="AD1437" s="18"/>
      <c r="AE1437" s="18"/>
      <c r="AF1437" s="18"/>
      <c r="AG1437" s="16"/>
      <c r="AH1437" s="16"/>
      <c r="AI1437" s="18"/>
      <c r="AJ1437" s="18"/>
      <c r="AK1437" s="18"/>
      <c r="AL1437" s="18"/>
      <c r="AM1437" s="18"/>
      <c r="AN1437" s="18"/>
      <c r="AO1437" s="18"/>
      <c r="AP1437" s="18"/>
      <c r="AQ1437" s="18"/>
      <c r="AR1437" s="18"/>
      <c r="AS1437" s="18"/>
      <c r="AT1437" s="216"/>
      <c r="AU1437" s="18"/>
      <c r="AV1437" s="18"/>
      <c r="AW1437" s="18"/>
      <c r="AX1437" s="18"/>
      <c r="AY1437" s="18"/>
      <c r="AZ1437" s="18"/>
      <c r="BA1437" s="18"/>
      <c r="BB1437" s="18"/>
      <c r="BC1437" s="18"/>
      <c r="BD1437" s="18"/>
      <c r="BE1437" s="18"/>
      <c r="BF1437" s="15"/>
      <c r="BG1437" s="15"/>
    </row>
    <row r="1438" spans="1:59" ht="15.75" customHeight="1">
      <c r="A1438" s="216"/>
      <c r="B1438" s="12"/>
      <c r="C1438" s="12"/>
      <c r="D1438" s="13"/>
      <c r="E1438" s="12"/>
      <c r="F1438" s="13"/>
      <c r="G1438" s="13"/>
      <c r="H1438" s="12"/>
      <c r="I1438" s="18"/>
      <c r="J1438" s="16"/>
      <c r="K1438" s="16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8"/>
      <c r="AD1438" s="18"/>
      <c r="AE1438" s="18"/>
      <c r="AF1438" s="18"/>
      <c r="AG1438" s="16"/>
      <c r="AH1438" s="16"/>
      <c r="AI1438" s="18"/>
      <c r="AJ1438" s="18"/>
      <c r="AK1438" s="18"/>
      <c r="AL1438" s="18"/>
      <c r="AM1438" s="18"/>
      <c r="AN1438" s="18"/>
      <c r="AO1438" s="18"/>
      <c r="AP1438" s="18"/>
      <c r="AQ1438" s="18"/>
      <c r="AR1438" s="18"/>
      <c r="AS1438" s="18"/>
      <c r="AT1438" s="216"/>
      <c r="AU1438" s="18"/>
      <c r="AV1438" s="18"/>
      <c r="AW1438" s="18"/>
      <c r="AX1438" s="18"/>
      <c r="AY1438" s="18"/>
      <c r="AZ1438" s="18"/>
      <c r="BA1438" s="18"/>
      <c r="BB1438" s="18"/>
      <c r="BC1438" s="18"/>
      <c r="BD1438" s="18"/>
      <c r="BE1438" s="18"/>
      <c r="BF1438" s="15"/>
      <c r="BG1438" s="15"/>
    </row>
    <row r="1439" spans="1:59" ht="15.75" customHeight="1">
      <c r="A1439" s="216"/>
      <c r="B1439" s="12"/>
      <c r="C1439" s="12"/>
      <c r="D1439" s="13"/>
      <c r="E1439" s="12"/>
      <c r="F1439" s="13"/>
      <c r="G1439" s="13"/>
      <c r="H1439" s="12"/>
      <c r="I1439" s="18"/>
      <c r="J1439" s="16"/>
      <c r="K1439" s="16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18"/>
      <c r="AC1439" s="18"/>
      <c r="AD1439" s="18"/>
      <c r="AE1439" s="18"/>
      <c r="AF1439" s="18"/>
      <c r="AG1439" s="16"/>
      <c r="AH1439" s="16"/>
      <c r="AI1439" s="18"/>
      <c r="AJ1439" s="18"/>
      <c r="AK1439" s="18"/>
      <c r="AL1439" s="18"/>
      <c r="AM1439" s="18"/>
      <c r="AN1439" s="18"/>
      <c r="AO1439" s="18"/>
      <c r="AP1439" s="18"/>
      <c r="AQ1439" s="18"/>
      <c r="AR1439" s="18"/>
      <c r="AS1439" s="18"/>
      <c r="AT1439" s="216"/>
      <c r="AU1439" s="18"/>
      <c r="AV1439" s="18"/>
      <c r="AW1439" s="18"/>
      <c r="AX1439" s="18"/>
      <c r="AY1439" s="18"/>
      <c r="AZ1439" s="18"/>
      <c r="BA1439" s="18"/>
      <c r="BB1439" s="18"/>
      <c r="BC1439" s="18"/>
      <c r="BD1439" s="18"/>
      <c r="BE1439" s="18"/>
      <c r="BF1439" s="15"/>
      <c r="BG1439" s="15"/>
    </row>
    <row r="1440" spans="1:59" ht="15.75" customHeight="1">
      <c r="A1440" s="216"/>
      <c r="B1440" s="12"/>
      <c r="C1440" s="12"/>
      <c r="D1440" s="13"/>
      <c r="E1440" s="12"/>
      <c r="F1440" s="13"/>
      <c r="G1440" s="13"/>
      <c r="H1440" s="12"/>
      <c r="I1440" s="18"/>
      <c r="J1440" s="16"/>
      <c r="K1440" s="16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8"/>
      <c r="AD1440" s="18"/>
      <c r="AE1440" s="18"/>
      <c r="AF1440" s="18"/>
      <c r="AG1440" s="16"/>
      <c r="AH1440" s="16"/>
      <c r="AI1440" s="18"/>
      <c r="AJ1440" s="18"/>
      <c r="AK1440" s="18"/>
      <c r="AL1440" s="18"/>
      <c r="AM1440" s="18"/>
      <c r="AN1440" s="18"/>
      <c r="AO1440" s="18"/>
      <c r="AP1440" s="18"/>
      <c r="AQ1440" s="18"/>
      <c r="AR1440" s="18"/>
      <c r="AS1440" s="18"/>
      <c r="AT1440" s="216"/>
      <c r="AU1440" s="18"/>
      <c r="AV1440" s="18"/>
      <c r="AW1440" s="18"/>
      <c r="AX1440" s="18"/>
      <c r="AY1440" s="18"/>
      <c r="AZ1440" s="18"/>
      <c r="BA1440" s="18"/>
      <c r="BB1440" s="18"/>
      <c r="BC1440" s="18"/>
      <c r="BD1440" s="18"/>
      <c r="BE1440" s="18"/>
      <c r="BF1440" s="15"/>
      <c r="BG1440" s="15"/>
    </row>
    <row r="1441" spans="1:59" ht="15.75" customHeight="1">
      <c r="A1441" s="216"/>
      <c r="B1441" s="12"/>
      <c r="C1441" s="12"/>
      <c r="D1441" s="13"/>
      <c r="E1441" s="12"/>
      <c r="F1441" s="13"/>
      <c r="G1441" s="13"/>
      <c r="H1441" s="12"/>
      <c r="I1441" s="18"/>
      <c r="J1441" s="16"/>
      <c r="K1441" s="16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8"/>
      <c r="AD1441" s="18"/>
      <c r="AE1441" s="18"/>
      <c r="AF1441" s="18"/>
      <c r="AG1441" s="16"/>
      <c r="AH1441" s="16"/>
      <c r="AI1441" s="18"/>
      <c r="AJ1441" s="18"/>
      <c r="AK1441" s="18"/>
      <c r="AL1441" s="18"/>
      <c r="AM1441" s="18"/>
      <c r="AN1441" s="18"/>
      <c r="AO1441" s="18"/>
      <c r="AP1441" s="18"/>
      <c r="AQ1441" s="18"/>
      <c r="AR1441" s="18"/>
      <c r="AS1441" s="18"/>
      <c r="AT1441" s="216"/>
      <c r="AU1441" s="18"/>
      <c r="AV1441" s="18"/>
      <c r="AW1441" s="18"/>
      <c r="AX1441" s="18"/>
      <c r="AY1441" s="18"/>
      <c r="AZ1441" s="18"/>
      <c r="BA1441" s="18"/>
      <c r="BB1441" s="18"/>
      <c r="BC1441" s="18"/>
      <c r="BD1441" s="18"/>
      <c r="BE1441" s="18"/>
      <c r="BF1441" s="15"/>
      <c r="BG1441" s="15"/>
    </row>
    <row r="1442" spans="1:59" ht="15.75" customHeight="1">
      <c r="A1442" s="216"/>
      <c r="B1442" s="12"/>
      <c r="C1442" s="12"/>
      <c r="D1442" s="13"/>
      <c r="E1442" s="12"/>
      <c r="F1442" s="13"/>
      <c r="G1442" s="13"/>
      <c r="H1442" s="12"/>
      <c r="I1442" s="18"/>
      <c r="J1442" s="16"/>
      <c r="K1442" s="16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  <c r="AB1442" s="18"/>
      <c r="AC1442" s="18"/>
      <c r="AD1442" s="18"/>
      <c r="AE1442" s="18"/>
      <c r="AF1442" s="18"/>
      <c r="AG1442" s="16"/>
      <c r="AH1442" s="16"/>
      <c r="AI1442" s="18"/>
      <c r="AJ1442" s="18"/>
      <c r="AK1442" s="18"/>
      <c r="AL1442" s="18"/>
      <c r="AM1442" s="18"/>
      <c r="AN1442" s="18"/>
      <c r="AO1442" s="18"/>
      <c r="AP1442" s="18"/>
      <c r="AQ1442" s="18"/>
      <c r="AR1442" s="18"/>
      <c r="AS1442" s="18"/>
      <c r="AT1442" s="216"/>
      <c r="AU1442" s="18"/>
      <c r="AV1442" s="18"/>
      <c r="AW1442" s="18"/>
      <c r="AX1442" s="18"/>
      <c r="AY1442" s="18"/>
      <c r="AZ1442" s="18"/>
      <c r="BA1442" s="18"/>
      <c r="BB1442" s="18"/>
      <c r="BC1442" s="18"/>
      <c r="BD1442" s="18"/>
      <c r="BE1442" s="18"/>
      <c r="BF1442" s="15"/>
      <c r="BG1442" s="15"/>
    </row>
    <row r="1443" spans="1:59" ht="15.75" customHeight="1">
      <c r="A1443" s="216"/>
      <c r="B1443" s="12"/>
      <c r="C1443" s="12"/>
      <c r="D1443" s="13"/>
      <c r="E1443" s="12"/>
      <c r="F1443" s="13"/>
      <c r="G1443" s="13"/>
      <c r="H1443" s="12"/>
      <c r="I1443" s="18"/>
      <c r="J1443" s="16"/>
      <c r="K1443" s="16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18"/>
      <c r="AC1443" s="18"/>
      <c r="AD1443" s="18"/>
      <c r="AE1443" s="18"/>
      <c r="AF1443" s="18"/>
      <c r="AG1443" s="16"/>
      <c r="AH1443" s="16"/>
      <c r="AI1443" s="18"/>
      <c r="AJ1443" s="18"/>
      <c r="AK1443" s="18"/>
      <c r="AL1443" s="18"/>
      <c r="AM1443" s="18"/>
      <c r="AN1443" s="18"/>
      <c r="AO1443" s="18"/>
      <c r="AP1443" s="18"/>
      <c r="AQ1443" s="18"/>
      <c r="AR1443" s="18"/>
      <c r="AS1443" s="18"/>
      <c r="AT1443" s="216"/>
      <c r="AU1443" s="18"/>
      <c r="AV1443" s="18"/>
      <c r="AW1443" s="18"/>
      <c r="AX1443" s="18"/>
      <c r="AY1443" s="18"/>
      <c r="AZ1443" s="18"/>
      <c r="BA1443" s="18"/>
      <c r="BB1443" s="18"/>
      <c r="BC1443" s="18"/>
      <c r="BD1443" s="18"/>
      <c r="BE1443" s="18"/>
      <c r="BF1443" s="15"/>
      <c r="BG1443" s="15"/>
    </row>
    <row r="1444" spans="1:59" ht="15.75" customHeight="1">
      <c r="A1444" s="216"/>
      <c r="B1444" s="12"/>
      <c r="C1444" s="12"/>
      <c r="D1444" s="13"/>
      <c r="E1444" s="12"/>
      <c r="F1444" s="13"/>
      <c r="G1444" s="13"/>
      <c r="H1444" s="12"/>
      <c r="I1444" s="18"/>
      <c r="J1444" s="16"/>
      <c r="K1444" s="16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  <c r="AA1444" s="18"/>
      <c r="AB1444" s="18"/>
      <c r="AC1444" s="18"/>
      <c r="AD1444" s="18"/>
      <c r="AE1444" s="18"/>
      <c r="AF1444" s="18"/>
      <c r="AG1444" s="16"/>
      <c r="AH1444" s="16"/>
      <c r="AI1444" s="18"/>
      <c r="AJ1444" s="18"/>
      <c r="AK1444" s="18"/>
      <c r="AL1444" s="18"/>
      <c r="AM1444" s="18"/>
      <c r="AN1444" s="18"/>
      <c r="AO1444" s="18"/>
      <c r="AP1444" s="18"/>
      <c r="AQ1444" s="18"/>
      <c r="AR1444" s="18"/>
      <c r="AS1444" s="18"/>
      <c r="AT1444" s="216"/>
      <c r="AU1444" s="18"/>
      <c r="AV1444" s="18"/>
      <c r="AW1444" s="18"/>
      <c r="AX1444" s="18"/>
      <c r="AY1444" s="18"/>
      <c r="AZ1444" s="18"/>
      <c r="BA1444" s="18"/>
      <c r="BB1444" s="18"/>
      <c r="BC1444" s="18"/>
      <c r="BD1444" s="18"/>
      <c r="BE1444" s="18"/>
      <c r="BF1444" s="15"/>
      <c r="BG1444" s="15"/>
    </row>
    <row r="1445" spans="1:59" ht="15.75" customHeight="1">
      <c r="A1445" s="216"/>
      <c r="B1445" s="12"/>
      <c r="C1445" s="12"/>
      <c r="D1445" s="13"/>
      <c r="E1445" s="12"/>
      <c r="F1445" s="13"/>
      <c r="G1445" s="13"/>
      <c r="H1445" s="12"/>
      <c r="I1445" s="18"/>
      <c r="J1445" s="16"/>
      <c r="K1445" s="16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  <c r="AC1445" s="18"/>
      <c r="AD1445" s="18"/>
      <c r="AE1445" s="18"/>
      <c r="AF1445" s="18"/>
      <c r="AG1445" s="16"/>
      <c r="AH1445" s="16"/>
      <c r="AI1445" s="18"/>
      <c r="AJ1445" s="18"/>
      <c r="AK1445" s="18"/>
      <c r="AL1445" s="18"/>
      <c r="AM1445" s="18"/>
      <c r="AN1445" s="18"/>
      <c r="AO1445" s="18"/>
      <c r="AP1445" s="18"/>
      <c r="AQ1445" s="18"/>
      <c r="AR1445" s="18"/>
      <c r="AS1445" s="18"/>
      <c r="AT1445" s="216"/>
      <c r="AU1445" s="18"/>
      <c r="AV1445" s="18"/>
      <c r="AW1445" s="18"/>
      <c r="AX1445" s="18"/>
      <c r="AY1445" s="18"/>
      <c r="AZ1445" s="18"/>
      <c r="BA1445" s="18"/>
      <c r="BB1445" s="18"/>
      <c r="BC1445" s="18"/>
      <c r="BD1445" s="18"/>
      <c r="BE1445" s="18"/>
      <c r="BF1445" s="15"/>
      <c r="BG1445" s="15"/>
    </row>
    <row r="1446" spans="1:59" ht="15.75" customHeight="1">
      <c r="A1446" s="216"/>
      <c r="B1446" s="12"/>
      <c r="C1446" s="12"/>
      <c r="D1446" s="13"/>
      <c r="E1446" s="12"/>
      <c r="F1446" s="13"/>
      <c r="G1446" s="13"/>
      <c r="H1446" s="12"/>
      <c r="I1446" s="18"/>
      <c r="J1446" s="16"/>
      <c r="K1446" s="16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8"/>
      <c r="AD1446" s="18"/>
      <c r="AE1446" s="18"/>
      <c r="AF1446" s="18"/>
      <c r="AG1446" s="16"/>
      <c r="AH1446" s="16"/>
      <c r="AI1446" s="18"/>
      <c r="AJ1446" s="18"/>
      <c r="AK1446" s="18"/>
      <c r="AL1446" s="18"/>
      <c r="AM1446" s="18"/>
      <c r="AN1446" s="18"/>
      <c r="AO1446" s="18"/>
      <c r="AP1446" s="18"/>
      <c r="AQ1446" s="18"/>
      <c r="AR1446" s="18"/>
      <c r="AS1446" s="18"/>
      <c r="AT1446" s="216"/>
      <c r="AU1446" s="18"/>
      <c r="AV1446" s="18"/>
      <c r="AW1446" s="18"/>
      <c r="AX1446" s="18"/>
      <c r="AY1446" s="18"/>
      <c r="AZ1446" s="18"/>
      <c r="BA1446" s="18"/>
      <c r="BB1446" s="18"/>
      <c r="BC1446" s="18"/>
      <c r="BD1446" s="18"/>
      <c r="BE1446" s="18"/>
      <c r="BF1446" s="15"/>
      <c r="BG1446" s="15"/>
    </row>
    <row r="1447" spans="1:59" ht="15.75" customHeight="1">
      <c r="A1447" s="216"/>
      <c r="B1447" s="12"/>
      <c r="C1447" s="12"/>
      <c r="D1447" s="13"/>
      <c r="E1447" s="12"/>
      <c r="F1447" s="13"/>
      <c r="G1447" s="13"/>
      <c r="H1447" s="12"/>
      <c r="I1447" s="18"/>
      <c r="J1447" s="16"/>
      <c r="K1447" s="16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  <c r="AC1447" s="18"/>
      <c r="AD1447" s="18"/>
      <c r="AE1447" s="18"/>
      <c r="AF1447" s="18"/>
      <c r="AG1447" s="16"/>
      <c r="AH1447" s="16"/>
      <c r="AI1447" s="18"/>
      <c r="AJ1447" s="18"/>
      <c r="AK1447" s="18"/>
      <c r="AL1447" s="18"/>
      <c r="AM1447" s="18"/>
      <c r="AN1447" s="18"/>
      <c r="AO1447" s="18"/>
      <c r="AP1447" s="18"/>
      <c r="AQ1447" s="18"/>
      <c r="AR1447" s="18"/>
      <c r="AS1447" s="18"/>
      <c r="AT1447" s="216"/>
      <c r="AU1447" s="18"/>
      <c r="AV1447" s="18"/>
      <c r="AW1447" s="18"/>
      <c r="AX1447" s="18"/>
      <c r="AY1447" s="18"/>
      <c r="AZ1447" s="18"/>
      <c r="BA1447" s="18"/>
      <c r="BB1447" s="18"/>
      <c r="BC1447" s="18"/>
      <c r="BD1447" s="18"/>
      <c r="BE1447" s="18"/>
      <c r="BF1447" s="15"/>
      <c r="BG1447" s="15"/>
    </row>
    <row r="1448" spans="1:59" ht="15.75" customHeight="1">
      <c r="A1448" s="216"/>
      <c r="B1448" s="12"/>
      <c r="C1448" s="12"/>
      <c r="D1448" s="13"/>
      <c r="E1448" s="12"/>
      <c r="F1448" s="13"/>
      <c r="G1448" s="13"/>
      <c r="H1448" s="12"/>
      <c r="I1448" s="18"/>
      <c r="J1448" s="16"/>
      <c r="K1448" s="16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  <c r="AB1448" s="18"/>
      <c r="AC1448" s="18"/>
      <c r="AD1448" s="18"/>
      <c r="AE1448" s="18"/>
      <c r="AF1448" s="18"/>
      <c r="AG1448" s="16"/>
      <c r="AH1448" s="16"/>
      <c r="AI1448" s="18"/>
      <c r="AJ1448" s="18"/>
      <c r="AK1448" s="18"/>
      <c r="AL1448" s="18"/>
      <c r="AM1448" s="18"/>
      <c r="AN1448" s="18"/>
      <c r="AO1448" s="18"/>
      <c r="AP1448" s="18"/>
      <c r="AQ1448" s="18"/>
      <c r="AR1448" s="18"/>
      <c r="AS1448" s="18"/>
      <c r="AT1448" s="216"/>
      <c r="AU1448" s="18"/>
      <c r="AV1448" s="18"/>
      <c r="AW1448" s="18"/>
      <c r="AX1448" s="18"/>
      <c r="AY1448" s="18"/>
      <c r="AZ1448" s="18"/>
      <c r="BA1448" s="18"/>
      <c r="BB1448" s="18"/>
      <c r="BC1448" s="18"/>
      <c r="BD1448" s="18"/>
      <c r="BE1448" s="18"/>
      <c r="BF1448" s="15"/>
      <c r="BG1448" s="15"/>
    </row>
    <row r="1449" spans="1:59" ht="15.75" customHeight="1">
      <c r="A1449" s="216"/>
      <c r="B1449" s="12"/>
      <c r="C1449" s="12"/>
      <c r="D1449" s="13"/>
      <c r="E1449" s="12"/>
      <c r="F1449" s="13"/>
      <c r="G1449" s="13"/>
      <c r="H1449" s="12"/>
      <c r="I1449" s="18"/>
      <c r="J1449" s="16"/>
      <c r="K1449" s="16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  <c r="AB1449" s="18"/>
      <c r="AC1449" s="18"/>
      <c r="AD1449" s="18"/>
      <c r="AE1449" s="18"/>
      <c r="AF1449" s="18"/>
      <c r="AG1449" s="16"/>
      <c r="AH1449" s="16"/>
      <c r="AI1449" s="18"/>
      <c r="AJ1449" s="18"/>
      <c r="AK1449" s="18"/>
      <c r="AL1449" s="18"/>
      <c r="AM1449" s="18"/>
      <c r="AN1449" s="18"/>
      <c r="AO1449" s="18"/>
      <c r="AP1449" s="18"/>
      <c r="AQ1449" s="18"/>
      <c r="AR1449" s="18"/>
      <c r="AS1449" s="18"/>
      <c r="AT1449" s="216"/>
      <c r="AU1449" s="18"/>
      <c r="AV1449" s="18"/>
      <c r="AW1449" s="18"/>
      <c r="AX1449" s="18"/>
      <c r="AY1449" s="18"/>
      <c r="AZ1449" s="18"/>
      <c r="BA1449" s="18"/>
      <c r="BB1449" s="18"/>
      <c r="BC1449" s="18"/>
      <c r="BD1449" s="18"/>
      <c r="BE1449" s="18"/>
      <c r="BF1449" s="15"/>
      <c r="BG1449" s="15"/>
    </row>
    <row r="1450" spans="1:59" ht="15.75" customHeight="1">
      <c r="A1450" s="216"/>
      <c r="B1450" s="12"/>
      <c r="C1450" s="12"/>
      <c r="D1450" s="13"/>
      <c r="E1450" s="12"/>
      <c r="F1450" s="13"/>
      <c r="G1450" s="13"/>
      <c r="H1450" s="12"/>
      <c r="I1450" s="18"/>
      <c r="J1450" s="16"/>
      <c r="K1450" s="16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  <c r="AB1450" s="18"/>
      <c r="AC1450" s="18"/>
      <c r="AD1450" s="18"/>
      <c r="AE1450" s="18"/>
      <c r="AF1450" s="18"/>
      <c r="AG1450" s="16"/>
      <c r="AH1450" s="16"/>
      <c r="AI1450" s="18"/>
      <c r="AJ1450" s="18"/>
      <c r="AK1450" s="18"/>
      <c r="AL1450" s="18"/>
      <c r="AM1450" s="18"/>
      <c r="AN1450" s="18"/>
      <c r="AO1450" s="18"/>
      <c r="AP1450" s="18"/>
      <c r="AQ1450" s="18"/>
      <c r="AR1450" s="18"/>
      <c r="AS1450" s="18"/>
      <c r="AT1450" s="216"/>
      <c r="AU1450" s="18"/>
      <c r="AV1450" s="18"/>
      <c r="AW1450" s="18"/>
      <c r="AX1450" s="18"/>
      <c r="AY1450" s="18"/>
      <c r="AZ1450" s="18"/>
      <c r="BA1450" s="18"/>
      <c r="BB1450" s="18"/>
      <c r="BC1450" s="18"/>
      <c r="BD1450" s="18"/>
      <c r="BE1450" s="18"/>
      <c r="BF1450" s="15"/>
      <c r="BG1450" s="15"/>
    </row>
    <row r="1451" spans="1:59" ht="15.75" customHeight="1">
      <c r="A1451" s="216"/>
      <c r="B1451" s="12"/>
      <c r="C1451" s="12"/>
      <c r="D1451" s="13"/>
      <c r="E1451" s="12"/>
      <c r="F1451" s="13"/>
      <c r="G1451" s="13"/>
      <c r="H1451" s="12"/>
      <c r="I1451" s="18"/>
      <c r="J1451" s="16"/>
      <c r="K1451" s="16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  <c r="AC1451" s="18"/>
      <c r="AD1451" s="18"/>
      <c r="AE1451" s="18"/>
      <c r="AF1451" s="18"/>
      <c r="AG1451" s="16"/>
      <c r="AH1451" s="16"/>
      <c r="AI1451" s="18"/>
      <c r="AJ1451" s="18"/>
      <c r="AK1451" s="18"/>
      <c r="AL1451" s="18"/>
      <c r="AM1451" s="18"/>
      <c r="AN1451" s="18"/>
      <c r="AO1451" s="18"/>
      <c r="AP1451" s="18"/>
      <c r="AQ1451" s="18"/>
      <c r="AR1451" s="18"/>
      <c r="AS1451" s="18"/>
      <c r="AT1451" s="216"/>
      <c r="AU1451" s="18"/>
      <c r="AV1451" s="18"/>
      <c r="AW1451" s="18"/>
      <c r="AX1451" s="18"/>
      <c r="AY1451" s="18"/>
      <c r="AZ1451" s="18"/>
      <c r="BA1451" s="18"/>
      <c r="BB1451" s="18"/>
      <c r="BC1451" s="18"/>
      <c r="BD1451" s="18"/>
      <c r="BE1451" s="18"/>
      <c r="BF1451" s="15"/>
      <c r="BG1451" s="15"/>
    </row>
    <row r="1452" spans="1:59" ht="15.75" customHeight="1">
      <c r="A1452" s="216"/>
      <c r="B1452" s="12"/>
      <c r="C1452" s="12"/>
      <c r="D1452" s="13"/>
      <c r="E1452" s="12"/>
      <c r="F1452" s="13"/>
      <c r="G1452" s="13"/>
      <c r="H1452" s="12"/>
      <c r="I1452" s="18"/>
      <c r="J1452" s="16"/>
      <c r="K1452" s="16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  <c r="AB1452" s="18"/>
      <c r="AC1452" s="18"/>
      <c r="AD1452" s="18"/>
      <c r="AE1452" s="18"/>
      <c r="AF1452" s="18"/>
      <c r="AG1452" s="16"/>
      <c r="AH1452" s="16"/>
      <c r="AI1452" s="18"/>
      <c r="AJ1452" s="18"/>
      <c r="AK1452" s="18"/>
      <c r="AL1452" s="18"/>
      <c r="AM1452" s="18"/>
      <c r="AN1452" s="18"/>
      <c r="AO1452" s="18"/>
      <c r="AP1452" s="18"/>
      <c r="AQ1452" s="18"/>
      <c r="AR1452" s="18"/>
      <c r="AS1452" s="18"/>
      <c r="AT1452" s="216"/>
      <c r="AU1452" s="18"/>
      <c r="AV1452" s="18"/>
      <c r="AW1452" s="18"/>
      <c r="AX1452" s="18"/>
      <c r="AY1452" s="18"/>
      <c r="AZ1452" s="18"/>
      <c r="BA1452" s="18"/>
      <c r="BB1452" s="18"/>
      <c r="BC1452" s="18"/>
      <c r="BD1452" s="18"/>
      <c r="BE1452" s="18"/>
      <c r="BF1452" s="15"/>
      <c r="BG1452" s="15"/>
    </row>
    <row r="1453" spans="1:59" ht="15.75" customHeight="1">
      <c r="A1453" s="216"/>
      <c r="B1453" s="12"/>
      <c r="C1453" s="12"/>
      <c r="D1453" s="13"/>
      <c r="E1453" s="12"/>
      <c r="F1453" s="13"/>
      <c r="G1453" s="13"/>
      <c r="H1453" s="12"/>
      <c r="I1453" s="18"/>
      <c r="J1453" s="16"/>
      <c r="K1453" s="16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  <c r="AB1453" s="18"/>
      <c r="AC1453" s="18"/>
      <c r="AD1453" s="18"/>
      <c r="AE1453" s="18"/>
      <c r="AF1453" s="18"/>
      <c r="AG1453" s="16"/>
      <c r="AH1453" s="16"/>
      <c r="AI1453" s="18"/>
      <c r="AJ1453" s="18"/>
      <c r="AK1453" s="18"/>
      <c r="AL1453" s="18"/>
      <c r="AM1453" s="18"/>
      <c r="AN1453" s="18"/>
      <c r="AO1453" s="18"/>
      <c r="AP1453" s="18"/>
      <c r="AQ1453" s="18"/>
      <c r="AR1453" s="18"/>
      <c r="AS1453" s="18"/>
      <c r="AT1453" s="216"/>
      <c r="AU1453" s="18"/>
      <c r="AV1453" s="18"/>
      <c r="AW1453" s="18"/>
      <c r="AX1453" s="18"/>
      <c r="AY1453" s="18"/>
      <c r="AZ1453" s="18"/>
      <c r="BA1453" s="18"/>
      <c r="BB1453" s="18"/>
      <c r="BC1453" s="18"/>
      <c r="BD1453" s="18"/>
      <c r="BE1453" s="18"/>
      <c r="BF1453" s="15"/>
      <c r="BG1453" s="15"/>
    </row>
    <row r="1454" spans="1:59" ht="15.75" customHeight="1">
      <c r="A1454" s="216"/>
      <c r="B1454" s="12"/>
      <c r="C1454" s="12"/>
      <c r="D1454" s="13"/>
      <c r="E1454" s="12"/>
      <c r="F1454" s="13"/>
      <c r="G1454" s="13"/>
      <c r="H1454" s="12"/>
      <c r="I1454" s="18"/>
      <c r="J1454" s="16"/>
      <c r="K1454" s="16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  <c r="AA1454" s="18"/>
      <c r="AB1454" s="18"/>
      <c r="AC1454" s="18"/>
      <c r="AD1454" s="18"/>
      <c r="AE1454" s="18"/>
      <c r="AF1454" s="18"/>
      <c r="AG1454" s="16"/>
      <c r="AH1454" s="16"/>
      <c r="AI1454" s="18"/>
      <c r="AJ1454" s="18"/>
      <c r="AK1454" s="18"/>
      <c r="AL1454" s="18"/>
      <c r="AM1454" s="18"/>
      <c r="AN1454" s="18"/>
      <c r="AO1454" s="18"/>
      <c r="AP1454" s="18"/>
      <c r="AQ1454" s="18"/>
      <c r="AR1454" s="18"/>
      <c r="AS1454" s="18"/>
      <c r="AT1454" s="216"/>
      <c r="AU1454" s="18"/>
      <c r="AV1454" s="18"/>
      <c r="AW1454" s="18"/>
      <c r="AX1454" s="18"/>
      <c r="AY1454" s="18"/>
      <c r="AZ1454" s="18"/>
      <c r="BA1454" s="18"/>
      <c r="BB1454" s="18"/>
      <c r="BC1454" s="18"/>
      <c r="BD1454" s="18"/>
      <c r="BE1454" s="18"/>
      <c r="BF1454" s="15"/>
      <c r="BG1454" s="15"/>
    </row>
    <row r="1455" spans="1:59" ht="15.75" customHeight="1">
      <c r="A1455" s="216"/>
      <c r="B1455" s="12"/>
      <c r="C1455" s="12"/>
      <c r="D1455" s="13"/>
      <c r="E1455" s="12"/>
      <c r="F1455" s="13"/>
      <c r="G1455" s="13"/>
      <c r="H1455" s="12"/>
      <c r="I1455" s="18"/>
      <c r="J1455" s="16"/>
      <c r="K1455" s="16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  <c r="AB1455" s="18"/>
      <c r="AC1455" s="18"/>
      <c r="AD1455" s="18"/>
      <c r="AE1455" s="18"/>
      <c r="AF1455" s="18"/>
      <c r="AG1455" s="16"/>
      <c r="AH1455" s="16"/>
      <c r="AI1455" s="18"/>
      <c r="AJ1455" s="18"/>
      <c r="AK1455" s="18"/>
      <c r="AL1455" s="18"/>
      <c r="AM1455" s="18"/>
      <c r="AN1455" s="18"/>
      <c r="AO1455" s="18"/>
      <c r="AP1455" s="18"/>
      <c r="AQ1455" s="18"/>
      <c r="AR1455" s="18"/>
      <c r="AS1455" s="18"/>
      <c r="AT1455" s="216"/>
      <c r="AU1455" s="18"/>
      <c r="AV1455" s="18"/>
      <c r="AW1455" s="18"/>
      <c r="AX1455" s="18"/>
      <c r="AY1455" s="18"/>
      <c r="AZ1455" s="18"/>
      <c r="BA1455" s="18"/>
      <c r="BB1455" s="18"/>
      <c r="BC1455" s="18"/>
      <c r="BD1455" s="18"/>
      <c r="BE1455" s="18"/>
      <c r="BF1455" s="15"/>
      <c r="BG1455" s="15"/>
    </row>
    <row r="1456" spans="1:59" ht="15.75" customHeight="1">
      <c r="A1456" s="216"/>
      <c r="B1456" s="12"/>
      <c r="C1456" s="12"/>
      <c r="D1456" s="13"/>
      <c r="E1456" s="12"/>
      <c r="F1456" s="13"/>
      <c r="G1456" s="13"/>
      <c r="H1456" s="12"/>
      <c r="I1456" s="18"/>
      <c r="J1456" s="16"/>
      <c r="K1456" s="16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  <c r="AB1456" s="18"/>
      <c r="AC1456" s="18"/>
      <c r="AD1456" s="18"/>
      <c r="AE1456" s="18"/>
      <c r="AF1456" s="18"/>
      <c r="AG1456" s="16"/>
      <c r="AH1456" s="16"/>
      <c r="AI1456" s="18"/>
      <c r="AJ1456" s="18"/>
      <c r="AK1456" s="18"/>
      <c r="AL1456" s="18"/>
      <c r="AM1456" s="18"/>
      <c r="AN1456" s="18"/>
      <c r="AO1456" s="18"/>
      <c r="AP1456" s="18"/>
      <c r="AQ1456" s="18"/>
      <c r="AR1456" s="18"/>
      <c r="AS1456" s="18"/>
      <c r="AT1456" s="216"/>
      <c r="AU1456" s="18"/>
      <c r="AV1456" s="18"/>
      <c r="AW1456" s="18"/>
      <c r="AX1456" s="18"/>
      <c r="AY1456" s="18"/>
      <c r="AZ1456" s="18"/>
      <c r="BA1456" s="18"/>
      <c r="BB1456" s="18"/>
      <c r="BC1456" s="18"/>
      <c r="BD1456" s="18"/>
      <c r="BE1456" s="18"/>
      <c r="BF1456" s="15"/>
      <c r="BG1456" s="15"/>
    </row>
    <row r="1457" spans="1:59" ht="15.75" customHeight="1">
      <c r="A1457" s="216"/>
      <c r="B1457" s="12"/>
      <c r="C1457" s="12"/>
      <c r="D1457" s="13"/>
      <c r="E1457" s="12"/>
      <c r="F1457" s="13"/>
      <c r="G1457" s="13"/>
      <c r="H1457" s="12"/>
      <c r="I1457" s="18"/>
      <c r="J1457" s="16"/>
      <c r="K1457" s="16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  <c r="AA1457" s="18"/>
      <c r="AB1457" s="18"/>
      <c r="AC1457" s="18"/>
      <c r="AD1457" s="18"/>
      <c r="AE1457" s="18"/>
      <c r="AF1457" s="18"/>
      <c r="AG1457" s="16"/>
      <c r="AH1457" s="16"/>
      <c r="AI1457" s="18"/>
      <c r="AJ1457" s="18"/>
      <c r="AK1457" s="18"/>
      <c r="AL1457" s="18"/>
      <c r="AM1457" s="18"/>
      <c r="AN1457" s="18"/>
      <c r="AO1457" s="18"/>
      <c r="AP1457" s="18"/>
      <c r="AQ1457" s="18"/>
      <c r="AR1457" s="18"/>
      <c r="AS1457" s="18"/>
      <c r="AT1457" s="216"/>
      <c r="AU1457" s="18"/>
      <c r="AV1457" s="18"/>
      <c r="AW1457" s="18"/>
      <c r="AX1457" s="18"/>
      <c r="AY1457" s="18"/>
      <c r="AZ1457" s="18"/>
      <c r="BA1457" s="18"/>
      <c r="BB1457" s="18"/>
      <c r="BC1457" s="18"/>
      <c r="BD1457" s="18"/>
      <c r="BE1457" s="18"/>
      <c r="BF1457" s="15"/>
      <c r="BG1457" s="15"/>
    </row>
    <row r="1458" spans="1:59" ht="15.75" customHeight="1">
      <c r="A1458" s="216"/>
      <c r="B1458" s="12"/>
      <c r="C1458" s="12"/>
      <c r="D1458" s="13"/>
      <c r="E1458" s="12"/>
      <c r="F1458" s="13"/>
      <c r="G1458" s="13"/>
      <c r="H1458" s="12"/>
      <c r="I1458" s="18"/>
      <c r="J1458" s="16"/>
      <c r="K1458" s="16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  <c r="AC1458" s="18"/>
      <c r="AD1458" s="18"/>
      <c r="AE1458" s="18"/>
      <c r="AF1458" s="18"/>
      <c r="AG1458" s="16"/>
      <c r="AH1458" s="16"/>
      <c r="AI1458" s="18"/>
      <c r="AJ1458" s="18"/>
      <c r="AK1458" s="18"/>
      <c r="AL1458" s="18"/>
      <c r="AM1458" s="18"/>
      <c r="AN1458" s="18"/>
      <c r="AO1458" s="18"/>
      <c r="AP1458" s="18"/>
      <c r="AQ1458" s="18"/>
      <c r="AR1458" s="18"/>
      <c r="AS1458" s="18"/>
      <c r="AT1458" s="216"/>
      <c r="AU1458" s="18"/>
      <c r="AV1458" s="18"/>
      <c r="AW1458" s="18"/>
      <c r="AX1458" s="18"/>
      <c r="AY1458" s="18"/>
      <c r="AZ1458" s="18"/>
      <c r="BA1458" s="18"/>
      <c r="BB1458" s="18"/>
      <c r="BC1458" s="18"/>
      <c r="BD1458" s="18"/>
      <c r="BE1458" s="18"/>
      <c r="BF1458" s="15"/>
      <c r="BG1458" s="15"/>
    </row>
    <row r="1459" spans="1:59" ht="15.75" customHeight="1">
      <c r="A1459" s="216"/>
      <c r="B1459" s="12"/>
      <c r="C1459" s="12"/>
      <c r="D1459" s="13"/>
      <c r="E1459" s="12"/>
      <c r="F1459" s="13"/>
      <c r="G1459" s="13"/>
      <c r="H1459" s="12"/>
      <c r="I1459" s="18"/>
      <c r="J1459" s="16"/>
      <c r="K1459" s="16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  <c r="AA1459" s="18"/>
      <c r="AB1459" s="18"/>
      <c r="AC1459" s="18"/>
      <c r="AD1459" s="18"/>
      <c r="AE1459" s="18"/>
      <c r="AF1459" s="18"/>
      <c r="AG1459" s="16"/>
      <c r="AH1459" s="16"/>
      <c r="AI1459" s="18"/>
      <c r="AJ1459" s="18"/>
      <c r="AK1459" s="18"/>
      <c r="AL1459" s="18"/>
      <c r="AM1459" s="18"/>
      <c r="AN1459" s="18"/>
      <c r="AO1459" s="18"/>
      <c r="AP1459" s="18"/>
      <c r="AQ1459" s="18"/>
      <c r="AR1459" s="18"/>
      <c r="AS1459" s="18"/>
      <c r="AT1459" s="216"/>
      <c r="AU1459" s="18"/>
      <c r="AV1459" s="18"/>
      <c r="AW1459" s="18"/>
      <c r="AX1459" s="18"/>
      <c r="AY1459" s="18"/>
      <c r="AZ1459" s="18"/>
      <c r="BA1459" s="18"/>
      <c r="BB1459" s="18"/>
      <c r="BC1459" s="18"/>
      <c r="BD1459" s="18"/>
      <c r="BE1459" s="18"/>
      <c r="BF1459" s="15"/>
      <c r="BG1459" s="15"/>
    </row>
    <row r="1460" spans="1:59" ht="15.75" customHeight="1">
      <c r="A1460" s="216"/>
      <c r="B1460" s="12"/>
      <c r="C1460" s="12"/>
      <c r="D1460" s="13"/>
      <c r="E1460" s="12"/>
      <c r="F1460" s="13"/>
      <c r="G1460" s="13"/>
      <c r="H1460" s="12"/>
      <c r="I1460" s="18"/>
      <c r="J1460" s="16"/>
      <c r="K1460" s="16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18"/>
      <c r="AG1460" s="16"/>
      <c r="AH1460" s="16"/>
      <c r="AI1460" s="18"/>
      <c r="AJ1460" s="18"/>
      <c r="AK1460" s="18"/>
      <c r="AL1460" s="18"/>
      <c r="AM1460" s="18"/>
      <c r="AN1460" s="18"/>
      <c r="AO1460" s="18"/>
      <c r="AP1460" s="18"/>
      <c r="AQ1460" s="18"/>
      <c r="AR1460" s="18"/>
      <c r="AS1460" s="18"/>
      <c r="AT1460" s="216"/>
      <c r="AU1460" s="18"/>
      <c r="AV1460" s="18"/>
      <c r="AW1460" s="18"/>
      <c r="AX1460" s="18"/>
      <c r="AY1460" s="18"/>
      <c r="AZ1460" s="18"/>
      <c r="BA1460" s="18"/>
      <c r="BB1460" s="18"/>
      <c r="BC1460" s="18"/>
      <c r="BD1460" s="18"/>
      <c r="BE1460" s="18"/>
      <c r="BF1460" s="15"/>
      <c r="BG1460" s="15"/>
    </row>
    <row r="1461" spans="1:59" ht="15.75" customHeight="1">
      <c r="A1461" s="216"/>
      <c r="B1461" s="12"/>
      <c r="C1461" s="12"/>
      <c r="D1461" s="13"/>
      <c r="E1461" s="12"/>
      <c r="F1461" s="13"/>
      <c r="G1461" s="13"/>
      <c r="H1461" s="12"/>
      <c r="I1461" s="18"/>
      <c r="J1461" s="16"/>
      <c r="K1461" s="16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  <c r="AC1461" s="18"/>
      <c r="AD1461" s="18"/>
      <c r="AE1461" s="18"/>
      <c r="AF1461" s="18"/>
      <c r="AG1461" s="16"/>
      <c r="AH1461" s="16"/>
      <c r="AI1461" s="18"/>
      <c r="AJ1461" s="18"/>
      <c r="AK1461" s="18"/>
      <c r="AL1461" s="18"/>
      <c r="AM1461" s="18"/>
      <c r="AN1461" s="18"/>
      <c r="AO1461" s="18"/>
      <c r="AP1461" s="18"/>
      <c r="AQ1461" s="18"/>
      <c r="AR1461" s="18"/>
      <c r="AS1461" s="18"/>
      <c r="AT1461" s="216"/>
      <c r="AU1461" s="18"/>
      <c r="AV1461" s="18"/>
      <c r="AW1461" s="18"/>
      <c r="AX1461" s="18"/>
      <c r="AY1461" s="18"/>
      <c r="AZ1461" s="18"/>
      <c r="BA1461" s="18"/>
      <c r="BB1461" s="18"/>
      <c r="BC1461" s="18"/>
      <c r="BD1461" s="18"/>
      <c r="BE1461" s="18"/>
      <c r="BF1461" s="15"/>
      <c r="BG1461" s="15"/>
    </row>
    <row r="1462" spans="1:59" ht="15.75" customHeight="1">
      <c r="A1462" s="216"/>
      <c r="B1462" s="12"/>
      <c r="C1462" s="12"/>
      <c r="D1462" s="13"/>
      <c r="E1462" s="12"/>
      <c r="F1462" s="13"/>
      <c r="G1462" s="13"/>
      <c r="H1462" s="12"/>
      <c r="I1462" s="18"/>
      <c r="J1462" s="16"/>
      <c r="K1462" s="16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  <c r="AC1462" s="18"/>
      <c r="AD1462" s="18"/>
      <c r="AE1462" s="18"/>
      <c r="AF1462" s="18"/>
      <c r="AG1462" s="16"/>
      <c r="AH1462" s="16"/>
      <c r="AI1462" s="18"/>
      <c r="AJ1462" s="18"/>
      <c r="AK1462" s="18"/>
      <c r="AL1462" s="18"/>
      <c r="AM1462" s="18"/>
      <c r="AN1462" s="18"/>
      <c r="AO1462" s="18"/>
      <c r="AP1462" s="18"/>
      <c r="AQ1462" s="18"/>
      <c r="AR1462" s="18"/>
      <c r="AS1462" s="18"/>
      <c r="AT1462" s="216"/>
      <c r="AU1462" s="18"/>
      <c r="AV1462" s="18"/>
      <c r="AW1462" s="18"/>
      <c r="AX1462" s="18"/>
      <c r="AY1462" s="18"/>
      <c r="AZ1462" s="18"/>
      <c r="BA1462" s="18"/>
      <c r="BB1462" s="18"/>
      <c r="BC1462" s="18"/>
      <c r="BD1462" s="18"/>
      <c r="BE1462" s="18"/>
      <c r="BF1462" s="15"/>
      <c r="BG1462" s="15"/>
    </row>
    <row r="1463" spans="1:59" ht="15.75" customHeight="1">
      <c r="A1463" s="216"/>
      <c r="B1463" s="12"/>
      <c r="C1463" s="12"/>
      <c r="D1463" s="13"/>
      <c r="E1463" s="12"/>
      <c r="F1463" s="13"/>
      <c r="G1463" s="13"/>
      <c r="H1463" s="12"/>
      <c r="I1463" s="18"/>
      <c r="J1463" s="16"/>
      <c r="K1463" s="16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  <c r="AA1463" s="18"/>
      <c r="AB1463" s="18"/>
      <c r="AC1463" s="18"/>
      <c r="AD1463" s="18"/>
      <c r="AE1463" s="18"/>
      <c r="AF1463" s="18"/>
      <c r="AG1463" s="16"/>
      <c r="AH1463" s="16"/>
      <c r="AI1463" s="18"/>
      <c r="AJ1463" s="18"/>
      <c r="AK1463" s="18"/>
      <c r="AL1463" s="18"/>
      <c r="AM1463" s="18"/>
      <c r="AN1463" s="18"/>
      <c r="AO1463" s="18"/>
      <c r="AP1463" s="18"/>
      <c r="AQ1463" s="18"/>
      <c r="AR1463" s="18"/>
      <c r="AS1463" s="18"/>
      <c r="AT1463" s="216"/>
      <c r="AU1463" s="18"/>
      <c r="AV1463" s="18"/>
      <c r="AW1463" s="18"/>
      <c r="AX1463" s="18"/>
      <c r="AY1463" s="18"/>
      <c r="AZ1463" s="18"/>
      <c r="BA1463" s="18"/>
      <c r="BB1463" s="18"/>
      <c r="BC1463" s="18"/>
      <c r="BD1463" s="18"/>
      <c r="BE1463" s="18"/>
      <c r="BF1463" s="15"/>
      <c r="BG1463" s="15"/>
    </row>
    <row r="1464" spans="1:59" ht="15.75" customHeight="1">
      <c r="A1464" s="216"/>
      <c r="B1464" s="12"/>
      <c r="C1464" s="12"/>
      <c r="D1464" s="13"/>
      <c r="E1464" s="12"/>
      <c r="F1464" s="13"/>
      <c r="G1464" s="13"/>
      <c r="H1464" s="12"/>
      <c r="I1464" s="18"/>
      <c r="J1464" s="16"/>
      <c r="K1464" s="16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8"/>
      <c r="AD1464" s="18"/>
      <c r="AE1464" s="18"/>
      <c r="AF1464" s="18"/>
      <c r="AG1464" s="16"/>
      <c r="AH1464" s="16"/>
      <c r="AI1464" s="18"/>
      <c r="AJ1464" s="18"/>
      <c r="AK1464" s="18"/>
      <c r="AL1464" s="18"/>
      <c r="AM1464" s="18"/>
      <c r="AN1464" s="18"/>
      <c r="AO1464" s="18"/>
      <c r="AP1464" s="18"/>
      <c r="AQ1464" s="18"/>
      <c r="AR1464" s="18"/>
      <c r="AS1464" s="18"/>
      <c r="AT1464" s="216"/>
      <c r="AU1464" s="18"/>
      <c r="AV1464" s="18"/>
      <c r="AW1464" s="18"/>
      <c r="AX1464" s="18"/>
      <c r="AY1464" s="18"/>
      <c r="AZ1464" s="18"/>
      <c r="BA1464" s="18"/>
      <c r="BB1464" s="18"/>
      <c r="BC1464" s="18"/>
      <c r="BD1464" s="18"/>
      <c r="BE1464" s="18"/>
      <c r="BF1464" s="15"/>
      <c r="BG1464" s="15"/>
    </row>
    <row r="1465" spans="1:59" ht="15.75" customHeight="1">
      <c r="A1465" s="216"/>
      <c r="B1465" s="12"/>
      <c r="C1465" s="12"/>
      <c r="D1465" s="13"/>
      <c r="E1465" s="12"/>
      <c r="F1465" s="13"/>
      <c r="G1465" s="13"/>
      <c r="H1465" s="12"/>
      <c r="I1465" s="18"/>
      <c r="J1465" s="16"/>
      <c r="K1465" s="16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  <c r="AA1465" s="18"/>
      <c r="AB1465" s="18"/>
      <c r="AC1465" s="18"/>
      <c r="AD1465" s="18"/>
      <c r="AE1465" s="18"/>
      <c r="AF1465" s="18"/>
      <c r="AG1465" s="16"/>
      <c r="AH1465" s="16"/>
      <c r="AI1465" s="18"/>
      <c r="AJ1465" s="18"/>
      <c r="AK1465" s="18"/>
      <c r="AL1465" s="18"/>
      <c r="AM1465" s="18"/>
      <c r="AN1465" s="18"/>
      <c r="AO1465" s="18"/>
      <c r="AP1465" s="18"/>
      <c r="AQ1465" s="18"/>
      <c r="AR1465" s="18"/>
      <c r="AS1465" s="18"/>
      <c r="AT1465" s="216"/>
      <c r="AU1465" s="18"/>
      <c r="AV1465" s="18"/>
      <c r="AW1465" s="18"/>
      <c r="AX1465" s="18"/>
      <c r="AY1465" s="18"/>
      <c r="AZ1465" s="18"/>
      <c r="BA1465" s="18"/>
      <c r="BB1465" s="18"/>
      <c r="BC1465" s="18"/>
      <c r="BD1465" s="18"/>
      <c r="BE1465" s="18"/>
      <c r="BF1465" s="15"/>
      <c r="BG1465" s="15"/>
    </row>
  </sheetData>
  <mergeCells count="387">
    <mergeCell ref="C84:D84"/>
    <mergeCell ref="B87:B89"/>
    <mergeCell ref="C87:C89"/>
    <mergeCell ref="D87:D89"/>
    <mergeCell ref="E87:F87"/>
    <mergeCell ref="E88:E89"/>
    <mergeCell ref="F88:F89"/>
    <mergeCell ref="AV88:AV89"/>
    <mergeCell ref="AW88:AW89"/>
    <mergeCell ref="J88:K88"/>
    <mergeCell ref="L88:P88"/>
    <mergeCell ref="R88:T88"/>
    <mergeCell ref="U88:W88"/>
    <mergeCell ref="AL88:AL89"/>
    <mergeCell ref="I88:I89"/>
    <mergeCell ref="G87:G89"/>
    <mergeCell ref="H87:H89"/>
    <mergeCell ref="G132:G134"/>
    <mergeCell ref="H132:H134"/>
    <mergeCell ref="I133:I134"/>
    <mergeCell ref="AP132:AP134"/>
    <mergeCell ref="AT133:AT134"/>
    <mergeCell ref="AU133:AU134"/>
    <mergeCell ref="AQ132:AQ134"/>
    <mergeCell ref="AR132:AR134"/>
    <mergeCell ref="R133:T133"/>
    <mergeCell ref="U133:W133"/>
    <mergeCell ref="X133:X134"/>
    <mergeCell ref="Y133:Y134"/>
    <mergeCell ref="AP153:AP155"/>
    <mergeCell ref="AQ153:AQ155"/>
    <mergeCell ref="AR153:AR155"/>
    <mergeCell ref="AN336:AN338"/>
    <mergeCell ref="AL337:AL338"/>
    <mergeCell ref="AM337:AM338"/>
    <mergeCell ref="AO141:AO143"/>
    <mergeCell ref="AP141:AP143"/>
    <mergeCell ref="AF154:AG154"/>
    <mergeCell ref="AI154:AK154"/>
    <mergeCell ref="AH154:AH155"/>
    <mergeCell ref="AN153:AN155"/>
    <mergeCell ref="AO153:AO155"/>
    <mergeCell ref="AN141:AN143"/>
    <mergeCell ref="AQ141:AQ143"/>
    <mergeCell ref="AR141:AR143"/>
    <mergeCell ref="Z142:AE142"/>
    <mergeCell ref="AF142:AG142"/>
    <mergeCell ref="AH142:AH143"/>
    <mergeCell ref="AI142:AK142"/>
    <mergeCell ref="AL142:AL143"/>
    <mergeCell ref="Z141:AM141"/>
    <mergeCell ref="AM142:AM143"/>
    <mergeCell ref="C138:D138"/>
    <mergeCell ref="E141:F141"/>
    <mergeCell ref="B141:B143"/>
    <mergeCell ref="Z88:AE88"/>
    <mergeCell ref="AF88:AG88"/>
    <mergeCell ref="I87:Y87"/>
    <mergeCell ref="Z87:AM87"/>
    <mergeCell ref="X88:X89"/>
    <mergeCell ref="Y88:Y89"/>
    <mergeCell ref="I132:Y132"/>
    <mergeCell ref="Z132:AM132"/>
    <mergeCell ref="AM133:AM134"/>
    <mergeCell ref="C132:C134"/>
    <mergeCell ref="B132:B134"/>
    <mergeCell ref="J133:K133"/>
    <mergeCell ref="L133:P133"/>
    <mergeCell ref="E133:E134"/>
    <mergeCell ref="F133:F134"/>
    <mergeCell ref="C128:D128"/>
    <mergeCell ref="D132:D134"/>
    <mergeCell ref="E132:F132"/>
    <mergeCell ref="AH88:AH89"/>
    <mergeCell ref="AI88:AK88"/>
    <mergeCell ref="AM88:AM89"/>
    <mergeCell ref="U142:W142"/>
    <mergeCell ref="X142:X143"/>
    <mergeCell ref="Y142:Y143"/>
    <mergeCell ref="I141:Y141"/>
    <mergeCell ref="C141:C143"/>
    <mergeCell ref="D141:D143"/>
    <mergeCell ref="C147:D147"/>
    <mergeCell ref="C151:D151"/>
    <mergeCell ref="B153:B155"/>
    <mergeCell ref="C153:C155"/>
    <mergeCell ref="G141:G143"/>
    <mergeCell ref="H141:H143"/>
    <mergeCell ref="E142:E143"/>
    <mergeCell ref="F142:F143"/>
    <mergeCell ref="AR87:AR89"/>
    <mergeCell ref="AT87:BE87"/>
    <mergeCell ref="AT88:AT89"/>
    <mergeCell ref="AU88:AU89"/>
    <mergeCell ref="AX133:AX134"/>
    <mergeCell ref="AY133:AY134"/>
    <mergeCell ref="Z133:AE133"/>
    <mergeCell ref="AF133:AG133"/>
    <mergeCell ref="AH133:AH134"/>
    <mergeCell ref="AI133:AK133"/>
    <mergeCell ref="AL133:AL134"/>
    <mergeCell ref="AN132:AN134"/>
    <mergeCell ref="AO132:AO134"/>
    <mergeCell ref="AN87:AN89"/>
    <mergeCell ref="AO87:AO89"/>
    <mergeCell ref="AP87:AP89"/>
    <mergeCell ref="AV133:AV134"/>
    <mergeCell ref="AW133:AW134"/>
    <mergeCell ref="B3:B5"/>
    <mergeCell ref="C3:C5"/>
    <mergeCell ref="D3:D5"/>
    <mergeCell ref="E3:F3"/>
    <mergeCell ref="I3:Y3"/>
    <mergeCell ref="AI4:AK4"/>
    <mergeCell ref="AN3:AN5"/>
    <mergeCell ref="AO3:AO5"/>
    <mergeCell ref="AP3:AP5"/>
    <mergeCell ref="G3:G5"/>
    <mergeCell ref="H3:H5"/>
    <mergeCell ref="Z3:AM3"/>
    <mergeCell ref="AT3:BE3"/>
    <mergeCell ref="L4:P4"/>
    <mergeCell ref="R4:T4"/>
    <mergeCell ref="U4:W4"/>
    <mergeCell ref="X4:X5"/>
    <mergeCell ref="E4:E5"/>
    <mergeCell ref="F4:F5"/>
    <mergeCell ref="I4:I5"/>
    <mergeCell ref="J4:K4"/>
    <mergeCell ref="AQ3:AQ5"/>
    <mergeCell ref="AR3:AR5"/>
    <mergeCell ref="AY4:AY5"/>
    <mergeCell ref="AZ4:BB4"/>
    <mergeCell ref="BC4:BC5"/>
    <mergeCell ref="BD4:BD5"/>
    <mergeCell ref="BE4:BE5"/>
    <mergeCell ref="AZ88:BB88"/>
    <mergeCell ref="AT132:BE132"/>
    <mergeCell ref="AT141:BE141"/>
    <mergeCell ref="AZ142:BB142"/>
    <mergeCell ref="BC142:BC143"/>
    <mergeCell ref="BD142:BD143"/>
    <mergeCell ref="BE142:BE143"/>
    <mergeCell ref="AH4:AH5"/>
    <mergeCell ref="Y4:Y5"/>
    <mergeCell ref="Z4:AE4"/>
    <mergeCell ref="AF4:AG4"/>
    <mergeCell ref="AL4:AL5"/>
    <mergeCell ref="AM4:AM5"/>
    <mergeCell ref="AT4:AT5"/>
    <mergeCell ref="AU4:AU5"/>
    <mergeCell ref="AV4:AV5"/>
    <mergeCell ref="AW4:AW5"/>
    <mergeCell ref="AX4:AX5"/>
    <mergeCell ref="AX88:AX89"/>
    <mergeCell ref="AY88:AY89"/>
    <mergeCell ref="BE88:BE89"/>
    <mergeCell ref="BC88:BC89"/>
    <mergeCell ref="BD88:BD89"/>
    <mergeCell ref="AQ87:AQ89"/>
    <mergeCell ref="H282:H284"/>
    <mergeCell ref="R485:T485"/>
    <mergeCell ref="U485:W485"/>
    <mergeCell ref="AZ133:BB133"/>
    <mergeCell ref="BC133:BC134"/>
    <mergeCell ref="BD133:BD134"/>
    <mergeCell ref="BE133:BE134"/>
    <mergeCell ref="AT142:AT143"/>
    <mergeCell ref="AU142:AU143"/>
    <mergeCell ref="AV142:AV143"/>
    <mergeCell ref="AW142:AW143"/>
    <mergeCell ref="AX142:AX143"/>
    <mergeCell ref="AY142:AY143"/>
    <mergeCell ref="L142:P142"/>
    <mergeCell ref="I153:Z153"/>
    <mergeCell ref="I154:I155"/>
    <mergeCell ref="J154:K154"/>
    <mergeCell ref="L154:P154"/>
    <mergeCell ref="U154:W154"/>
    <mergeCell ref="Z154:AE154"/>
    <mergeCell ref="H153:H155"/>
    <mergeCell ref="I142:I143"/>
    <mergeCell ref="J142:K142"/>
    <mergeCell ref="R142:T142"/>
    <mergeCell ref="AO336:AO338"/>
    <mergeCell ref="AP336:AP338"/>
    <mergeCell ref="AQ336:AQ338"/>
    <mergeCell ref="AR336:AR338"/>
    <mergeCell ref="AO474:AO476"/>
    <mergeCell ref="AP474:AP476"/>
    <mergeCell ref="AQ474:AQ476"/>
    <mergeCell ref="AR474:AR476"/>
    <mergeCell ref="I275:I276"/>
    <mergeCell ref="J275:K275"/>
    <mergeCell ref="L275:P275"/>
    <mergeCell ref="R275:T275"/>
    <mergeCell ref="U275:W275"/>
    <mergeCell ref="I283:I284"/>
    <mergeCell ref="J283:K283"/>
    <mergeCell ref="L283:P283"/>
    <mergeCell ref="R283:T283"/>
    <mergeCell ref="U283:W283"/>
    <mergeCell ref="X283:X284"/>
    <mergeCell ref="Y283:Y284"/>
    <mergeCell ref="H336:H338"/>
    <mergeCell ref="C474:C476"/>
    <mergeCell ref="G474:G476"/>
    <mergeCell ref="H474:H476"/>
    <mergeCell ref="G484:G486"/>
    <mergeCell ref="H484:H486"/>
    <mergeCell ref="F485:F486"/>
    <mergeCell ref="C481:D481"/>
    <mergeCell ref="E484:F484"/>
    <mergeCell ref="AN484:AN486"/>
    <mergeCell ref="AO484:AO486"/>
    <mergeCell ref="Z484:AM484"/>
    <mergeCell ref="AX485:AX486"/>
    <mergeCell ref="AY485:AY486"/>
    <mergeCell ref="AZ485:BB485"/>
    <mergeCell ref="BC485:BC486"/>
    <mergeCell ref="BE485:BE486"/>
    <mergeCell ref="BD485:BD486"/>
    <mergeCell ref="AT484:BE484"/>
    <mergeCell ref="AT485:AT486"/>
    <mergeCell ref="AU485:AU486"/>
    <mergeCell ref="AV485:AV486"/>
    <mergeCell ref="AW485:AW486"/>
    <mergeCell ref="AL485:AL486"/>
    <mergeCell ref="AM485:AM486"/>
    <mergeCell ref="AP484:AP486"/>
    <mergeCell ref="AQ484:AQ486"/>
    <mergeCell ref="AR484:AR486"/>
    <mergeCell ref="Z485:AE485"/>
    <mergeCell ref="AF485:AG485"/>
    <mergeCell ref="AH485:AH486"/>
    <mergeCell ref="AI485:AK485"/>
    <mergeCell ref="E485:E486"/>
    <mergeCell ref="B484:B486"/>
    <mergeCell ref="C484:C486"/>
    <mergeCell ref="D484:D486"/>
    <mergeCell ref="C490:D490"/>
    <mergeCell ref="J485:K485"/>
    <mergeCell ref="L485:P485"/>
    <mergeCell ref="X485:X486"/>
    <mergeCell ref="Y485:Y486"/>
    <mergeCell ref="I484:Y484"/>
    <mergeCell ref="I485:I486"/>
    <mergeCell ref="E474:F474"/>
    <mergeCell ref="E475:E476"/>
    <mergeCell ref="F475:F476"/>
    <mergeCell ref="AH475:AH476"/>
    <mergeCell ref="AL475:AL476"/>
    <mergeCell ref="AM475:AM476"/>
    <mergeCell ref="AN474:AN476"/>
    <mergeCell ref="AQ282:AQ284"/>
    <mergeCell ref="AR282:AR284"/>
    <mergeCell ref="AL283:AL284"/>
    <mergeCell ref="AH283:AH284"/>
    <mergeCell ref="AI283:AK283"/>
    <mergeCell ref="I282:Y282"/>
    <mergeCell ref="AM283:AM284"/>
    <mergeCell ref="Z282:AM282"/>
    <mergeCell ref="AN282:AN284"/>
    <mergeCell ref="AO282:AO284"/>
    <mergeCell ref="AP282:AP284"/>
    <mergeCell ref="Z283:AE283"/>
    <mergeCell ref="Z475:AE475"/>
    <mergeCell ref="R475:T475"/>
    <mergeCell ref="AF475:AG475"/>
    <mergeCell ref="I475:I476"/>
    <mergeCell ref="J475:K475"/>
    <mergeCell ref="AI475:AK475"/>
    <mergeCell ref="Z474:AM474"/>
    <mergeCell ref="AT474:BE474"/>
    <mergeCell ref="BE475:BE476"/>
    <mergeCell ref="I474:Y474"/>
    <mergeCell ref="U475:W475"/>
    <mergeCell ref="L475:P475"/>
    <mergeCell ref="X475:X476"/>
    <mergeCell ref="Y475:Y476"/>
    <mergeCell ref="AV475:AV476"/>
    <mergeCell ref="AY475:AY476"/>
    <mergeCell ref="AW475:AW476"/>
    <mergeCell ref="AX475:AX476"/>
    <mergeCell ref="BC475:BC476"/>
    <mergeCell ref="BD475:BD476"/>
    <mergeCell ref="AT475:AT476"/>
    <mergeCell ref="AU475:AU476"/>
    <mergeCell ref="AZ475:BB475"/>
    <mergeCell ref="U337:W337"/>
    <mergeCell ref="Z337:AE337"/>
    <mergeCell ref="I336:Y336"/>
    <mergeCell ref="J337:K337"/>
    <mergeCell ref="L337:P337"/>
    <mergeCell ref="R337:T337"/>
    <mergeCell ref="X337:X338"/>
    <mergeCell ref="Y337:Y338"/>
    <mergeCell ref="Z336:AM336"/>
    <mergeCell ref="AH337:AH338"/>
    <mergeCell ref="I337:I338"/>
    <mergeCell ref="AF337:AG337"/>
    <mergeCell ref="AI337:AK337"/>
    <mergeCell ref="B282:B284"/>
    <mergeCell ref="C271:D271"/>
    <mergeCell ref="C274:C276"/>
    <mergeCell ref="D274:D276"/>
    <mergeCell ref="C280:D280"/>
    <mergeCell ref="C469:D469"/>
    <mergeCell ref="C471:D471"/>
    <mergeCell ref="B474:B476"/>
    <mergeCell ref="C282:C284"/>
    <mergeCell ref="C332:D332"/>
    <mergeCell ref="B336:B338"/>
    <mergeCell ref="C336:C338"/>
    <mergeCell ref="D336:D338"/>
    <mergeCell ref="E261:F261"/>
    <mergeCell ref="G274:G276"/>
    <mergeCell ref="H274:H276"/>
    <mergeCell ref="G261:G263"/>
    <mergeCell ref="H261:H263"/>
    <mergeCell ref="C255:D255"/>
    <mergeCell ref="B261:B263"/>
    <mergeCell ref="C261:C263"/>
    <mergeCell ref="B274:B276"/>
    <mergeCell ref="E275:E276"/>
    <mergeCell ref="F275:F276"/>
    <mergeCell ref="Z274:AM274"/>
    <mergeCell ref="Z275:AE275"/>
    <mergeCell ref="AF275:AG275"/>
    <mergeCell ref="AH275:AH276"/>
    <mergeCell ref="AI275:AK275"/>
    <mergeCell ref="E262:E263"/>
    <mergeCell ref="F262:F263"/>
    <mergeCell ref="E274:F274"/>
    <mergeCell ref="X275:X276"/>
    <mergeCell ref="Y275:Y276"/>
    <mergeCell ref="I274:Y274"/>
    <mergeCell ref="V256:Z256"/>
    <mergeCell ref="AZ262:BB262"/>
    <mergeCell ref="AT261:BE261"/>
    <mergeCell ref="AW262:AW263"/>
    <mergeCell ref="AX262:AX263"/>
    <mergeCell ref="AY262:AY263"/>
    <mergeCell ref="BC262:BC263"/>
    <mergeCell ref="AT274:BE274"/>
    <mergeCell ref="BD262:BD263"/>
    <mergeCell ref="BE262:BE263"/>
    <mergeCell ref="AN274:AN276"/>
    <mergeCell ref="AO274:AO276"/>
    <mergeCell ref="AP274:AP276"/>
    <mergeCell ref="AQ274:AQ276"/>
    <mergeCell ref="AR274:AR276"/>
    <mergeCell ref="AL275:AL276"/>
    <mergeCell ref="U262:W262"/>
    <mergeCell ref="I261:Y261"/>
    <mergeCell ref="J262:K262"/>
    <mergeCell ref="L262:P262"/>
    <mergeCell ref="AU262:AU263"/>
    <mergeCell ref="AV262:AV263"/>
    <mergeCell ref="Z261:AM261"/>
    <mergeCell ref="R262:T262"/>
    <mergeCell ref="Z262:AE262"/>
    <mergeCell ref="AF262:AG262"/>
    <mergeCell ref="X262:X263"/>
    <mergeCell ref="Y262:Y263"/>
    <mergeCell ref="I262:I263"/>
    <mergeCell ref="AT262:AT263"/>
    <mergeCell ref="AN261:AN263"/>
    <mergeCell ref="AO261:AO263"/>
    <mergeCell ref="AP261:AP263"/>
    <mergeCell ref="AQ261:AQ263"/>
    <mergeCell ref="AR261:AR263"/>
    <mergeCell ref="AL262:AL263"/>
    <mergeCell ref="AM262:AM263"/>
    <mergeCell ref="AH262:AH263"/>
    <mergeCell ref="AI262:AK262"/>
    <mergeCell ref="AV275:AV276"/>
    <mergeCell ref="AW275:AW276"/>
    <mergeCell ref="AY275:AY276"/>
    <mergeCell ref="AZ275:BB275"/>
    <mergeCell ref="BC275:BC276"/>
    <mergeCell ref="BD275:BD276"/>
    <mergeCell ref="BE275:BE276"/>
    <mergeCell ref="AM275:AM276"/>
    <mergeCell ref="AX275:AX276"/>
    <mergeCell ref="AT275:AT276"/>
    <mergeCell ref="AU275:AU276"/>
  </mergeCells>
  <dataValidations count="1">
    <dataValidation type="list" allowBlank="1" showErrorMessage="1" sqref="H6:H83 H86:H87 H90:H127 H132 H141 H151:H153 H156:H250 H252:H255 H258:H261 H264:H274 H277 H285:H331 H339:H468 H477:H480 H484 H487:H489" xr:uid="{00000000-0002-0000-1100-000000000000}">
      <formula1>"FULL - EXISTING,PRORATE - MASUK,PRORATE - KELUAR"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TER</vt:lpstr>
      <vt:lpstr>01. Januari 26</vt:lpstr>
      <vt:lpstr>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</cp:lastModifiedBy>
  <dcterms:created xsi:type="dcterms:W3CDTF">2026-02-06T07:38:08Z</dcterms:created>
  <dcterms:modified xsi:type="dcterms:W3CDTF">2026-02-06T07:38:08Z</dcterms:modified>
</cp:coreProperties>
</file>